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БАЛАНС" sheetId="10" state="visible" r:id="rId10"/>
    <sheet xmlns:r="http://schemas.openxmlformats.org/officeDocument/2006/relationships" name="Справочники" sheetId="11" state="hidden" r:id="rId11"/>
    <sheet xmlns:r="http://schemas.openxmlformats.org/officeDocument/2006/relationships" name="История" sheetId="12" state="hidden" r:id="rId12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Список_Монеты">OFFSET(Справочники!$I$5,0,0,MAX(1,COUNTA(Справочники!$I$5:$I$304)),1)</definedName>
    <definedName name="_xlnm.Print_Area" localSheetId="0">'Ввод'!$A$1:$H$25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  <definedName name="_xlnm.Print_Area" localSheetId="9">'БАЛАНС'!$B$1:$E$300</definedName>
    <definedName name="_xlnm._FilterDatabase" localSheetId="11" hidden="1">'История'!$B$4:$M$300</definedName>
    <definedName name="_xlnm.Print_Area" localSheetId="11">'История'!$A$1:$N$13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6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  <font>
      <name val="Calibri"/>
      <b val="1"/>
      <i val="1"/>
      <color rgb="00244E62"/>
      <sz val="11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51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  <xf numFmtId="165" fontId="15" fillId="4" borderId="21" applyAlignment="1" pivotButton="0" quotePrefix="0" xfId="0">
      <alignment horizontal="center" vertical="center"/>
    </xf>
    <xf numFmtId="165" fontId="15" fillId="4" borderId="20" applyAlignment="1" pivotButton="0" quotePrefix="0" xfId="0">
      <alignment horizontal="center" vertical="center"/>
    </xf>
    <xf numFmtId="165" fontId="15" fillId="7" borderId="21" applyAlignment="1" pivotButton="0" quotePrefix="0" xfId="0">
      <alignment horizontal="center" vertical="center"/>
    </xf>
    <xf numFmtId="165" fontId="15" fillId="7" borderId="20" applyAlignment="1" pivotButton="0" quotePrefix="0" xfId="0">
      <alignment horizontal="center" vertical="center"/>
    </xf>
    <xf numFmtId="165" fontId="15" fillId="4" borderId="1" applyAlignment="1" pivotButton="0" quotePrefix="0" xfId="0">
      <alignment horizontal="center" vertical="center"/>
    </xf>
    <xf numFmtId="165" fontId="15" fillId="7" borderId="1" applyAlignment="1" pivotButton="0" quotePrefix="0" xfId="0">
      <alignment horizontal="center" vertical="center"/>
    </xf>
    <xf numFmtId="0" fontId="8" fillId="13" borderId="18" applyAlignment="1" pivotButton="0" quotePrefix="0" xfId="0">
      <alignment horizontal="center" vertical="center"/>
    </xf>
    <xf numFmtId="0" fontId="8" fillId="16" borderId="19" applyAlignment="1" pivotButton="0" quotePrefix="0" xfId="0">
      <alignment horizontal="center" vertical="center"/>
    </xf>
    <xf numFmtId="0" fontId="8" fillId="10" borderId="17" applyAlignment="1" pivotButton="0" quotePrefix="0" xfId="0">
      <alignment horizontal="center" vertical="center"/>
    </xf>
    <xf numFmtId="0" fontId="8" fillId="14" borderId="17" applyAlignment="1" pivotButton="0" quotePrefix="0" xfId="0">
      <alignment horizontal="center" vertical="center"/>
    </xf>
    <xf numFmtId="0" fontId="8" fillId="17" borderId="19" applyAlignment="1" pivotButton="0" quotePrefix="0" xfId="0">
      <alignment horizontal="center" vertical="center"/>
    </xf>
    <xf numFmtId="0" fontId="8" fillId="17" borderId="17" applyAlignment="1" pivotButton="0" quotePrefix="0" xfId="0">
      <alignment horizontal="center" vertical="center"/>
    </xf>
  </cellXfs>
  <cellStyles count="1">
    <cellStyle name="Normal" xfId="0" builtinId="0" hidden="0"/>
  </cellStyles>
  <dxfs count="8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  <dxf>
      <fill>
        <patternFill patternType="solid">
          <bgColor rgb="FFFFFDF3"/>
        </patternFill>
      </fill>
    </dxf>
    <dxf>
      <fill>
        <patternFill patternType="solid">
          <bgColor rgb="FFFFFF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Entry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4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7.5" customWidth="1" min="2" max="2"/>
    <col width="12.7" customWidth="1" min="3" max="3"/>
    <col width="18.7" customWidth="1" min="4" max="4"/>
    <col width="16.4" customWidth="1" min="5" max="5"/>
    <col width="24.2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/>
      <c r="C5" s="279" t="n"/>
      <c r="D5" s="279" t="n"/>
      <c r="E5" s="280">
        <f>IF(AND(TRIM(C5)&lt;&gt;"",TRIM(D5)&lt;&gt;""),UPPER(TRIM(C5))&amp;"/"&amp;UPPER(TRIM(D5)),"")</f>
        <v/>
      </c>
      <c r="F5" s="279" t="n"/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позиция")),IF(ISNA(MATCH(IFERROR("T-"&amp;TEXT(IF(ISNUMBER(C12),C12,--MID(C12,3,20)),"0000"),C12),Торговля!$B$5:$B$300,0)),IF(C13&lt;&gt;"","Нет ID",IF(NOT(ISNUMBER(C10)),"Нет курса",IF(ISNA(MATCH(IFERROR("T-"&amp;TEXT(IF(ISNUMBER(C12),C12,--MID(C12,3,20)),"0000"),C12),Закрытые!$B$5:$B$300,0)),"Новая (ID вручную)","ID занят"))),IF(NOT(ISNUMBER(C10)),"Нет курса",IF(ISNUMBER(INDEX(Торговля!$F$5:$F$300,MATCH(IFERROR("T-"&amp;TEXT(IF(ISNUMBER(C12),C12,--MID(C12,3,20)),"0000"),C12),Торговля!$B$5:$B$300,0)))=(C8="Buy"),"Увеличение",IF(C13="Полностью","Закрытие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позиция")),IF(ISNA(MATCH(IFERROR("L-"&amp;TEXT(IF(ISNUMBER(E12),E12,--MID(E12,3,20)),"0000"),E12),Лэндинг!$B$5:$B$300,0)),IF(E13&lt;&gt;"","Нет ID",IF(NOT(ISNUMBER(E10)),"Нет суммы",IF(ISNA(MATCH(IFERROR("L-"&amp;TEXT(IF(ISNUMBER(E12),E12,--MID(E12,3,20)),"0000"),E12),Закрытые!$B$5:$B$300,0)),"Новая (ID вручную)","ID занят"))),IF(NOT(ISNUMBER(E10)),"Нет суммы",IF(ISNUMBER(INDEX(Лэндинг!$F$5:$F$300,MATCH(IFERROR("L-"&amp;TEXT(IF(ISNUMBER(E12),E12,--MID(E12,3,20)),"0000"),E12),Лэндинг!$B$5:$B$300,0)))=(E8="Buy"),"Увеличение",IF(E13="Полностью","Закрытие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пула",IF(ISNA(MATCH(IFERROR("P-"&amp;TEXT(IF(ISNUMBER(G9),G9,--MID(G9,3,20)),"0000"),G9),Пул!$B$5:$B$300,0)),IF(G8="Добавить","Новый пул (ID вручную)","Нет ID пула"),IF(INDEX(Пул!$L$5:$L$300,MATCH(IFERROR("P-"&amp;TEXT(IF(ISNUMBER(G9),G9,--MID(G9,3,20)),"0000"),G9),Пул!$B$5:$B$300,0))="Закрыт","Пул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</t>
        </is>
      </c>
      <c r="G7" s="298" t="n"/>
    </row>
    <row r="8" ht="22" customHeight="1">
      <c r="B8" s="276" t="inlineStr">
        <is>
          <t>Действие</t>
        </is>
      </c>
      <c r="C8" s="279" t="n"/>
      <c r="D8" s="277" t="inlineStr">
        <is>
          <t>Действие</t>
        </is>
      </c>
      <c r="E8" s="279" t="n"/>
      <c r="F8" s="277" t="inlineStr">
        <is>
          <t>Действие</t>
        </is>
      </c>
      <c r="G8" s="279" t="n"/>
    </row>
    <row r="9" ht="22" customHeight="1">
      <c r="B9" s="276" t="inlineStr">
        <is>
          <t>Кол-во</t>
        </is>
      </c>
      <c r="C9" s="286" t="n"/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/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n"/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/>
      <c r="C17" s="294" t="n"/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Пул: Min и Max — только для Web3 (могут быть дробными, меньше 1), оба поля или ни одного. Действия: Добавить, Частично (вывод части), Закрыть.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  <row r="24" ht="34" customHeight="1">
      <c r="B24" s="338" t="inlineStr">
        <is>
          <t>Протокол не обязателен. Новые монеты и пары добавляются в «Справочники» и в листы ИТОГО при ЗАПИСАТЬ. Актив 1 / Актив 2 можно выбрать из списка или ввести вручную.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4">
    <mergeCell ref="B3:G3"/>
    <mergeCell ref="B19:G19"/>
    <mergeCell ref="B20:G20"/>
    <mergeCell ref="B1:G2"/>
    <mergeCell ref="B24:G24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0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ID" error="Введите ID вида T-456 / L-456 / P-456 или просто число (456). Целое число от 1." type="custom">
      <formula1>AND(IFERROR(OR(AND(ISNUMBER(C12),C12&gt;=1,C12=INT(C12)),AND(EXACT(LEFT(C12,2),"T-"),ISNUMBER(--MID(C12,3,20)),--MID(C12,3,20)&gt;=1,--MID(C12,3,20)=INT(--MID(C12,3,20)))),FALSE),COUNTA($E$9,$E$10,$E$12,$E$13,$G$9,$G$10,$G$11,$G$12,$G$13)=0)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ID" error="Введите ID вида T-456 / L-456 / P-456 или просто число (456). Целое число от 1." type="custom">
      <formula1>AND(IFERROR(OR(AND(ISNUMBER(E12),E12&gt;=1,E12=INT(E12)),AND(EXACT(LEFT(E12,2),"L-"),ISNUMBER(--MID(E12,3,20)),--MID(E12,3,20)&gt;=1,--MID(E12,3,20)=INT(--MID(E12,3,20)))),FALSE),COUNTA($C$9,$C$10,$C$12,$C$13,$G$9,$G$10,$G$11,$G$12,$G$13)=0)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ID" error="Введите ID вида T-456 / L-456 / P-456 или просто число (456). Целое число от 1." type="custom">
      <formula1>AND(IFERROR(OR(AND(ISNUMBER(G9),G9&gt;=1,G9=INT(G9)),AND(EXACT(LEFT(G9,2),"P-"),ISNUMBER(--MID(G9,3,20)),--MID(G9,3,20)&gt;=1,--MID(G9,3,20)=INT(--MID(G9,3,20)))),FALSE),COUNTA($C$9,$C$10,$C$12,$C$13,$E$9,$E$10,$E$12,$E$13)=0)</formula1>
    </dataValidation>
    <dataValidation sqref="G12" showDropDown="0" showInputMessage="0" showErrorMessage="1" allowBlank="1" errorTitle="Один раздел" error="Введите число меньше Max (допустимы дробные и любые значения). Другие разделы должны быть пустыми." type="custom">
      <formula1>AND(ISNUMBER(G12),OR(NOT(ISNUMBER($G$13)),G12&lt;$G$13),COUNTA($C$9,$C$10,$C$12,$C$13,$E$9,$E$10,$E$12,$E$13)=0)</formula1>
    </dataValidation>
    <dataValidation sqref="G13" showDropDown="0" showInputMessage="0" showErrorMessage="1" allowBlank="1" errorTitle="Один раздел" error="Введите число больше Min (допустимы дробные и любые значения). Другие разделы должны быть пустыми." type="custom">
      <formula1>AND(ISNUMBER(G13),OR(NOT(ISNUMBER($G$12)),G13&gt;$G$12),COUNTA($C$9,$C$10,$C$12,$C$13,$E$9,$E$10,$E$12,$E$13)=0)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C5 D5" showDropDown="0" showInputMessage="0" showErrorMessage="0" allowBlank="1" type="list">
      <formula1>=Список_Монеты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0.1" customWidth="1" min="2" max="2"/>
    <col width="14" customWidth="1" min="3" max="3"/>
    <col width="12.9" customWidth="1" min="4" max="4"/>
    <col width="15.6" customWidth="1" min="5" max="5"/>
    <col width="17.1" customWidth="1" min="6" max="6"/>
    <col width="16.1" customWidth="1" min="7" max="7"/>
    <col width="18.2" customWidth="1" min="8" max="8"/>
    <col width="16.1" customWidth="1" min="9" max="9"/>
    <col width="19.2" customWidth="1" min="10" max="10"/>
    <col width="18.2" customWidth="1" min="11" max="11"/>
    <col width="18.1" customWidth="1" min="12" max="12"/>
    <col width="20.3" customWidth="1" min="13" max="13"/>
    <col width="20.3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T-0034</t>
        </is>
      </c>
      <c r="C5" s="314" t="n">
        <v>44835</v>
      </c>
      <c r="D5" s="313" t="n"/>
      <c r="E5" s="315" t="inlineStr">
        <is>
          <t>WAVES/BTC</t>
        </is>
      </c>
      <c r="F5" s="316" t="n">
        <v>320.86399486</v>
      </c>
      <c r="G5" s="317" t="n">
        <v>0.00023434</v>
      </c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339">
        <f>IF(COUNT(F5,I5)=0,"",N(F5)-N(I5))</f>
        <v/>
      </c>
      <c r="M5" s="340">
        <f>IF(COUNT(H5,K5)=0,"",N(K5)-N(H5))</f>
        <v/>
      </c>
      <c r="N5" s="339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T-0035</t>
        </is>
      </c>
      <c r="C6" s="319" t="n">
        <v>44836</v>
      </c>
      <c r="D6" s="318" t="n"/>
      <c r="E6" s="320" t="inlineStr">
        <is>
          <t>BCH/BTC</t>
        </is>
      </c>
      <c r="F6" s="321" t="n">
        <v>3.44702689</v>
      </c>
      <c r="G6" s="322" t="n">
        <v>0.01395865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341">
        <f>IF(COUNT(F6,I6)=0,"",N(F6)-N(I6))</f>
        <v/>
      </c>
      <c r="M6" s="342">
        <f>IF(COUNT(H6,K6)=0,"",N(K6)-N(H6))</f>
        <v/>
      </c>
      <c r="N6" s="341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T-0036</t>
        </is>
      </c>
      <c r="C7" s="314" t="n">
        <v>44837</v>
      </c>
      <c r="D7" s="313" t="n"/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1.60668304</v>
      </c>
      <c r="J7" s="317" t="n">
        <v>0.05198743</v>
      </c>
      <c r="K7" s="271">
        <f>IF(AND(ISNUMBER(I7),ISNUMBER(J7)),I7*J7,"")</f>
        <v/>
      </c>
      <c r="L7" s="339">
        <f>IF(COUNT(F7,I7)=0,"",N(F7)-N(I7))</f>
        <v/>
      </c>
      <c r="M7" s="340">
        <f>IF(COUNT(H7,K7)=0,"",N(K7)-N(H7))</f>
        <v/>
      </c>
      <c r="N7" s="339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T-0037</t>
        </is>
      </c>
      <c r="C8" s="319" t="n">
        <v>45223</v>
      </c>
      <c r="D8" s="318" t="n"/>
      <c r="E8" s="320" t="inlineStr">
        <is>
          <t>LTC/ETH</t>
        </is>
      </c>
      <c r="F8" s="321" t="n">
        <v>21.548</v>
      </c>
      <c r="G8" s="322" t="n">
        <v>0.07803206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341">
        <f>IF(COUNT(F8,I8)=0,"",N(F8)-N(I8))</f>
        <v/>
      </c>
      <c r="M8" s="342">
        <f>IF(COUNT(H8,K8)=0,"",N(K8)-N(H8))</f>
        <v/>
      </c>
      <c r="N8" s="341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T-0038</t>
        </is>
      </c>
      <c r="C9" s="314" t="n">
        <v>45358</v>
      </c>
      <c r="D9" s="313" t="n"/>
      <c r="E9" s="315" t="inlineStr">
        <is>
          <t>LTC/BCH</t>
        </is>
      </c>
      <c r="F9" s="316" t="n">
        <v>7.38497355</v>
      </c>
      <c r="G9" s="317" t="n">
        <v>0.20521071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339">
        <f>IF(COUNT(F9,I9)=0,"",N(F9)-N(I9))</f>
        <v/>
      </c>
      <c r="M9" s="340">
        <f>IF(COUNT(H9,K9)=0,"",N(K9)-N(H9))</f>
        <v/>
      </c>
      <c r="N9" s="339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T-0039</t>
        </is>
      </c>
      <c r="C10" s="319" t="n">
        <v>45374</v>
      </c>
      <c r="D10" s="318" t="n"/>
      <c r="E10" s="320" t="inlineStr">
        <is>
          <t>XRP/BTC</t>
        </is>
      </c>
      <c r="F10" s="321" t="n">
        <v>374.43186582</v>
      </c>
      <c r="G10" s="322" t="n">
        <v>1.071e-05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341">
        <f>IF(COUNT(F10,I10)=0,"",N(F10)-N(I10))</f>
        <v/>
      </c>
      <c r="M10" s="342">
        <f>IF(COUNT(H10,K10)=0,"",N(K10)-N(H10))</f>
        <v/>
      </c>
      <c r="N10" s="341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T-0040</t>
        </is>
      </c>
      <c r="C11" s="314" t="n">
        <v>45440</v>
      </c>
      <c r="D11" s="313" t="n"/>
      <c r="E11" s="315" t="inlineStr">
        <is>
          <t>BCH/USD</t>
        </is>
      </c>
      <c r="F11" s="316" t="n"/>
      <c r="G11" s="317" t="n"/>
      <c r="H11" s="271">
        <f>IF(AND(ISNUMBER(F11),ISNUMBER(G11)),F11*G11,"")</f>
        <v/>
      </c>
      <c r="I11" s="316" t="n">
        <v>2.58441121</v>
      </c>
      <c r="J11" s="317" t="n">
        <v>522.28254087</v>
      </c>
      <c r="K11" s="271">
        <f>IF(AND(ISNUMBER(I11),ISNUMBER(J11)),I11*J11,"")</f>
        <v/>
      </c>
      <c r="L11" s="339">
        <f>IF(COUNT(F11,I11)=0,"",N(F11)-N(I11))</f>
        <v/>
      </c>
      <c r="M11" s="340">
        <f>IF(COUNT(H11,K11)=0,"",N(K11)-N(H11))</f>
        <v/>
      </c>
      <c r="N11" s="339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T-0041</t>
        </is>
      </c>
      <c r="C12" s="319" t="n">
        <v>45525</v>
      </c>
      <c r="D12" s="318" t="n"/>
      <c r="E12" s="320" t="inlineStr">
        <is>
          <t>LTC/USD</t>
        </is>
      </c>
      <c r="F12" s="321" t="n"/>
      <c r="G12" s="322" t="n"/>
      <c r="H12" s="271">
        <f>IF(AND(ISNUMBER(F12),ISNUMBER(G12)),F12*G12,"")</f>
        <v/>
      </c>
      <c r="I12" s="321" t="n">
        <v>14.2505603</v>
      </c>
      <c r="J12" s="322" t="n">
        <v>79.93060267</v>
      </c>
      <c r="K12" s="271">
        <f>IF(AND(ISNUMBER(I12),ISNUMBER(J12)),I12*J12,"")</f>
        <v/>
      </c>
      <c r="L12" s="341">
        <f>IF(COUNT(F12,I12)=0,"",N(F12)-N(I12))</f>
        <v/>
      </c>
      <c r="M12" s="342">
        <f>IF(COUNT(H12,K12)=0,"",N(K12)-N(H12))</f>
        <v/>
      </c>
      <c r="N12" s="341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T-0042</t>
        </is>
      </c>
      <c r="C13" s="314" t="n">
        <v>45528</v>
      </c>
      <c r="D13" s="313" t="n"/>
      <c r="E13" s="315" t="inlineStr">
        <is>
          <t>BCH/BNB</t>
        </is>
      </c>
      <c r="F13" s="316" t="n"/>
      <c r="G13" s="317" t="n"/>
      <c r="H13" s="271">
        <f>IF(AND(ISNUMBER(F13),ISNUMBER(G13)),F13*G13,"")</f>
        <v/>
      </c>
      <c r="I13" s="316" t="n">
        <v>2.907</v>
      </c>
      <c r="J13" s="317" t="n">
        <v>0.604395</v>
      </c>
      <c r="K13" s="271">
        <f>IF(AND(ISNUMBER(I13),ISNUMBER(J13)),I13*J13,"")</f>
        <v/>
      </c>
      <c r="L13" s="339">
        <f>IF(COUNT(F13,I13)=0,"",N(F13)-N(I13))</f>
        <v/>
      </c>
      <c r="M13" s="340">
        <f>IF(COUNT(H13,K13)=0,"",N(K13)-N(H13))</f>
        <v/>
      </c>
      <c r="N13" s="339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T-0043</t>
        </is>
      </c>
      <c r="C14" s="319" t="n">
        <v>45630</v>
      </c>
      <c r="D14" s="318" t="n"/>
      <c r="E14" s="320" t="inlineStr">
        <is>
          <t>TRX/XRP</t>
        </is>
      </c>
      <c r="F14" s="321" t="n">
        <v>6425.2</v>
      </c>
      <c r="G14" s="322" t="n">
        <v>0.10875161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341">
        <f>IF(COUNT(F14,I14)=0,"",N(F14)-N(I14))</f>
        <v/>
      </c>
      <c r="M14" s="342">
        <f>IF(COUNT(H14,K14)=0,"",N(K14)-N(H14))</f>
        <v/>
      </c>
      <c r="N14" s="341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T-0044</t>
        </is>
      </c>
      <c r="C15" s="314" t="n">
        <v>45667</v>
      </c>
      <c r="D15" s="313" t="n"/>
      <c r="E15" s="315" t="inlineStr">
        <is>
          <t>BNB/BTC</t>
        </is>
      </c>
      <c r="F15" s="316" t="n"/>
      <c r="G15" s="317" t="n"/>
      <c r="H15" s="271">
        <f>IF(AND(ISNUMBER(F15),ISNUMBER(G15)),F15*G15,"")</f>
        <v/>
      </c>
      <c r="I15" s="316" t="n">
        <v>0.2</v>
      </c>
      <c r="J15" s="317" t="n">
        <v>0.00611</v>
      </c>
      <c r="K15" s="271">
        <f>IF(AND(ISNUMBER(I15),ISNUMBER(J15)),I15*J15,"")</f>
        <v/>
      </c>
      <c r="L15" s="339">
        <f>IF(COUNT(F15,I15)=0,"",N(F15)-N(I15))</f>
        <v/>
      </c>
      <c r="M15" s="340">
        <f>IF(COUNT(H15,K15)=0,"",N(K15)-N(H15))</f>
        <v/>
      </c>
      <c r="N15" s="339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T-0045</t>
        </is>
      </c>
      <c r="C16" s="319" t="n">
        <v>45671</v>
      </c>
      <c r="D16" s="318" t="n"/>
      <c r="E16" s="320" t="inlineStr">
        <is>
          <t>WAVES/USD</t>
        </is>
      </c>
      <c r="F16" s="321" t="n"/>
      <c r="G16" s="322" t="n"/>
      <c r="H16" s="271">
        <f>IF(AND(ISNUMBER(F16),ISNUMBER(G16)),F16*G16,"")</f>
        <v/>
      </c>
      <c r="I16" s="321" t="n">
        <v>203.59580305</v>
      </c>
      <c r="J16" s="322" t="n">
        <v>1.935</v>
      </c>
      <c r="K16" s="271">
        <f>IF(AND(ISNUMBER(I16),ISNUMBER(J16)),I16*J16,"")</f>
        <v/>
      </c>
      <c r="L16" s="341">
        <f>IF(COUNT(F16,I16)=0,"",N(F16)-N(I16))</f>
        <v/>
      </c>
      <c r="M16" s="342">
        <f>IF(COUNT(H16,K16)=0,"",N(K16)-N(H16))</f>
        <v/>
      </c>
      <c r="N16" s="341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T-0046</t>
        </is>
      </c>
      <c r="C17" s="314" t="n">
        <v>45672</v>
      </c>
      <c r="D17" s="313" t="n"/>
      <c r="E17" s="315" t="inlineStr">
        <is>
          <t>XRP/ETH</t>
        </is>
      </c>
      <c r="F17" s="316" t="n"/>
      <c r="G17" s="317" t="n"/>
      <c r="H17" s="271">
        <f>IF(AND(ISNUMBER(F17),ISNUMBER(G17)),F17*G17,"")</f>
        <v/>
      </c>
      <c r="I17" s="316" t="n">
        <v>502</v>
      </c>
      <c r="J17" s="317" t="n">
        <v>0.0007200900000000001</v>
      </c>
      <c r="K17" s="271">
        <f>IF(AND(ISNUMBER(I17),ISNUMBER(J17)),I17*J17,"")</f>
        <v/>
      </c>
      <c r="L17" s="339">
        <f>IF(COUNT(F17,I17)=0,"",N(F17)-N(I17))</f>
        <v/>
      </c>
      <c r="M17" s="340">
        <f>IF(COUNT(H17,K17)=0,"",N(K17)-N(H17))</f>
        <v/>
      </c>
      <c r="N17" s="339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T-0047</t>
        </is>
      </c>
      <c r="C18" s="319" t="n">
        <v>45675</v>
      </c>
      <c r="D18" s="318" t="n"/>
      <c r="E18" s="320" t="inlineStr">
        <is>
          <t>SOL/USD</t>
        </is>
      </c>
      <c r="F18" s="321" t="n">
        <v>4.09736162</v>
      </c>
      <c r="G18" s="322" t="n">
        <v>205.33984095</v>
      </c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341">
        <f>IF(COUNT(F18,I18)=0,"",N(F18)-N(I18))</f>
        <v/>
      </c>
      <c r="M18" s="342">
        <f>IF(COUNT(H18,K18)=0,"",N(K18)-N(H18))</f>
        <v/>
      </c>
      <c r="N18" s="341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T-0048</t>
        </is>
      </c>
      <c r="C19" s="314" t="n">
        <v>45675</v>
      </c>
      <c r="D19" s="313" t="n"/>
      <c r="E19" s="315" t="inlineStr">
        <is>
          <t>SOL/BNB</t>
        </is>
      </c>
      <c r="F19" s="316" t="n">
        <v>0.545</v>
      </c>
      <c r="G19" s="317" t="n">
        <v>0.28477064</v>
      </c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339">
        <f>IF(COUNT(F19,I19)=0,"",N(F19)-N(I19))</f>
        <v/>
      </c>
      <c r="M19" s="340">
        <f>IF(COUNT(H19,K19)=0,"",N(K19)-N(H19))</f>
        <v/>
      </c>
      <c r="N19" s="339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T-0049</t>
        </is>
      </c>
      <c r="C20" s="319" t="n">
        <v>45675</v>
      </c>
      <c r="D20" s="318" t="n"/>
      <c r="E20" s="320" t="inlineStr">
        <is>
          <t>SOL/BTC</t>
        </is>
      </c>
      <c r="F20" s="321" t="n">
        <v>0.19</v>
      </c>
      <c r="G20" s="322" t="n">
        <v>0.0020934</v>
      </c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341">
        <f>IF(COUNT(F20,I20)=0,"",N(F20)-N(I20))</f>
        <v/>
      </c>
      <c r="M20" s="342">
        <f>IF(COUNT(H20,K20)=0,"",N(K20)-N(H20))</f>
        <v/>
      </c>
      <c r="N20" s="341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T-0050</t>
        </is>
      </c>
      <c r="C21" s="314" t="n">
        <v>45677</v>
      </c>
      <c r="D21" s="313" t="n"/>
      <c r="E21" s="315" t="inlineStr">
        <is>
          <t>MNT/USDT</t>
        </is>
      </c>
      <c r="F21" s="316" t="n"/>
      <c r="G21" s="317" t="n"/>
      <c r="H21" s="271">
        <f>IF(AND(ISNUMBER(F21),ISNUMBER(G21)),F21*G21,"")</f>
        <v/>
      </c>
      <c r="I21" s="316" t="n">
        <v>114.81</v>
      </c>
      <c r="J21" s="317" t="n">
        <v>0.992</v>
      </c>
      <c r="K21" s="271">
        <f>IF(AND(ISNUMBER(I21),ISNUMBER(J21)),I21*J21,"")</f>
        <v/>
      </c>
      <c r="L21" s="339">
        <f>IF(COUNT(F21,I21)=0,"",N(F21)-N(I21))</f>
        <v/>
      </c>
      <c r="M21" s="340">
        <f>IF(COUNT(H21,K21)=0,"",N(K21)-N(H21))</f>
        <v/>
      </c>
      <c r="N21" s="339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T-0051</t>
        </is>
      </c>
      <c r="C22" s="319" t="n">
        <v>45677</v>
      </c>
      <c r="D22" s="318" t="n"/>
      <c r="E22" s="320" t="inlineStr">
        <is>
          <t>ELIZAOS/USD</t>
        </is>
      </c>
      <c r="F22" s="321" t="n">
        <v>64000</v>
      </c>
      <c r="G22" s="322" t="n">
        <v>0.00182483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341">
        <f>IF(COUNT(F22,I22)=0,"",N(F22)-N(I22))</f>
        <v/>
      </c>
      <c r="M22" s="342">
        <f>IF(COUNT(H22,K22)=0,"",N(K22)-N(H22))</f>
        <v/>
      </c>
      <c r="N22" s="341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T-0052</t>
        </is>
      </c>
      <c r="C23" s="314" t="n">
        <v>45687</v>
      </c>
      <c r="D23" s="313" t="n"/>
      <c r="E23" s="315" t="inlineStr">
        <is>
          <t>ELIZA/SOL</t>
        </is>
      </c>
      <c r="F23" s="316" t="n">
        <v>26600</v>
      </c>
      <c r="G23" s="317" t="n">
        <v>0.00510771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339">
        <f>IF(COUNT(F23,I23)=0,"",N(F23)-N(I23))</f>
        <v/>
      </c>
      <c r="M23" s="340">
        <f>IF(COUNT(H23,K23)=0,"",N(K23)-N(H23))</f>
        <v/>
      </c>
      <c r="N23" s="339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T-0053</t>
        </is>
      </c>
      <c r="C24" s="319" t="n">
        <v>45692</v>
      </c>
      <c r="D24" s="318" t="n"/>
      <c r="E24" s="320" t="inlineStr">
        <is>
          <t>BCH/BNB</t>
        </is>
      </c>
      <c r="F24" s="321" t="n">
        <v>1.588</v>
      </c>
      <c r="G24" s="322" t="n">
        <v>0.72040302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341">
        <f>IF(COUNT(F24,I24)=0,"",N(F24)-N(I24))</f>
        <v/>
      </c>
      <c r="M24" s="342">
        <f>IF(COUNT(H24,K24)=0,"",N(K24)-N(H24))</f>
        <v/>
      </c>
      <c r="N24" s="341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T-0054</t>
        </is>
      </c>
      <c r="C25" s="314" t="n">
        <v>45720</v>
      </c>
      <c r="D25" s="313" t="n"/>
      <c r="E25" s="315" t="inlineStr">
        <is>
          <t>XLM/USD</t>
        </is>
      </c>
      <c r="F25" s="316" t="n"/>
      <c r="G25" s="317" t="n"/>
      <c r="H25" s="271">
        <f>IF(AND(ISNUMBER(F25),ISNUMBER(G25)),F25*G25,"")</f>
        <v/>
      </c>
      <c r="I25" s="316" t="n">
        <v>450</v>
      </c>
      <c r="J25" s="317" t="n">
        <v>0.15</v>
      </c>
      <c r="K25" s="271">
        <f>IF(AND(ISNUMBER(I25),ISNUMBER(J25)),I25*J25,"")</f>
        <v/>
      </c>
      <c r="L25" s="339">
        <f>IF(COUNT(F25,I25)=0,"",N(F25)-N(I25))</f>
        <v/>
      </c>
      <c r="M25" s="340">
        <f>IF(COUNT(H25,K25)=0,"",N(K25)-N(H25))</f>
        <v/>
      </c>
      <c r="N25" s="339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inlineStr">
        <is>
          <t>T-0055</t>
        </is>
      </c>
      <c r="C26" s="319" t="n">
        <v>45734</v>
      </c>
      <c r="D26" s="318" t="n"/>
      <c r="E26" s="320" t="inlineStr">
        <is>
          <t>SHIB/DOGE</t>
        </is>
      </c>
      <c r="F26" s="321" t="n">
        <v>11894483</v>
      </c>
      <c r="G26" s="322" t="n">
        <v>8.698e-05</v>
      </c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341">
        <f>IF(COUNT(F26,I26)=0,"",N(F26)-N(I26))</f>
        <v/>
      </c>
      <c r="M26" s="342">
        <f>IF(COUNT(H26,K26)=0,"",N(K26)-N(H26))</f>
        <v/>
      </c>
      <c r="N26" s="341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inlineStr">
        <is>
          <t>T-0056</t>
        </is>
      </c>
      <c r="C27" s="314" t="n">
        <v>45734</v>
      </c>
      <c r="D27" s="313" t="n"/>
      <c r="E27" s="315" t="inlineStr">
        <is>
          <t>CAKE/BTC</t>
        </is>
      </c>
      <c r="F27" s="316" t="n">
        <v>117.96</v>
      </c>
      <c r="G27" s="317" t="n">
        <v>3.261e-05</v>
      </c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339">
        <f>IF(COUNT(F27,I27)=0,"",N(F27)-N(I27))</f>
        <v/>
      </c>
      <c r="M27" s="340">
        <f>IF(COUNT(H27,K27)=0,"",N(K27)-N(H27))</f>
        <v/>
      </c>
      <c r="N27" s="339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inlineStr">
        <is>
          <t>T-0057</t>
        </is>
      </c>
      <c r="C28" s="319" t="n">
        <v>45747</v>
      </c>
      <c r="D28" s="318" t="n"/>
      <c r="E28" s="320" t="inlineStr">
        <is>
          <t>CAKE/USD</t>
        </is>
      </c>
      <c r="F28" s="321" t="n"/>
      <c r="G28" s="322" t="n"/>
      <c r="H28" s="271">
        <f>IF(AND(ISNUMBER(F28),ISNUMBER(G28)),F28*G28,"")</f>
        <v/>
      </c>
      <c r="I28" s="321" t="n">
        <v>351</v>
      </c>
      <c r="J28" s="322" t="n">
        <v>1.9325858</v>
      </c>
      <c r="K28" s="271">
        <f>IF(AND(ISNUMBER(I28),ISNUMBER(J28)),I28*J28,"")</f>
        <v/>
      </c>
      <c r="L28" s="341">
        <f>IF(COUNT(F28,I28)=0,"",N(F28)-N(I28))</f>
        <v/>
      </c>
      <c r="M28" s="342">
        <f>IF(COUNT(H28,K28)=0,"",N(K28)-N(H28))</f>
        <v/>
      </c>
      <c r="N28" s="341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inlineStr">
        <is>
          <t>T-0058</t>
        </is>
      </c>
      <c r="C29" s="314" t="n">
        <v>45754</v>
      </c>
      <c r="D29" s="313" t="n"/>
      <c r="E29" s="315" t="inlineStr">
        <is>
          <t>ETH/USD</t>
        </is>
      </c>
      <c r="F29" s="316" t="n"/>
      <c r="G29" s="317" t="n"/>
      <c r="H29" s="271">
        <f>IF(AND(ISNUMBER(F29),ISNUMBER(G29)),F29*G29,"")</f>
        <v/>
      </c>
      <c r="I29" s="316" t="n">
        <v>1.54105781</v>
      </c>
      <c r="J29" s="317" t="n">
        <v>1823.70719687</v>
      </c>
      <c r="K29" s="271">
        <f>IF(AND(ISNUMBER(I29),ISNUMBER(J29)),I29*J29,"")</f>
        <v/>
      </c>
      <c r="L29" s="339">
        <f>IF(COUNT(F29,I29)=0,"",N(F29)-N(I29))</f>
        <v/>
      </c>
      <c r="M29" s="340">
        <f>IF(COUNT(H29,K29)=0,"",N(K29)-N(H29))</f>
        <v/>
      </c>
      <c r="N29" s="339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inlineStr">
        <is>
          <t>T-0059</t>
        </is>
      </c>
      <c r="C30" s="319" t="n">
        <v>45755</v>
      </c>
      <c r="D30" s="318" t="n"/>
      <c r="E30" s="320" t="inlineStr">
        <is>
          <t>LTC/BTC</t>
        </is>
      </c>
      <c r="F30" s="321" t="n">
        <v>10.3761063</v>
      </c>
      <c r="G30" s="322" t="n">
        <v>0.00287154</v>
      </c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341">
        <f>IF(COUNT(F30,I30)=0,"",N(F30)-N(I30))</f>
        <v/>
      </c>
      <c r="M30" s="342">
        <f>IF(COUNT(H30,K30)=0,"",N(K30)-N(H30))</f>
        <v/>
      </c>
      <c r="N30" s="341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inlineStr">
        <is>
          <t>T-0060</t>
        </is>
      </c>
      <c r="C31" s="314" t="n">
        <v>45767</v>
      </c>
      <c r="D31" s="313" t="n"/>
      <c r="E31" s="315" t="inlineStr">
        <is>
          <t>SOL/USD</t>
        </is>
      </c>
      <c r="F31" s="316" t="n"/>
      <c r="G31" s="317" t="n"/>
      <c r="H31" s="271">
        <f>IF(AND(ISNUMBER(F31),ISNUMBER(G31)),F31*G31,"")</f>
        <v/>
      </c>
      <c r="I31" s="316" t="n">
        <v>0.602</v>
      </c>
      <c r="J31" s="317" t="n">
        <v>134</v>
      </c>
      <c r="K31" s="271">
        <f>IF(AND(ISNUMBER(I31),ISNUMBER(J31)),I31*J31,"")</f>
        <v/>
      </c>
      <c r="L31" s="339">
        <f>IF(COUNT(F31,I31)=0,"",N(F31)-N(I31))</f>
        <v/>
      </c>
      <c r="M31" s="340">
        <f>IF(COUNT(H31,K31)=0,"",N(K31)-N(H31))</f>
        <v/>
      </c>
      <c r="N31" s="339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inlineStr">
        <is>
          <t>T-0061</t>
        </is>
      </c>
      <c r="C32" s="319" t="n">
        <v>45776</v>
      </c>
      <c r="D32" s="318" t="n"/>
      <c r="E32" s="320" t="inlineStr">
        <is>
          <t>TRX/ETH</t>
        </is>
      </c>
      <c r="F32" s="321" t="n">
        <v>200</v>
      </c>
      <c r="G32" s="322" t="n">
        <v>0.000136</v>
      </c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341">
        <f>IF(COUNT(F32,I32)=0,"",N(F32)-N(I32))</f>
        <v/>
      </c>
      <c r="M32" s="342">
        <f>IF(COUNT(H32,K32)=0,"",N(K32)-N(H32))</f>
        <v/>
      </c>
      <c r="N32" s="341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inlineStr">
        <is>
          <t>T-0062</t>
        </is>
      </c>
      <c r="C33" s="314" t="n">
        <v>45791</v>
      </c>
      <c r="D33" s="313" t="n"/>
      <c r="E33" s="315" t="inlineStr">
        <is>
          <t>SOL/ETH</t>
        </is>
      </c>
      <c r="F33" s="316" t="n">
        <v>6.291</v>
      </c>
      <c r="G33" s="317" t="n">
        <v>0.0620326</v>
      </c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339">
        <f>IF(COUNT(F33,I33)=0,"",N(F33)-N(I33))</f>
        <v/>
      </c>
      <c r="M33" s="340">
        <f>IF(COUNT(H33,K33)=0,"",N(K33)-N(H33))</f>
        <v/>
      </c>
      <c r="N33" s="339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inlineStr">
        <is>
          <t>T-0063</t>
        </is>
      </c>
      <c r="C34" s="319" t="n">
        <v>45813</v>
      </c>
      <c r="D34" s="318" t="n"/>
      <c r="E34" s="320" t="inlineStr">
        <is>
          <t>TRX/BTC</t>
        </is>
      </c>
      <c r="F34" s="321" t="n"/>
      <c r="G34" s="322" t="n"/>
      <c r="H34" s="271">
        <f>IF(AND(ISNUMBER(F34),ISNUMBER(G34)),F34*G34,"")</f>
        <v/>
      </c>
      <c r="I34" s="321" t="n">
        <v>524</v>
      </c>
      <c r="J34" s="322" t="n">
        <v>2.66e-06</v>
      </c>
      <c r="K34" s="271">
        <f>IF(AND(ISNUMBER(I34),ISNUMBER(J34)),I34*J34,"")</f>
        <v/>
      </c>
      <c r="L34" s="341">
        <f>IF(COUNT(F34,I34)=0,"",N(F34)-N(I34))</f>
        <v/>
      </c>
      <c r="M34" s="342">
        <f>IF(COUNT(H34,K34)=0,"",N(K34)-N(H34))</f>
        <v/>
      </c>
      <c r="N34" s="341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inlineStr">
        <is>
          <t>T-0064</t>
        </is>
      </c>
      <c r="C35" s="314" t="n">
        <v>45857</v>
      </c>
      <c r="D35" s="313" t="n"/>
      <c r="E35" s="315" t="inlineStr">
        <is>
          <t>LINK/USD</t>
        </is>
      </c>
      <c r="F35" s="316" t="n"/>
      <c r="G35" s="317" t="n"/>
      <c r="H35" s="271">
        <f>IF(AND(ISNUMBER(F35),ISNUMBER(G35)),F35*G35,"")</f>
        <v/>
      </c>
      <c r="I35" s="316" t="n">
        <v>9.07</v>
      </c>
      <c r="J35" s="317" t="n">
        <v>18.47</v>
      </c>
      <c r="K35" s="271">
        <f>IF(AND(ISNUMBER(I35),ISNUMBER(J35)),I35*J35,"")</f>
        <v/>
      </c>
      <c r="L35" s="339">
        <f>IF(COUNT(F35,I35)=0,"",N(F35)-N(I35))</f>
        <v/>
      </c>
      <c r="M35" s="340">
        <f>IF(COUNT(H35,K35)=0,"",N(K35)-N(H35))</f>
        <v/>
      </c>
      <c r="N35" s="339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inlineStr">
        <is>
          <t>T-0065</t>
        </is>
      </c>
      <c r="C36" s="319" t="n">
        <v>45885</v>
      </c>
      <c r="D36" s="318" t="n"/>
      <c r="E36" s="320" t="inlineStr">
        <is>
          <t>ADA/ETH</t>
        </is>
      </c>
      <c r="F36" s="321" t="n"/>
      <c r="G36" s="322" t="n"/>
      <c r="H36" s="271">
        <f>IF(AND(ISNUMBER(F36),ISNUMBER(G36)),F36*G36,"")</f>
        <v/>
      </c>
      <c r="I36" s="321" t="n">
        <v>100</v>
      </c>
      <c r="J36" s="322" t="n">
        <v>0.0002122</v>
      </c>
      <c r="K36" s="271">
        <f>IF(AND(ISNUMBER(I36),ISNUMBER(J36)),I36*J36,"")</f>
        <v/>
      </c>
      <c r="L36" s="341">
        <f>IF(COUNT(F36,I36)=0,"",N(F36)-N(I36))</f>
        <v/>
      </c>
      <c r="M36" s="342">
        <f>IF(COUNT(H36,K36)=0,"",N(K36)-N(H36))</f>
        <v/>
      </c>
      <c r="N36" s="341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inlineStr">
        <is>
          <t>T-0066</t>
        </is>
      </c>
      <c r="C37" s="314" t="n">
        <v>45886</v>
      </c>
      <c r="D37" s="313" t="n"/>
      <c r="E37" s="315" t="inlineStr">
        <is>
          <t>ADA/USD</t>
        </is>
      </c>
      <c r="F37" s="316" t="n"/>
      <c r="G37" s="317" t="n"/>
      <c r="H37" s="271">
        <f>IF(AND(ISNUMBER(F37),ISNUMBER(G37)),F37*G37,"")</f>
        <v/>
      </c>
      <c r="I37" s="316" t="n">
        <v>300</v>
      </c>
      <c r="J37" s="317" t="n">
        <v>0.9</v>
      </c>
      <c r="K37" s="271">
        <f>IF(AND(ISNUMBER(I37),ISNUMBER(J37)),I37*J37,"")</f>
        <v/>
      </c>
      <c r="L37" s="339">
        <f>IF(COUNT(F37,I37)=0,"",N(F37)-N(I37))</f>
        <v/>
      </c>
      <c r="M37" s="340">
        <f>IF(COUNT(H37,K37)=0,"",N(K37)-N(H37))</f>
        <v/>
      </c>
      <c r="N37" s="339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inlineStr">
        <is>
          <t>T-0067</t>
        </is>
      </c>
      <c r="C38" s="319" t="n">
        <v>45889</v>
      </c>
      <c r="D38" s="318" t="n"/>
      <c r="E38" s="320" t="inlineStr">
        <is>
          <t>MAGIC/BTC</t>
        </is>
      </c>
      <c r="F38" s="321" t="n">
        <v>863.4</v>
      </c>
      <c r="G38" s="322" t="n">
        <v>2.01e-06</v>
      </c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341">
        <f>IF(COUNT(F38,I38)=0,"",N(F38)-N(I38))</f>
        <v/>
      </c>
      <c r="M38" s="342">
        <f>IF(COUNT(H38,K38)=0,"",N(K38)-N(H38))</f>
        <v/>
      </c>
      <c r="N38" s="341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inlineStr">
        <is>
          <t>T-0068</t>
        </is>
      </c>
      <c r="C39" s="314" t="n">
        <v>45891</v>
      </c>
      <c r="D39" s="313" t="n"/>
      <c r="E39" s="315" t="inlineStr">
        <is>
          <t>BTC/USD</t>
        </is>
      </c>
      <c r="F39" s="316" t="n"/>
      <c r="G39" s="317" t="n"/>
      <c r="H39" s="271">
        <f>IF(AND(ISNUMBER(F39),ISNUMBER(G39)),F39*G39,"")</f>
        <v/>
      </c>
      <c r="I39" s="316" t="n">
        <v>0.06151</v>
      </c>
      <c r="J39" s="317" t="n">
        <v>84797.25338834</v>
      </c>
      <c r="K39" s="271">
        <f>IF(AND(ISNUMBER(I39),ISNUMBER(J39)),I39*J39,"")</f>
        <v/>
      </c>
      <c r="L39" s="339">
        <f>IF(COUNT(F39,I39)=0,"",N(F39)-N(I39))</f>
        <v/>
      </c>
      <c r="M39" s="340">
        <f>IF(COUNT(H39,K39)=0,"",N(K39)-N(H39))</f>
        <v/>
      </c>
      <c r="N39" s="339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inlineStr">
        <is>
          <t>T-0069</t>
        </is>
      </c>
      <c r="C40" s="319" t="n">
        <v>45913</v>
      </c>
      <c r="D40" s="318" t="n"/>
      <c r="E40" s="320" t="inlineStr">
        <is>
          <t>BNB/USD</t>
        </is>
      </c>
      <c r="F40" s="321" t="n"/>
      <c r="G40" s="322" t="n"/>
      <c r="H40" s="271">
        <f>IF(AND(ISNUMBER(F40),ISNUMBER(G40)),F40*G40,"")</f>
        <v/>
      </c>
      <c r="I40" s="321" t="n">
        <v>0.936698</v>
      </c>
      <c r="J40" s="322" t="n">
        <v>890.83973703</v>
      </c>
      <c r="K40" s="271">
        <f>IF(AND(ISNUMBER(I40),ISNUMBER(J40)),I40*J40,"")</f>
        <v/>
      </c>
      <c r="L40" s="341">
        <f>IF(COUNT(F40,I40)=0,"",N(F40)-N(I40))</f>
        <v/>
      </c>
      <c r="M40" s="342">
        <f>IF(COUNT(H40,K40)=0,"",N(K40)-N(H40))</f>
        <v/>
      </c>
      <c r="N40" s="341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inlineStr">
        <is>
          <t>T-0070</t>
        </is>
      </c>
      <c r="C41" s="314" t="n">
        <v>45931</v>
      </c>
      <c r="D41" s="313" t="n"/>
      <c r="E41" s="315" t="inlineStr">
        <is>
          <t>DOGE/BTC</t>
        </is>
      </c>
      <c r="F41" s="316" t="n">
        <v>680</v>
      </c>
      <c r="G41" s="317" t="n">
        <v>2.31e-06</v>
      </c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339">
        <f>IF(COUNT(F41,I41)=0,"",N(F41)-N(I41))</f>
        <v/>
      </c>
      <c r="M41" s="340">
        <f>IF(COUNT(H41,K41)=0,"",N(K41)-N(H41))</f>
        <v/>
      </c>
      <c r="N41" s="339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inlineStr">
        <is>
          <t>T-0071</t>
        </is>
      </c>
      <c r="C42" s="319" t="n">
        <v>45931</v>
      </c>
      <c r="D42" s="318" t="n"/>
      <c r="E42" s="320" t="inlineStr">
        <is>
          <t>DOGE/USD</t>
        </is>
      </c>
      <c r="F42" s="321" t="n"/>
      <c r="G42" s="322" t="n"/>
      <c r="H42" s="271">
        <f>IF(AND(ISNUMBER(F42),ISNUMBER(G42)),F42*G42,"")</f>
        <v/>
      </c>
      <c r="I42" s="321" t="n">
        <v>431</v>
      </c>
      <c r="J42" s="322" t="n">
        <v>0.15121</v>
      </c>
      <c r="K42" s="271">
        <f>IF(AND(ISNUMBER(I42),ISNUMBER(J42)),I42*J42,"")</f>
        <v/>
      </c>
      <c r="L42" s="341">
        <f>IF(COUNT(F42,I42)=0,"",N(F42)-N(I42))</f>
        <v/>
      </c>
      <c r="M42" s="342">
        <f>IF(COUNT(H42,K42)=0,"",N(K42)-N(H42))</f>
        <v/>
      </c>
      <c r="N42" s="341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inlineStr">
        <is>
          <t>T-0072</t>
        </is>
      </c>
      <c r="C43" s="314" t="n">
        <v>45931</v>
      </c>
      <c r="D43" s="313" t="n"/>
      <c r="E43" s="315" t="inlineStr">
        <is>
          <t>CAKE/USD</t>
        </is>
      </c>
      <c r="F43" s="316" t="n">
        <v>24</v>
      </c>
      <c r="G43" s="317" t="n">
        <v>9.33208333</v>
      </c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339">
        <f>IF(COUNT(F43,I43)=0,"",N(F43)-N(I43))</f>
        <v/>
      </c>
      <c r="M43" s="340">
        <f>IF(COUNT(H43,K43)=0,"",N(K43)-N(H43))</f>
        <v/>
      </c>
      <c r="N43" s="339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inlineStr">
        <is>
          <t>T-0073</t>
        </is>
      </c>
      <c r="C44" s="319" t="n">
        <v>45952</v>
      </c>
      <c r="D44" s="318" t="n"/>
      <c r="E44" s="320" t="inlineStr">
        <is>
          <t>XRP/BNB</t>
        </is>
      </c>
      <c r="F44" s="321" t="n">
        <v>72.35380000000001</v>
      </c>
      <c r="G44" s="322" t="n">
        <v>0.00254955</v>
      </c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341">
        <f>IF(COUNT(F44,I44)=0,"",N(F44)-N(I44))</f>
        <v/>
      </c>
      <c r="M44" s="342">
        <f>IF(COUNT(H44,K44)=0,"",N(K44)-N(H44))</f>
        <v/>
      </c>
      <c r="N44" s="341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inlineStr">
        <is>
          <t>T-0074</t>
        </is>
      </c>
      <c r="C45" s="314" t="n">
        <v>45964</v>
      </c>
      <c r="D45" s="313" t="n"/>
      <c r="E45" s="315" t="inlineStr">
        <is>
          <t>BNB/USD</t>
        </is>
      </c>
      <c r="F45" s="316" t="n">
        <v>0.159</v>
      </c>
      <c r="G45" s="317" t="n">
        <v>1083.07</v>
      </c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339">
        <f>IF(COUNT(F45,I45)=0,"",N(F45)-N(I45))</f>
        <v/>
      </c>
      <c r="M45" s="340">
        <f>IF(COUNT(H45,K45)=0,"",N(K45)-N(H45))</f>
        <v/>
      </c>
      <c r="N45" s="339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inlineStr">
        <is>
          <t>T-0075</t>
        </is>
      </c>
      <c r="C46" s="319" t="n">
        <v>45967</v>
      </c>
      <c r="D46" s="318" t="n"/>
      <c r="E46" s="320" t="inlineStr">
        <is>
          <t>DASH/USD</t>
        </is>
      </c>
      <c r="F46" s="321" t="n"/>
      <c r="G46" s="322" t="n"/>
      <c r="H46" s="271">
        <f>IF(AND(ISNUMBER(F46),ISNUMBER(G46)),F46*G46,"")</f>
        <v/>
      </c>
      <c r="I46" s="321" t="n">
        <v>3</v>
      </c>
      <c r="J46" s="322" t="n">
        <v>59.92002</v>
      </c>
      <c r="K46" s="271">
        <f>IF(AND(ISNUMBER(I46),ISNUMBER(J46)),I46*J46,"")</f>
        <v/>
      </c>
      <c r="L46" s="341">
        <f>IF(COUNT(F46,I46)=0,"",N(F46)-N(I46))</f>
        <v/>
      </c>
      <c r="M46" s="342">
        <f>IF(COUNT(H46,K46)=0,"",N(K46)-N(H46))</f>
        <v/>
      </c>
      <c r="N46" s="341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inlineStr">
        <is>
          <t>T-0076</t>
        </is>
      </c>
      <c r="C47" s="314" t="n">
        <v>45981</v>
      </c>
      <c r="D47" s="313" t="n"/>
      <c r="E47" s="315" t="inlineStr">
        <is>
          <t>ZEC/USD</t>
        </is>
      </c>
      <c r="F47" s="316" t="n"/>
      <c r="G47" s="317" t="n"/>
      <c r="H47" s="271">
        <f>IF(AND(ISNUMBER(F47),ISNUMBER(G47)),F47*G47,"")</f>
        <v/>
      </c>
      <c r="I47" s="316" t="n">
        <v>0.28</v>
      </c>
      <c r="J47" s="317" t="n">
        <v>668.96428571</v>
      </c>
      <c r="K47" s="271">
        <f>IF(AND(ISNUMBER(I47),ISNUMBER(J47)),I47*J47,"")</f>
        <v/>
      </c>
      <c r="L47" s="339">
        <f>IF(COUNT(F47,I47)=0,"",N(F47)-N(I47))</f>
        <v/>
      </c>
      <c r="M47" s="340">
        <f>IF(COUNT(H47,K47)=0,"",N(K47)-N(H47))</f>
        <v/>
      </c>
      <c r="N47" s="339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inlineStr">
        <is>
          <t>T-0077</t>
        </is>
      </c>
      <c r="C48" s="319" t="n">
        <v>46007</v>
      </c>
      <c r="D48" s="318" t="n"/>
      <c r="E48" s="320" t="inlineStr">
        <is>
          <t>HBAR/BTC</t>
        </is>
      </c>
      <c r="F48" s="321" t="n">
        <v>433</v>
      </c>
      <c r="G48" s="322" t="n">
        <v>1.32e-06</v>
      </c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341">
        <f>IF(COUNT(F48,I48)=0,"",N(F48)-N(I48))</f>
        <v/>
      </c>
      <c r="M48" s="342">
        <f>IF(COUNT(H48,K48)=0,"",N(K48)-N(H48))</f>
        <v/>
      </c>
      <c r="N48" s="341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inlineStr">
        <is>
          <t>T-0078</t>
        </is>
      </c>
      <c r="C49" s="314" t="n">
        <v>46008</v>
      </c>
      <c r="D49" s="313" t="n"/>
      <c r="E49" s="315" t="inlineStr">
        <is>
          <t>BCH/BTC</t>
        </is>
      </c>
      <c r="F49" s="316" t="n"/>
      <c r="G49" s="317" t="n"/>
      <c r="H49" s="271">
        <f>IF(AND(ISNUMBER(F49),ISNUMBER(G49)),F49*G49,"")</f>
        <v/>
      </c>
      <c r="I49" s="316" t="n">
        <v>8.20261</v>
      </c>
      <c r="J49" s="317" t="n">
        <v>0.00504588</v>
      </c>
      <c r="K49" s="271">
        <f>IF(AND(ISNUMBER(I49),ISNUMBER(J49)),I49*J49,"")</f>
        <v/>
      </c>
      <c r="L49" s="339">
        <f>IF(COUNT(F49,I49)=0,"",N(F49)-N(I49))</f>
        <v/>
      </c>
      <c r="M49" s="340">
        <f>IF(COUNT(H49,K49)=0,"",N(K49)-N(H49))</f>
        <v/>
      </c>
      <c r="N49" s="339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inlineStr">
        <is>
          <t>T-0079</t>
        </is>
      </c>
      <c r="C50" s="319" t="n">
        <v>46008</v>
      </c>
      <c r="D50" s="318" t="n"/>
      <c r="E50" s="320" t="inlineStr">
        <is>
          <t>SOL/ETH</t>
        </is>
      </c>
      <c r="F50" s="321" t="n"/>
      <c r="G50" s="322" t="n"/>
      <c r="H50" s="271">
        <f>IF(AND(ISNUMBER(F50),ISNUMBER(G50)),F50*G50,"")</f>
        <v/>
      </c>
      <c r="I50" s="321" t="n">
        <v>2.69</v>
      </c>
      <c r="J50" s="322" t="n">
        <v>0.043</v>
      </c>
      <c r="K50" s="271">
        <f>IF(AND(ISNUMBER(I50),ISNUMBER(J50)),I50*J50,"")</f>
        <v/>
      </c>
      <c r="L50" s="341">
        <f>IF(COUNT(F50,I50)=0,"",N(F50)-N(I50))</f>
        <v/>
      </c>
      <c r="M50" s="342">
        <f>IF(COUNT(H50,K50)=0,"",N(K50)-N(H50))</f>
        <v/>
      </c>
      <c r="N50" s="341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inlineStr">
        <is>
          <t>T-0080</t>
        </is>
      </c>
      <c r="C51" s="314" t="n">
        <v>46113</v>
      </c>
      <c r="D51" s="313" t="n"/>
      <c r="E51" s="315" t="inlineStr">
        <is>
          <t>XRP/USD</t>
        </is>
      </c>
      <c r="F51" s="316" t="n"/>
      <c r="G51" s="317" t="n"/>
      <c r="H51" s="271">
        <f>IF(AND(ISNUMBER(F51),ISNUMBER(G51)),F51*G51,"")</f>
        <v/>
      </c>
      <c r="I51" s="316" t="n">
        <v>859.53</v>
      </c>
      <c r="J51" s="317" t="n">
        <v>1.81231104</v>
      </c>
      <c r="K51" s="271">
        <f>IF(AND(ISNUMBER(I51),ISNUMBER(J51)),I51*J51,"")</f>
        <v/>
      </c>
      <c r="L51" s="339">
        <f>IF(COUNT(F51,I51)=0,"",N(F51)-N(I51))</f>
        <v/>
      </c>
      <c r="M51" s="340">
        <f>IF(COUNT(H51,K51)=0,"",N(K51)-N(H51))</f>
        <v/>
      </c>
      <c r="N51" s="339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inlineStr">
        <is>
          <t>T-0081</t>
        </is>
      </c>
      <c r="C52" s="319" t="n">
        <v>46144</v>
      </c>
      <c r="D52" s="318" t="n"/>
      <c r="E52" s="320" t="inlineStr">
        <is>
          <t>DASH/BTC</t>
        </is>
      </c>
      <c r="F52" s="321" t="n"/>
      <c r="G52" s="322" t="n"/>
      <c r="H52" s="271">
        <f>IF(AND(ISNUMBER(F52),ISNUMBER(G52)),F52*G52,"")</f>
        <v/>
      </c>
      <c r="I52" s="321" t="n">
        <v>4</v>
      </c>
      <c r="J52" s="322" t="n">
        <v>0.00054855</v>
      </c>
      <c r="K52" s="271">
        <f>IF(AND(ISNUMBER(I52),ISNUMBER(J52)),I52*J52,"")</f>
        <v/>
      </c>
      <c r="L52" s="341">
        <f>IF(COUNT(F52,I52)=0,"",N(F52)-N(I52))</f>
        <v/>
      </c>
      <c r="M52" s="342">
        <f>IF(COUNT(H52,K52)=0,"",N(K52)-N(H52))</f>
        <v/>
      </c>
      <c r="N52" s="341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inlineStr">
        <is>
          <t>T-0082</t>
        </is>
      </c>
      <c r="C53" s="314" t="n">
        <v>46289</v>
      </c>
      <c r="D53" s="313" t="n"/>
      <c r="E53" s="315" t="inlineStr">
        <is>
          <t>LTC/BTC</t>
        </is>
      </c>
      <c r="F53" s="316" t="n"/>
      <c r="G53" s="317" t="n"/>
      <c r="H53" s="271">
        <f>IF(AND(ISNUMBER(F53),ISNUMBER(G53)),F53*G53,"")</f>
        <v/>
      </c>
      <c r="I53" s="316" t="n">
        <v>1</v>
      </c>
      <c r="J53" s="317" t="n">
        <v>0.000812</v>
      </c>
      <c r="K53" s="271">
        <f>IF(AND(ISNUMBER(I53),ISNUMBER(J53)),I53*J53,"")</f>
        <v/>
      </c>
      <c r="L53" s="339">
        <f>IF(COUNT(F53,I53)=0,"",N(F53)-N(I53))</f>
        <v/>
      </c>
      <c r="M53" s="340">
        <f>IF(COUNT(H53,K53)=0,"",N(K53)-N(H53))</f>
        <v/>
      </c>
      <c r="N53" s="339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inlineStr">
        <is>
          <t>T-0083</t>
        </is>
      </c>
      <c r="C54" s="319" t="n">
        <v>46290</v>
      </c>
      <c r="D54" s="318" t="n"/>
      <c r="E54" s="320" t="inlineStr">
        <is>
          <t>DASH/BTC</t>
        </is>
      </c>
      <c r="F54" s="321" t="n">
        <v>1</v>
      </c>
      <c r="G54" s="322" t="n">
        <v>0.0007219</v>
      </c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341">
        <f>IF(COUNT(F54,I54)=0,"",N(F54)-N(I54))</f>
        <v/>
      </c>
      <c r="M54" s="342">
        <f>IF(COUNT(H54,K54)=0,"",N(K54)-N(H54))</f>
        <v/>
      </c>
      <c r="N54" s="341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339">
        <f>IF(COUNT(F55,I55)=0,"",N(F55)-N(I55))</f>
        <v/>
      </c>
      <c r="M55" s="340">
        <f>IF(COUNT(H55,K55)=0,"",N(K55)-N(H55))</f>
        <v/>
      </c>
      <c r="N55" s="339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341">
        <f>IF(COUNT(F56,I56)=0,"",N(F56)-N(I56))</f>
        <v/>
      </c>
      <c r="M56" s="342">
        <f>IF(COUNT(H56,K56)=0,"",N(K56)-N(H56))</f>
        <v/>
      </c>
      <c r="N56" s="341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339">
        <f>IF(COUNT(F57,I57)=0,"",N(F57)-N(I57))</f>
        <v/>
      </c>
      <c r="M57" s="340">
        <f>IF(COUNT(H57,K57)=0,"",N(K57)-N(H57))</f>
        <v/>
      </c>
      <c r="N57" s="339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341">
        <f>IF(COUNT(F58,I58)=0,"",N(F58)-N(I58))</f>
        <v/>
      </c>
      <c r="M58" s="342">
        <f>IF(COUNT(H58,K58)=0,"",N(K58)-N(H58))</f>
        <v/>
      </c>
      <c r="N58" s="341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339">
        <f>IF(COUNT(F59,I59)=0,"",N(F59)-N(I59))</f>
        <v/>
      </c>
      <c r="M59" s="340">
        <f>IF(COUNT(H59,K59)=0,"",N(K59)-N(H59))</f>
        <v/>
      </c>
      <c r="N59" s="339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341">
        <f>IF(COUNT(F60,I60)=0,"",N(F60)-N(I60))</f>
        <v/>
      </c>
      <c r="M60" s="342">
        <f>IF(COUNT(H60,K60)=0,"",N(K60)-N(H60))</f>
        <v/>
      </c>
      <c r="N60" s="341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339">
        <f>IF(COUNT(F61,I61)=0,"",N(F61)-N(I61))</f>
        <v/>
      </c>
      <c r="M61" s="340">
        <f>IF(COUNT(H61,K61)=0,"",N(K61)-N(H61))</f>
        <v/>
      </c>
      <c r="N61" s="339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341">
        <f>IF(COUNT(F62,I62)=0,"",N(F62)-N(I62))</f>
        <v/>
      </c>
      <c r="M62" s="342">
        <f>IF(COUNT(H62,K62)=0,"",N(K62)-N(H62))</f>
        <v/>
      </c>
      <c r="N62" s="341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339">
        <f>IF(COUNT(F63,I63)=0,"",N(F63)-N(I63))</f>
        <v/>
      </c>
      <c r="M63" s="340">
        <f>IF(COUNT(H63,K63)=0,"",N(K63)-N(H63))</f>
        <v/>
      </c>
      <c r="N63" s="339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341">
        <f>IF(COUNT(F64,I64)=0,"",N(F64)-N(I64))</f>
        <v/>
      </c>
      <c r="M64" s="342">
        <f>IF(COUNT(H64,K64)=0,"",N(K64)-N(H64))</f>
        <v/>
      </c>
      <c r="N64" s="341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339">
        <f>IF(COUNT(F65,I65)=0,"",N(F65)-N(I65))</f>
        <v/>
      </c>
      <c r="M65" s="340">
        <f>IF(COUNT(H65,K65)=0,"",N(K65)-N(H65))</f>
        <v/>
      </c>
      <c r="N65" s="339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341">
        <f>IF(COUNT(F66,I66)=0,"",N(F66)-N(I66))</f>
        <v/>
      </c>
      <c r="M66" s="342">
        <f>IF(COUNT(H66,K66)=0,"",N(K66)-N(H66))</f>
        <v/>
      </c>
      <c r="N66" s="341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339">
        <f>IF(COUNT(F67,I67)=0,"",N(F67)-N(I67))</f>
        <v/>
      </c>
      <c r="M67" s="340">
        <f>IF(COUNT(H67,K67)=0,"",N(K67)-N(H67))</f>
        <v/>
      </c>
      <c r="N67" s="339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341">
        <f>IF(COUNT(F68,I68)=0,"",N(F68)-N(I68))</f>
        <v/>
      </c>
      <c r="M68" s="342">
        <f>IF(COUNT(H68,K68)=0,"",N(K68)-N(H68))</f>
        <v/>
      </c>
      <c r="N68" s="341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339">
        <f>IF(COUNT(F69,I69)=0,"",N(F69)-N(I69))</f>
        <v/>
      </c>
      <c r="M69" s="340">
        <f>IF(COUNT(H69,K69)=0,"",N(K69)-N(H69))</f>
        <v/>
      </c>
      <c r="N69" s="339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341">
        <f>IF(COUNT(F70,I70)=0,"",N(F70)-N(I70))</f>
        <v/>
      </c>
      <c r="M70" s="342">
        <f>IF(COUNT(H70,K70)=0,"",N(K70)-N(H70))</f>
        <v/>
      </c>
      <c r="N70" s="341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339">
        <f>IF(COUNT(F71,I71)=0,"",N(F71)-N(I71))</f>
        <v/>
      </c>
      <c r="M71" s="340">
        <f>IF(COUNT(H71,K71)=0,"",N(K71)-N(H71))</f>
        <v/>
      </c>
      <c r="N71" s="339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341">
        <f>IF(COUNT(F72,I72)=0,"",N(F72)-N(I72))</f>
        <v/>
      </c>
      <c r="M72" s="342">
        <f>IF(COUNT(H72,K72)=0,"",N(K72)-N(H72))</f>
        <v/>
      </c>
      <c r="N72" s="341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339">
        <f>IF(COUNT(F73,I73)=0,"",N(F73)-N(I73))</f>
        <v/>
      </c>
      <c r="M73" s="340">
        <f>IF(COUNT(H73,K73)=0,"",N(K73)-N(H73))</f>
        <v/>
      </c>
      <c r="N73" s="339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341">
        <f>IF(COUNT(F74,I74)=0,"",N(F74)-N(I74))</f>
        <v/>
      </c>
      <c r="M74" s="342">
        <f>IF(COUNT(H74,K74)=0,"",N(K74)-N(H74))</f>
        <v/>
      </c>
      <c r="N74" s="341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339">
        <f>IF(COUNT(F75,I75)=0,"",N(F75)-N(I75))</f>
        <v/>
      </c>
      <c r="M75" s="340">
        <f>IF(COUNT(H75,K75)=0,"",N(K75)-N(H75))</f>
        <v/>
      </c>
      <c r="N75" s="339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341">
        <f>IF(COUNT(F76,I76)=0,"",N(F76)-N(I76))</f>
        <v/>
      </c>
      <c r="M76" s="342">
        <f>IF(COUNT(H76,K76)=0,"",N(K76)-N(H76))</f>
        <v/>
      </c>
      <c r="N76" s="341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339">
        <f>IF(COUNT(F77,I77)=0,"",N(F77)-N(I77))</f>
        <v/>
      </c>
      <c r="M77" s="340">
        <f>IF(COUNT(H77,K77)=0,"",N(K77)-N(H77))</f>
        <v/>
      </c>
      <c r="N77" s="339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341">
        <f>IF(COUNT(F78,I78)=0,"",N(F78)-N(I78))</f>
        <v/>
      </c>
      <c r="M78" s="342">
        <f>IF(COUNT(H78,K78)=0,"",N(K78)-N(H78))</f>
        <v/>
      </c>
      <c r="N78" s="341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339">
        <f>IF(COUNT(F79,I79)=0,"",N(F79)-N(I79))</f>
        <v/>
      </c>
      <c r="M79" s="340">
        <f>IF(COUNT(H79,K79)=0,"",N(K79)-N(H79))</f>
        <v/>
      </c>
      <c r="N79" s="339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341">
        <f>IF(COUNT(F80,I80)=0,"",N(F80)-N(I80))</f>
        <v/>
      </c>
      <c r="M80" s="342">
        <f>IF(COUNT(H80,K80)=0,"",N(K80)-N(H80))</f>
        <v/>
      </c>
      <c r="N80" s="341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339">
        <f>IF(COUNT(F81,I81)=0,"",N(F81)-N(I81))</f>
        <v/>
      </c>
      <c r="M81" s="340">
        <f>IF(COUNT(H81,K81)=0,"",N(K81)-N(H81))</f>
        <v/>
      </c>
      <c r="N81" s="339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341">
        <f>IF(COUNT(F82,I82)=0,"",N(F82)-N(I82))</f>
        <v/>
      </c>
      <c r="M82" s="342">
        <f>IF(COUNT(H82,K82)=0,"",N(K82)-N(H82))</f>
        <v/>
      </c>
      <c r="N82" s="341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339">
        <f>IF(COUNT(F83,I83)=0,"",N(F83)-N(I83))</f>
        <v/>
      </c>
      <c r="M83" s="340">
        <f>IF(COUNT(H83,K83)=0,"",N(K83)-N(H83))</f>
        <v/>
      </c>
      <c r="N83" s="339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341">
        <f>IF(COUNT(F84,I84)=0,"",N(F84)-N(I84))</f>
        <v/>
      </c>
      <c r="M84" s="342">
        <f>IF(COUNT(H84,K84)=0,"",N(K84)-N(H84))</f>
        <v/>
      </c>
      <c r="N84" s="341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339">
        <f>IF(COUNT(F85,I85)=0,"",N(F85)-N(I85))</f>
        <v/>
      </c>
      <c r="M85" s="340">
        <f>IF(COUNT(H85,K85)=0,"",N(K85)-N(H85))</f>
        <v/>
      </c>
      <c r="N85" s="339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341">
        <f>IF(COUNT(F86,I86)=0,"",N(F86)-N(I86))</f>
        <v/>
      </c>
      <c r="M86" s="342">
        <f>IF(COUNT(H86,K86)=0,"",N(K86)-N(H86))</f>
        <v/>
      </c>
      <c r="N86" s="341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339">
        <f>IF(COUNT(F87,I87)=0,"",N(F87)-N(I87))</f>
        <v/>
      </c>
      <c r="M87" s="340">
        <f>IF(COUNT(H87,K87)=0,"",N(K87)-N(H87))</f>
        <v/>
      </c>
      <c r="N87" s="339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341">
        <f>IF(COUNT(F88,I88)=0,"",N(F88)-N(I88))</f>
        <v/>
      </c>
      <c r="M88" s="342">
        <f>IF(COUNT(H88,K88)=0,"",N(K88)-N(H88))</f>
        <v/>
      </c>
      <c r="N88" s="341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339">
        <f>IF(COUNT(F89,I89)=0,"",N(F89)-N(I89))</f>
        <v/>
      </c>
      <c r="M89" s="340">
        <f>IF(COUNT(H89,K89)=0,"",N(K89)-N(H89))</f>
        <v/>
      </c>
      <c r="N89" s="339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341">
        <f>IF(COUNT(F90,I90)=0,"",N(F90)-N(I90))</f>
        <v/>
      </c>
      <c r="M90" s="342">
        <f>IF(COUNT(H90,K90)=0,"",N(K90)-N(H90))</f>
        <v/>
      </c>
      <c r="N90" s="341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339">
        <f>IF(COUNT(F91,I91)=0,"",N(F91)-N(I91))</f>
        <v/>
      </c>
      <c r="M91" s="340">
        <f>IF(COUNT(H91,K91)=0,"",N(K91)-N(H91))</f>
        <v/>
      </c>
      <c r="N91" s="339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341">
        <f>IF(COUNT(F92,I92)=0,"",N(F92)-N(I92))</f>
        <v/>
      </c>
      <c r="M92" s="342">
        <f>IF(COUNT(H92,K92)=0,"",N(K92)-N(H92))</f>
        <v/>
      </c>
      <c r="N92" s="341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339">
        <f>IF(COUNT(F93,I93)=0,"",N(F93)-N(I93))</f>
        <v/>
      </c>
      <c r="M93" s="340">
        <f>IF(COUNT(H93,K93)=0,"",N(K93)-N(H93))</f>
        <v/>
      </c>
      <c r="N93" s="339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341">
        <f>IF(COUNT(F94,I94)=0,"",N(F94)-N(I94))</f>
        <v/>
      </c>
      <c r="M94" s="342">
        <f>IF(COUNT(H94,K94)=0,"",N(K94)-N(H94))</f>
        <v/>
      </c>
      <c r="N94" s="341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339">
        <f>IF(COUNT(F95,I95)=0,"",N(F95)-N(I95))</f>
        <v/>
      </c>
      <c r="M95" s="340">
        <f>IF(COUNT(H95,K95)=0,"",N(K95)-N(H95))</f>
        <v/>
      </c>
      <c r="N95" s="339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341">
        <f>IF(COUNT(F96,I96)=0,"",N(F96)-N(I96))</f>
        <v/>
      </c>
      <c r="M96" s="342">
        <f>IF(COUNT(H96,K96)=0,"",N(K96)-N(H96))</f>
        <v/>
      </c>
      <c r="N96" s="341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339">
        <f>IF(COUNT(F97,I97)=0,"",N(F97)-N(I97))</f>
        <v/>
      </c>
      <c r="M97" s="340">
        <f>IF(COUNT(H97,K97)=0,"",N(K97)-N(H97))</f>
        <v/>
      </c>
      <c r="N97" s="339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341">
        <f>IF(COUNT(F98,I98)=0,"",N(F98)-N(I98))</f>
        <v/>
      </c>
      <c r="M98" s="342">
        <f>IF(COUNT(H98,K98)=0,"",N(K98)-N(H98))</f>
        <v/>
      </c>
      <c r="N98" s="341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339">
        <f>IF(COUNT(F99,I99)=0,"",N(F99)-N(I99))</f>
        <v/>
      </c>
      <c r="M99" s="340">
        <f>IF(COUNT(H99,K99)=0,"",N(K99)-N(H99))</f>
        <v/>
      </c>
      <c r="N99" s="339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341">
        <f>IF(COUNT(F100,I100)=0,"",N(F100)-N(I100))</f>
        <v/>
      </c>
      <c r="M100" s="342">
        <f>IF(COUNT(H100,K100)=0,"",N(K100)-N(H100))</f>
        <v/>
      </c>
      <c r="N100" s="341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339">
        <f>IF(COUNT(F101,I101)=0,"",N(F101)-N(I101))</f>
        <v/>
      </c>
      <c r="M101" s="340">
        <f>IF(COUNT(H101,K101)=0,"",N(K101)-N(H101))</f>
        <v/>
      </c>
      <c r="N101" s="339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341">
        <f>IF(COUNT(F102,I102)=0,"",N(F102)-N(I102))</f>
        <v/>
      </c>
      <c r="M102" s="342">
        <f>IF(COUNT(H102,K102)=0,"",N(K102)-N(H102))</f>
        <v/>
      </c>
      <c r="N102" s="341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339">
        <f>IF(COUNT(F103,I103)=0,"",N(F103)-N(I103))</f>
        <v/>
      </c>
      <c r="M103" s="340">
        <f>IF(COUNT(H103,K103)=0,"",N(K103)-N(H103))</f>
        <v/>
      </c>
      <c r="N103" s="339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341">
        <f>IF(COUNT(F104,I104)=0,"",N(F104)-N(I104))</f>
        <v/>
      </c>
      <c r="M104" s="342">
        <f>IF(COUNT(H104,K104)=0,"",N(K104)-N(H104))</f>
        <v/>
      </c>
      <c r="N104" s="341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339">
        <f>IF(COUNT(F105,I105)=0,"",N(F105)-N(I105))</f>
        <v/>
      </c>
      <c r="M105" s="340">
        <f>IF(COUNT(H105,K105)=0,"",N(K105)-N(H105))</f>
        <v/>
      </c>
      <c r="N105" s="339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341">
        <f>IF(COUNT(F106,I106)=0,"",N(F106)-N(I106))</f>
        <v/>
      </c>
      <c r="M106" s="342">
        <f>IF(COUNT(H106,K106)=0,"",N(K106)-N(H106))</f>
        <v/>
      </c>
      <c r="N106" s="341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339">
        <f>IF(COUNT(F107,I107)=0,"",N(F107)-N(I107))</f>
        <v/>
      </c>
      <c r="M107" s="340">
        <f>IF(COUNT(H107,K107)=0,"",N(K107)-N(H107))</f>
        <v/>
      </c>
      <c r="N107" s="339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341">
        <f>IF(COUNT(F108,I108)=0,"",N(F108)-N(I108))</f>
        <v/>
      </c>
      <c r="M108" s="342">
        <f>IF(COUNT(H108,K108)=0,"",N(K108)-N(H108))</f>
        <v/>
      </c>
      <c r="N108" s="341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339">
        <f>IF(COUNT(F109,I109)=0,"",N(F109)-N(I109))</f>
        <v/>
      </c>
      <c r="M109" s="340">
        <f>IF(COUNT(H109,K109)=0,"",N(K109)-N(H109))</f>
        <v/>
      </c>
      <c r="N109" s="339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341">
        <f>IF(COUNT(F110,I110)=0,"",N(F110)-N(I110))</f>
        <v/>
      </c>
      <c r="M110" s="342">
        <f>IF(COUNT(H110,K110)=0,"",N(K110)-N(H110))</f>
        <v/>
      </c>
      <c r="N110" s="341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339">
        <f>IF(COUNT(F111,I111)=0,"",N(F111)-N(I111))</f>
        <v/>
      </c>
      <c r="M111" s="340">
        <f>IF(COUNT(H111,K111)=0,"",N(K111)-N(H111))</f>
        <v/>
      </c>
      <c r="N111" s="339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341">
        <f>IF(COUNT(F112,I112)=0,"",N(F112)-N(I112))</f>
        <v/>
      </c>
      <c r="M112" s="342">
        <f>IF(COUNT(H112,K112)=0,"",N(K112)-N(H112))</f>
        <v/>
      </c>
      <c r="N112" s="341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339">
        <f>IF(COUNT(F113,I113)=0,"",N(F113)-N(I113))</f>
        <v/>
      </c>
      <c r="M113" s="340">
        <f>IF(COUNT(H113,K113)=0,"",N(K113)-N(H113))</f>
        <v/>
      </c>
      <c r="N113" s="339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341">
        <f>IF(COUNT(F114,I114)=0,"",N(F114)-N(I114))</f>
        <v/>
      </c>
      <c r="M114" s="342">
        <f>IF(COUNT(H114,K114)=0,"",N(K114)-N(H114))</f>
        <v/>
      </c>
      <c r="N114" s="341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339">
        <f>IF(COUNT(F115,I115)=0,"",N(F115)-N(I115))</f>
        <v/>
      </c>
      <c r="M115" s="340">
        <f>IF(COUNT(H115,K115)=0,"",N(K115)-N(H115))</f>
        <v/>
      </c>
      <c r="N115" s="339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341">
        <f>IF(COUNT(F116,I116)=0,"",N(F116)-N(I116))</f>
        <v/>
      </c>
      <c r="M116" s="342">
        <f>IF(COUNT(H116,K116)=0,"",N(K116)-N(H116))</f>
        <v/>
      </c>
      <c r="N116" s="341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339">
        <f>IF(COUNT(F117,I117)=0,"",N(F117)-N(I117))</f>
        <v/>
      </c>
      <c r="M117" s="340">
        <f>IF(COUNT(H117,K117)=0,"",N(K117)-N(H117))</f>
        <v/>
      </c>
      <c r="N117" s="339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341">
        <f>IF(COUNT(F118,I118)=0,"",N(F118)-N(I118))</f>
        <v/>
      </c>
      <c r="M118" s="342">
        <f>IF(COUNT(H118,K118)=0,"",N(K118)-N(H118))</f>
        <v/>
      </c>
      <c r="N118" s="341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339">
        <f>IF(COUNT(F119,I119)=0,"",N(F119)-N(I119))</f>
        <v/>
      </c>
      <c r="M119" s="340">
        <f>IF(COUNT(H119,K119)=0,"",N(K119)-N(H119))</f>
        <v/>
      </c>
      <c r="N119" s="339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341">
        <f>IF(COUNT(F120,I120)=0,"",N(F120)-N(I120))</f>
        <v/>
      </c>
      <c r="M120" s="342">
        <f>IF(COUNT(H120,K120)=0,"",N(K120)-N(H120))</f>
        <v/>
      </c>
      <c r="N120" s="341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339">
        <f>IF(COUNT(F121,I121)=0,"",N(F121)-N(I121))</f>
        <v/>
      </c>
      <c r="M121" s="340">
        <f>IF(COUNT(H121,K121)=0,"",N(K121)-N(H121))</f>
        <v/>
      </c>
      <c r="N121" s="339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341">
        <f>IF(COUNT(F122,I122)=0,"",N(F122)-N(I122))</f>
        <v/>
      </c>
      <c r="M122" s="342">
        <f>IF(COUNT(H122,K122)=0,"",N(K122)-N(H122))</f>
        <v/>
      </c>
      <c r="N122" s="341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339">
        <f>IF(COUNT(F123,I123)=0,"",N(F123)-N(I123))</f>
        <v/>
      </c>
      <c r="M123" s="340">
        <f>IF(COUNT(H123,K123)=0,"",N(K123)-N(H123))</f>
        <v/>
      </c>
      <c r="N123" s="339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341">
        <f>IF(COUNT(F124,I124)=0,"",N(F124)-N(I124))</f>
        <v/>
      </c>
      <c r="M124" s="342">
        <f>IF(COUNT(H124,K124)=0,"",N(K124)-N(H124))</f>
        <v/>
      </c>
      <c r="N124" s="341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339">
        <f>IF(COUNT(F125,I125)=0,"",N(F125)-N(I125))</f>
        <v/>
      </c>
      <c r="M125" s="340">
        <f>IF(COUNT(H125,K125)=0,"",N(K125)-N(H125))</f>
        <v/>
      </c>
      <c r="N125" s="339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341">
        <f>IF(COUNT(F126,I126)=0,"",N(F126)-N(I126))</f>
        <v/>
      </c>
      <c r="M126" s="342">
        <f>IF(COUNT(H126,K126)=0,"",N(K126)-N(H126))</f>
        <v/>
      </c>
      <c r="N126" s="341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339">
        <f>IF(COUNT(F127,I127)=0,"",N(F127)-N(I127))</f>
        <v/>
      </c>
      <c r="M127" s="340">
        <f>IF(COUNT(H127,K127)=0,"",N(K127)-N(H127))</f>
        <v/>
      </c>
      <c r="N127" s="339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341">
        <f>IF(COUNT(F128,I128)=0,"",N(F128)-N(I128))</f>
        <v/>
      </c>
      <c r="M128" s="342">
        <f>IF(COUNT(H128,K128)=0,"",N(K128)-N(H128))</f>
        <v/>
      </c>
      <c r="N128" s="341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339">
        <f>IF(COUNT(F129,I129)=0,"",N(F129)-N(I129))</f>
        <v/>
      </c>
      <c r="M129" s="340">
        <f>IF(COUNT(H129,K129)=0,"",N(K129)-N(H129))</f>
        <v/>
      </c>
      <c r="N129" s="339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341">
        <f>IF(COUNT(F130,I130)=0,"",N(F130)-N(I130))</f>
        <v/>
      </c>
      <c r="M130" s="342">
        <f>IF(COUNT(H130,K130)=0,"",N(K130)-N(H130))</f>
        <v/>
      </c>
      <c r="N130" s="341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339">
        <f>IF(COUNT(F131,I131)=0,"",N(F131)-N(I131))</f>
        <v/>
      </c>
      <c r="M131" s="340">
        <f>IF(COUNT(H131,K131)=0,"",N(K131)-N(H131))</f>
        <v/>
      </c>
      <c r="N131" s="339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341">
        <f>IF(COUNT(F132,I132)=0,"",N(F132)-N(I132))</f>
        <v/>
      </c>
      <c r="M132" s="342">
        <f>IF(COUNT(H132,K132)=0,"",N(K132)-N(H132))</f>
        <v/>
      </c>
      <c r="N132" s="341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339">
        <f>IF(COUNT(F133,I133)=0,"",N(F133)-N(I133))</f>
        <v/>
      </c>
      <c r="M133" s="340">
        <f>IF(COUNT(H133,K133)=0,"",N(K133)-N(H133))</f>
        <v/>
      </c>
      <c r="N133" s="339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341">
        <f>IF(COUNT(F134,I134)=0,"",N(F134)-N(I134))</f>
        <v/>
      </c>
      <c r="M134" s="342">
        <f>IF(COUNT(H134,K134)=0,"",N(K134)-N(H134))</f>
        <v/>
      </c>
      <c r="N134" s="341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339">
        <f>IF(COUNT(F135,I135)=0,"",N(F135)-N(I135))</f>
        <v/>
      </c>
      <c r="M135" s="340">
        <f>IF(COUNT(H135,K135)=0,"",N(K135)-N(H135))</f>
        <v/>
      </c>
      <c r="N135" s="339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341">
        <f>IF(COUNT(F136,I136)=0,"",N(F136)-N(I136))</f>
        <v/>
      </c>
      <c r="M136" s="342">
        <f>IF(COUNT(H136,K136)=0,"",N(K136)-N(H136))</f>
        <v/>
      </c>
      <c r="N136" s="341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339">
        <f>IF(COUNT(F137,I137)=0,"",N(F137)-N(I137))</f>
        <v/>
      </c>
      <c r="M137" s="340">
        <f>IF(COUNT(H137,K137)=0,"",N(K137)-N(H137))</f>
        <v/>
      </c>
      <c r="N137" s="339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341">
        <f>IF(COUNT(F138,I138)=0,"",N(F138)-N(I138))</f>
        <v/>
      </c>
      <c r="M138" s="342">
        <f>IF(COUNT(H138,K138)=0,"",N(K138)-N(H138))</f>
        <v/>
      </c>
      <c r="N138" s="341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339">
        <f>IF(COUNT(F139,I139)=0,"",N(F139)-N(I139))</f>
        <v/>
      </c>
      <c r="M139" s="340">
        <f>IF(COUNT(H139,K139)=0,"",N(K139)-N(H139))</f>
        <v/>
      </c>
      <c r="N139" s="339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341">
        <f>IF(COUNT(F140,I140)=0,"",N(F140)-N(I140))</f>
        <v/>
      </c>
      <c r="M140" s="342">
        <f>IF(COUNT(H140,K140)=0,"",N(K140)-N(H140))</f>
        <v/>
      </c>
      <c r="N140" s="341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339">
        <f>IF(COUNT(F141,I141)=0,"",N(F141)-N(I141))</f>
        <v/>
      </c>
      <c r="M141" s="340">
        <f>IF(COUNT(H141,K141)=0,"",N(K141)-N(H141))</f>
        <v/>
      </c>
      <c r="N141" s="339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341">
        <f>IF(COUNT(F142,I142)=0,"",N(F142)-N(I142))</f>
        <v/>
      </c>
      <c r="M142" s="342">
        <f>IF(COUNT(H142,K142)=0,"",N(K142)-N(H142))</f>
        <v/>
      </c>
      <c r="N142" s="341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339">
        <f>IF(COUNT(F143,I143)=0,"",N(F143)-N(I143))</f>
        <v/>
      </c>
      <c r="M143" s="340">
        <f>IF(COUNT(H143,K143)=0,"",N(K143)-N(H143))</f>
        <v/>
      </c>
      <c r="N143" s="339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341">
        <f>IF(COUNT(F144,I144)=0,"",N(F144)-N(I144))</f>
        <v/>
      </c>
      <c r="M144" s="342">
        <f>IF(COUNT(H144,K144)=0,"",N(K144)-N(H144))</f>
        <v/>
      </c>
      <c r="N144" s="341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339">
        <f>IF(COUNT(F145,I145)=0,"",N(F145)-N(I145))</f>
        <v/>
      </c>
      <c r="M145" s="340">
        <f>IF(COUNT(H145,K145)=0,"",N(K145)-N(H145))</f>
        <v/>
      </c>
      <c r="N145" s="339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341">
        <f>IF(COUNT(F146,I146)=0,"",N(F146)-N(I146))</f>
        <v/>
      </c>
      <c r="M146" s="342">
        <f>IF(COUNT(H146,K146)=0,"",N(K146)-N(H146))</f>
        <v/>
      </c>
      <c r="N146" s="341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339">
        <f>IF(COUNT(F147,I147)=0,"",N(F147)-N(I147))</f>
        <v/>
      </c>
      <c r="M147" s="340">
        <f>IF(COUNT(H147,K147)=0,"",N(K147)-N(H147))</f>
        <v/>
      </c>
      <c r="N147" s="339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341">
        <f>IF(COUNT(F148,I148)=0,"",N(F148)-N(I148))</f>
        <v/>
      </c>
      <c r="M148" s="342">
        <f>IF(COUNT(H148,K148)=0,"",N(K148)-N(H148))</f>
        <v/>
      </c>
      <c r="N148" s="341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339">
        <f>IF(COUNT(F149,I149)=0,"",N(F149)-N(I149))</f>
        <v/>
      </c>
      <c r="M149" s="340">
        <f>IF(COUNT(H149,K149)=0,"",N(K149)-N(H149))</f>
        <v/>
      </c>
      <c r="N149" s="339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341">
        <f>IF(COUNT(F150,I150)=0,"",N(F150)-N(I150))</f>
        <v/>
      </c>
      <c r="M150" s="342">
        <f>IF(COUNT(H150,K150)=0,"",N(K150)-N(H150))</f>
        <v/>
      </c>
      <c r="N150" s="341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339">
        <f>IF(COUNT(F151,I151)=0,"",N(F151)-N(I151))</f>
        <v/>
      </c>
      <c r="M151" s="340">
        <f>IF(COUNT(H151,K151)=0,"",N(K151)-N(H151))</f>
        <v/>
      </c>
      <c r="N151" s="339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341">
        <f>IF(COUNT(F152,I152)=0,"",N(F152)-N(I152))</f>
        <v/>
      </c>
      <c r="M152" s="342">
        <f>IF(COUNT(H152,K152)=0,"",N(K152)-N(H152))</f>
        <v/>
      </c>
      <c r="N152" s="341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339">
        <f>IF(COUNT(F153,I153)=0,"",N(F153)-N(I153))</f>
        <v/>
      </c>
      <c r="M153" s="340">
        <f>IF(COUNT(H153,K153)=0,"",N(K153)-N(H153))</f>
        <v/>
      </c>
      <c r="N153" s="339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341">
        <f>IF(COUNT(F154,I154)=0,"",N(F154)-N(I154))</f>
        <v/>
      </c>
      <c r="M154" s="342">
        <f>IF(COUNT(H154,K154)=0,"",N(K154)-N(H154))</f>
        <v/>
      </c>
      <c r="N154" s="341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339">
        <f>IF(COUNT(F155,I155)=0,"",N(F155)-N(I155))</f>
        <v/>
      </c>
      <c r="M155" s="340">
        <f>IF(COUNT(H155,K155)=0,"",N(K155)-N(H155))</f>
        <v/>
      </c>
      <c r="N155" s="339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341">
        <f>IF(COUNT(F156,I156)=0,"",N(F156)-N(I156))</f>
        <v/>
      </c>
      <c r="M156" s="342">
        <f>IF(COUNT(H156,K156)=0,"",N(K156)-N(H156))</f>
        <v/>
      </c>
      <c r="N156" s="341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339">
        <f>IF(COUNT(F157,I157)=0,"",N(F157)-N(I157))</f>
        <v/>
      </c>
      <c r="M157" s="340">
        <f>IF(COUNT(H157,K157)=0,"",N(K157)-N(H157))</f>
        <v/>
      </c>
      <c r="N157" s="339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341">
        <f>IF(COUNT(F158,I158)=0,"",N(F158)-N(I158))</f>
        <v/>
      </c>
      <c r="M158" s="342">
        <f>IF(COUNT(H158,K158)=0,"",N(K158)-N(H158))</f>
        <v/>
      </c>
      <c r="N158" s="341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339">
        <f>IF(COUNT(F159,I159)=0,"",N(F159)-N(I159))</f>
        <v/>
      </c>
      <c r="M159" s="340">
        <f>IF(COUNT(H159,K159)=0,"",N(K159)-N(H159))</f>
        <v/>
      </c>
      <c r="N159" s="339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341">
        <f>IF(COUNT(F160,I160)=0,"",N(F160)-N(I160))</f>
        <v/>
      </c>
      <c r="M160" s="342">
        <f>IF(COUNT(H160,K160)=0,"",N(K160)-N(H160))</f>
        <v/>
      </c>
      <c r="N160" s="341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339">
        <f>IF(COUNT(F161,I161)=0,"",N(F161)-N(I161))</f>
        <v/>
      </c>
      <c r="M161" s="340">
        <f>IF(COUNT(H161,K161)=0,"",N(K161)-N(H161))</f>
        <v/>
      </c>
      <c r="N161" s="339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341">
        <f>IF(COUNT(F162,I162)=0,"",N(F162)-N(I162))</f>
        <v/>
      </c>
      <c r="M162" s="342">
        <f>IF(COUNT(H162,K162)=0,"",N(K162)-N(H162))</f>
        <v/>
      </c>
      <c r="N162" s="341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339">
        <f>IF(COUNT(F163,I163)=0,"",N(F163)-N(I163))</f>
        <v/>
      </c>
      <c r="M163" s="340">
        <f>IF(COUNT(H163,K163)=0,"",N(K163)-N(H163))</f>
        <v/>
      </c>
      <c r="N163" s="339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341">
        <f>IF(COUNT(F164,I164)=0,"",N(F164)-N(I164))</f>
        <v/>
      </c>
      <c r="M164" s="342">
        <f>IF(COUNT(H164,K164)=0,"",N(K164)-N(H164))</f>
        <v/>
      </c>
      <c r="N164" s="341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339">
        <f>IF(COUNT(F165,I165)=0,"",N(F165)-N(I165))</f>
        <v/>
      </c>
      <c r="M165" s="340">
        <f>IF(COUNT(H165,K165)=0,"",N(K165)-N(H165))</f>
        <v/>
      </c>
      <c r="N165" s="339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341">
        <f>IF(COUNT(F166,I166)=0,"",N(F166)-N(I166))</f>
        <v/>
      </c>
      <c r="M166" s="342">
        <f>IF(COUNT(H166,K166)=0,"",N(K166)-N(H166))</f>
        <v/>
      </c>
      <c r="N166" s="341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339">
        <f>IF(COUNT(F167,I167)=0,"",N(F167)-N(I167))</f>
        <v/>
      </c>
      <c r="M167" s="340">
        <f>IF(COUNT(H167,K167)=0,"",N(K167)-N(H167))</f>
        <v/>
      </c>
      <c r="N167" s="339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341">
        <f>IF(COUNT(F168,I168)=0,"",N(F168)-N(I168))</f>
        <v/>
      </c>
      <c r="M168" s="342">
        <f>IF(COUNT(H168,K168)=0,"",N(K168)-N(H168))</f>
        <v/>
      </c>
      <c r="N168" s="341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339">
        <f>IF(COUNT(F169,I169)=0,"",N(F169)-N(I169))</f>
        <v/>
      </c>
      <c r="M169" s="340">
        <f>IF(COUNT(H169,K169)=0,"",N(K169)-N(H169))</f>
        <v/>
      </c>
      <c r="N169" s="339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341">
        <f>IF(COUNT(F170,I170)=0,"",N(F170)-N(I170))</f>
        <v/>
      </c>
      <c r="M170" s="342">
        <f>IF(COUNT(H170,K170)=0,"",N(K170)-N(H170))</f>
        <v/>
      </c>
      <c r="N170" s="341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339">
        <f>IF(COUNT(F171,I171)=0,"",N(F171)-N(I171))</f>
        <v/>
      </c>
      <c r="M171" s="340">
        <f>IF(COUNT(H171,K171)=0,"",N(K171)-N(H171))</f>
        <v/>
      </c>
      <c r="N171" s="339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341">
        <f>IF(COUNT(F172,I172)=0,"",N(F172)-N(I172))</f>
        <v/>
      </c>
      <c r="M172" s="342">
        <f>IF(COUNT(H172,K172)=0,"",N(K172)-N(H172))</f>
        <v/>
      </c>
      <c r="N172" s="341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339">
        <f>IF(COUNT(F173,I173)=0,"",N(F173)-N(I173))</f>
        <v/>
      </c>
      <c r="M173" s="340">
        <f>IF(COUNT(H173,K173)=0,"",N(K173)-N(H173))</f>
        <v/>
      </c>
      <c r="N173" s="339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341">
        <f>IF(COUNT(F174,I174)=0,"",N(F174)-N(I174))</f>
        <v/>
      </c>
      <c r="M174" s="342">
        <f>IF(COUNT(H174,K174)=0,"",N(K174)-N(H174))</f>
        <v/>
      </c>
      <c r="N174" s="341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339">
        <f>IF(COUNT(F175,I175)=0,"",N(F175)-N(I175))</f>
        <v/>
      </c>
      <c r="M175" s="340">
        <f>IF(COUNT(H175,K175)=0,"",N(K175)-N(H175))</f>
        <v/>
      </c>
      <c r="N175" s="339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341">
        <f>IF(COUNT(F176,I176)=0,"",N(F176)-N(I176))</f>
        <v/>
      </c>
      <c r="M176" s="342">
        <f>IF(COUNT(H176,K176)=0,"",N(K176)-N(H176))</f>
        <v/>
      </c>
      <c r="N176" s="341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339">
        <f>IF(COUNT(F177,I177)=0,"",N(F177)-N(I177))</f>
        <v/>
      </c>
      <c r="M177" s="340">
        <f>IF(COUNT(H177,K177)=0,"",N(K177)-N(H177))</f>
        <v/>
      </c>
      <c r="N177" s="339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341">
        <f>IF(COUNT(F178,I178)=0,"",N(F178)-N(I178))</f>
        <v/>
      </c>
      <c r="M178" s="342">
        <f>IF(COUNT(H178,K178)=0,"",N(K178)-N(H178))</f>
        <v/>
      </c>
      <c r="N178" s="341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339">
        <f>IF(COUNT(F179,I179)=0,"",N(F179)-N(I179))</f>
        <v/>
      </c>
      <c r="M179" s="340">
        <f>IF(COUNT(H179,K179)=0,"",N(K179)-N(H179))</f>
        <v/>
      </c>
      <c r="N179" s="339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341">
        <f>IF(COUNT(F180,I180)=0,"",N(F180)-N(I180))</f>
        <v/>
      </c>
      <c r="M180" s="342">
        <f>IF(COUNT(H180,K180)=0,"",N(K180)-N(H180))</f>
        <v/>
      </c>
      <c r="N180" s="341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339">
        <f>IF(COUNT(F181,I181)=0,"",N(F181)-N(I181))</f>
        <v/>
      </c>
      <c r="M181" s="340">
        <f>IF(COUNT(H181,K181)=0,"",N(K181)-N(H181))</f>
        <v/>
      </c>
      <c r="N181" s="339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341">
        <f>IF(COUNT(F182,I182)=0,"",N(F182)-N(I182))</f>
        <v/>
      </c>
      <c r="M182" s="342">
        <f>IF(COUNT(H182,K182)=0,"",N(K182)-N(H182))</f>
        <v/>
      </c>
      <c r="N182" s="341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339">
        <f>IF(COUNT(F183,I183)=0,"",N(F183)-N(I183))</f>
        <v/>
      </c>
      <c r="M183" s="340">
        <f>IF(COUNT(H183,K183)=0,"",N(K183)-N(H183))</f>
        <v/>
      </c>
      <c r="N183" s="339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341">
        <f>IF(COUNT(F184,I184)=0,"",N(F184)-N(I184))</f>
        <v/>
      </c>
      <c r="M184" s="342">
        <f>IF(COUNT(H184,K184)=0,"",N(K184)-N(H184))</f>
        <v/>
      </c>
      <c r="N184" s="341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339">
        <f>IF(COUNT(F185,I185)=0,"",N(F185)-N(I185))</f>
        <v/>
      </c>
      <c r="M185" s="340">
        <f>IF(COUNT(H185,K185)=0,"",N(K185)-N(H185))</f>
        <v/>
      </c>
      <c r="N185" s="339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341">
        <f>IF(COUNT(F186,I186)=0,"",N(F186)-N(I186))</f>
        <v/>
      </c>
      <c r="M186" s="342">
        <f>IF(COUNT(H186,K186)=0,"",N(K186)-N(H186))</f>
        <v/>
      </c>
      <c r="N186" s="341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339">
        <f>IF(COUNT(F187,I187)=0,"",N(F187)-N(I187))</f>
        <v/>
      </c>
      <c r="M187" s="340">
        <f>IF(COUNT(H187,K187)=0,"",N(K187)-N(H187))</f>
        <v/>
      </c>
      <c r="N187" s="339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341">
        <f>IF(COUNT(F188,I188)=0,"",N(F188)-N(I188))</f>
        <v/>
      </c>
      <c r="M188" s="342">
        <f>IF(COUNT(H188,K188)=0,"",N(K188)-N(H188))</f>
        <v/>
      </c>
      <c r="N188" s="341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339">
        <f>IF(COUNT(F189,I189)=0,"",N(F189)-N(I189))</f>
        <v/>
      </c>
      <c r="M189" s="340">
        <f>IF(COUNT(H189,K189)=0,"",N(K189)-N(H189))</f>
        <v/>
      </c>
      <c r="N189" s="339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341">
        <f>IF(COUNT(F190,I190)=0,"",N(F190)-N(I190))</f>
        <v/>
      </c>
      <c r="M190" s="342">
        <f>IF(COUNT(H190,K190)=0,"",N(K190)-N(H190))</f>
        <v/>
      </c>
      <c r="N190" s="341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339">
        <f>IF(COUNT(F191,I191)=0,"",N(F191)-N(I191))</f>
        <v/>
      </c>
      <c r="M191" s="340">
        <f>IF(COUNT(H191,K191)=0,"",N(K191)-N(H191))</f>
        <v/>
      </c>
      <c r="N191" s="339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341">
        <f>IF(COUNT(F192,I192)=0,"",N(F192)-N(I192))</f>
        <v/>
      </c>
      <c r="M192" s="342">
        <f>IF(COUNT(H192,K192)=0,"",N(K192)-N(H192))</f>
        <v/>
      </c>
      <c r="N192" s="341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339">
        <f>IF(COUNT(F193,I193)=0,"",N(F193)-N(I193))</f>
        <v/>
      </c>
      <c r="M193" s="340">
        <f>IF(COUNT(H193,K193)=0,"",N(K193)-N(H193))</f>
        <v/>
      </c>
      <c r="N193" s="339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341">
        <f>IF(COUNT(F194,I194)=0,"",N(F194)-N(I194))</f>
        <v/>
      </c>
      <c r="M194" s="342">
        <f>IF(COUNT(H194,K194)=0,"",N(K194)-N(H194))</f>
        <v/>
      </c>
      <c r="N194" s="341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339">
        <f>IF(COUNT(F195,I195)=0,"",N(F195)-N(I195))</f>
        <v/>
      </c>
      <c r="M195" s="340">
        <f>IF(COUNT(H195,K195)=0,"",N(K195)-N(H195))</f>
        <v/>
      </c>
      <c r="N195" s="339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341">
        <f>IF(COUNT(F196,I196)=0,"",N(F196)-N(I196))</f>
        <v/>
      </c>
      <c r="M196" s="342">
        <f>IF(COUNT(H196,K196)=0,"",N(K196)-N(H196))</f>
        <v/>
      </c>
      <c r="N196" s="341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339">
        <f>IF(COUNT(F197,I197)=0,"",N(F197)-N(I197))</f>
        <v/>
      </c>
      <c r="M197" s="340">
        <f>IF(COUNT(H197,K197)=0,"",N(K197)-N(H197))</f>
        <v/>
      </c>
      <c r="N197" s="339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341">
        <f>IF(COUNT(F198,I198)=0,"",N(F198)-N(I198))</f>
        <v/>
      </c>
      <c r="M198" s="342">
        <f>IF(COUNT(H198,K198)=0,"",N(K198)-N(H198))</f>
        <v/>
      </c>
      <c r="N198" s="341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339">
        <f>IF(COUNT(F199,I199)=0,"",N(F199)-N(I199))</f>
        <v/>
      </c>
      <c r="M199" s="340">
        <f>IF(COUNT(H199,K199)=0,"",N(K199)-N(H199))</f>
        <v/>
      </c>
      <c r="N199" s="339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341">
        <f>IF(COUNT(F200,I200)=0,"",N(F200)-N(I200))</f>
        <v/>
      </c>
      <c r="M200" s="342">
        <f>IF(COUNT(H200,K200)=0,"",N(K200)-N(H200))</f>
        <v/>
      </c>
      <c r="N200" s="341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339">
        <f>IF(COUNT(F201,I201)=0,"",N(F201)-N(I201))</f>
        <v/>
      </c>
      <c r="M201" s="340">
        <f>IF(COUNT(H201,K201)=0,"",N(K201)-N(H201))</f>
        <v/>
      </c>
      <c r="N201" s="339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341">
        <f>IF(COUNT(F202,I202)=0,"",N(F202)-N(I202))</f>
        <v/>
      </c>
      <c r="M202" s="342">
        <f>IF(COUNT(H202,K202)=0,"",N(K202)-N(H202))</f>
        <v/>
      </c>
      <c r="N202" s="341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339">
        <f>IF(COUNT(F203,I203)=0,"",N(F203)-N(I203))</f>
        <v/>
      </c>
      <c r="M203" s="340">
        <f>IF(COUNT(H203,K203)=0,"",N(K203)-N(H203))</f>
        <v/>
      </c>
      <c r="N203" s="339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341">
        <f>IF(COUNT(F204,I204)=0,"",N(F204)-N(I204))</f>
        <v/>
      </c>
      <c r="M204" s="342">
        <f>IF(COUNT(H204,K204)=0,"",N(K204)-N(H204))</f>
        <v/>
      </c>
      <c r="N204" s="341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339">
        <f>IF(COUNT(F205,I205)=0,"",N(F205)-N(I205))</f>
        <v/>
      </c>
      <c r="M205" s="340">
        <f>IF(COUNT(H205,K205)=0,"",N(K205)-N(H205))</f>
        <v/>
      </c>
      <c r="N205" s="339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341">
        <f>IF(COUNT(F206,I206)=0,"",N(F206)-N(I206))</f>
        <v/>
      </c>
      <c r="M206" s="342">
        <f>IF(COUNT(H206,K206)=0,"",N(K206)-N(H206))</f>
        <v/>
      </c>
      <c r="N206" s="341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339">
        <f>IF(COUNT(F207,I207)=0,"",N(F207)-N(I207))</f>
        <v/>
      </c>
      <c r="M207" s="340">
        <f>IF(COUNT(H207,K207)=0,"",N(K207)-N(H207))</f>
        <v/>
      </c>
      <c r="N207" s="339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341">
        <f>IF(COUNT(F208,I208)=0,"",N(F208)-N(I208))</f>
        <v/>
      </c>
      <c r="M208" s="342">
        <f>IF(COUNT(H208,K208)=0,"",N(K208)-N(H208))</f>
        <v/>
      </c>
      <c r="N208" s="341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339">
        <f>IF(COUNT(F209,I209)=0,"",N(F209)-N(I209))</f>
        <v/>
      </c>
      <c r="M209" s="340">
        <f>IF(COUNT(H209,K209)=0,"",N(K209)-N(H209))</f>
        <v/>
      </c>
      <c r="N209" s="339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341">
        <f>IF(COUNT(F210,I210)=0,"",N(F210)-N(I210))</f>
        <v/>
      </c>
      <c r="M210" s="342">
        <f>IF(COUNT(H210,K210)=0,"",N(K210)-N(H210))</f>
        <v/>
      </c>
      <c r="N210" s="341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339">
        <f>IF(COUNT(F211,I211)=0,"",N(F211)-N(I211))</f>
        <v/>
      </c>
      <c r="M211" s="340">
        <f>IF(COUNT(H211,K211)=0,"",N(K211)-N(H211))</f>
        <v/>
      </c>
      <c r="N211" s="339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341">
        <f>IF(COUNT(F212,I212)=0,"",N(F212)-N(I212))</f>
        <v/>
      </c>
      <c r="M212" s="342">
        <f>IF(COUNT(H212,K212)=0,"",N(K212)-N(H212))</f>
        <v/>
      </c>
      <c r="N212" s="341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339">
        <f>IF(COUNT(F213,I213)=0,"",N(F213)-N(I213))</f>
        <v/>
      </c>
      <c r="M213" s="340">
        <f>IF(COUNT(H213,K213)=0,"",N(K213)-N(H213))</f>
        <v/>
      </c>
      <c r="N213" s="339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341">
        <f>IF(COUNT(F214,I214)=0,"",N(F214)-N(I214))</f>
        <v/>
      </c>
      <c r="M214" s="342">
        <f>IF(COUNT(H214,K214)=0,"",N(K214)-N(H214))</f>
        <v/>
      </c>
      <c r="N214" s="341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339">
        <f>IF(COUNT(F215,I215)=0,"",N(F215)-N(I215))</f>
        <v/>
      </c>
      <c r="M215" s="340">
        <f>IF(COUNT(H215,K215)=0,"",N(K215)-N(H215))</f>
        <v/>
      </c>
      <c r="N215" s="339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341">
        <f>IF(COUNT(F216,I216)=0,"",N(F216)-N(I216))</f>
        <v/>
      </c>
      <c r="M216" s="342">
        <f>IF(COUNT(H216,K216)=0,"",N(K216)-N(H216))</f>
        <v/>
      </c>
      <c r="N216" s="341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339">
        <f>IF(COUNT(F217,I217)=0,"",N(F217)-N(I217))</f>
        <v/>
      </c>
      <c r="M217" s="340">
        <f>IF(COUNT(H217,K217)=0,"",N(K217)-N(H217))</f>
        <v/>
      </c>
      <c r="N217" s="339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341">
        <f>IF(COUNT(F218,I218)=0,"",N(F218)-N(I218))</f>
        <v/>
      </c>
      <c r="M218" s="342">
        <f>IF(COUNT(H218,K218)=0,"",N(K218)-N(H218))</f>
        <v/>
      </c>
      <c r="N218" s="341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339">
        <f>IF(COUNT(F219,I219)=0,"",N(F219)-N(I219))</f>
        <v/>
      </c>
      <c r="M219" s="340">
        <f>IF(COUNT(H219,K219)=0,"",N(K219)-N(H219))</f>
        <v/>
      </c>
      <c r="N219" s="339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341">
        <f>IF(COUNT(F220,I220)=0,"",N(F220)-N(I220))</f>
        <v/>
      </c>
      <c r="M220" s="342">
        <f>IF(COUNT(H220,K220)=0,"",N(K220)-N(H220))</f>
        <v/>
      </c>
      <c r="N220" s="341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339">
        <f>IF(COUNT(F221,I221)=0,"",N(F221)-N(I221))</f>
        <v/>
      </c>
      <c r="M221" s="340">
        <f>IF(COUNT(H221,K221)=0,"",N(K221)-N(H221))</f>
        <v/>
      </c>
      <c r="N221" s="339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341">
        <f>IF(COUNT(F222,I222)=0,"",N(F222)-N(I222))</f>
        <v/>
      </c>
      <c r="M222" s="342">
        <f>IF(COUNT(H222,K222)=0,"",N(K222)-N(H222))</f>
        <v/>
      </c>
      <c r="N222" s="341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339">
        <f>IF(COUNT(F223,I223)=0,"",N(F223)-N(I223))</f>
        <v/>
      </c>
      <c r="M223" s="340">
        <f>IF(COUNT(H223,K223)=0,"",N(K223)-N(H223))</f>
        <v/>
      </c>
      <c r="N223" s="339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341">
        <f>IF(COUNT(F224,I224)=0,"",N(F224)-N(I224))</f>
        <v/>
      </c>
      <c r="M224" s="342">
        <f>IF(COUNT(H224,K224)=0,"",N(K224)-N(H224))</f>
        <v/>
      </c>
      <c r="N224" s="341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339">
        <f>IF(COUNT(F225,I225)=0,"",N(F225)-N(I225))</f>
        <v/>
      </c>
      <c r="M225" s="340">
        <f>IF(COUNT(H225,K225)=0,"",N(K225)-N(H225))</f>
        <v/>
      </c>
      <c r="N225" s="339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341">
        <f>IF(COUNT(F226,I226)=0,"",N(F226)-N(I226))</f>
        <v/>
      </c>
      <c r="M226" s="342">
        <f>IF(COUNT(H226,K226)=0,"",N(K226)-N(H226))</f>
        <v/>
      </c>
      <c r="N226" s="341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339">
        <f>IF(COUNT(F227,I227)=0,"",N(F227)-N(I227))</f>
        <v/>
      </c>
      <c r="M227" s="340">
        <f>IF(COUNT(H227,K227)=0,"",N(K227)-N(H227))</f>
        <v/>
      </c>
      <c r="N227" s="339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341">
        <f>IF(COUNT(F228,I228)=0,"",N(F228)-N(I228))</f>
        <v/>
      </c>
      <c r="M228" s="342">
        <f>IF(COUNT(H228,K228)=0,"",N(K228)-N(H228))</f>
        <v/>
      </c>
      <c r="N228" s="341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339">
        <f>IF(COUNT(F229,I229)=0,"",N(F229)-N(I229))</f>
        <v/>
      </c>
      <c r="M229" s="340">
        <f>IF(COUNT(H229,K229)=0,"",N(K229)-N(H229))</f>
        <v/>
      </c>
      <c r="N229" s="339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341">
        <f>IF(COUNT(F230,I230)=0,"",N(F230)-N(I230))</f>
        <v/>
      </c>
      <c r="M230" s="342">
        <f>IF(COUNT(H230,K230)=0,"",N(K230)-N(H230))</f>
        <v/>
      </c>
      <c r="N230" s="341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339">
        <f>IF(COUNT(F231,I231)=0,"",N(F231)-N(I231))</f>
        <v/>
      </c>
      <c r="M231" s="340">
        <f>IF(COUNT(H231,K231)=0,"",N(K231)-N(H231))</f>
        <v/>
      </c>
      <c r="N231" s="339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341">
        <f>IF(COUNT(F232,I232)=0,"",N(F232)-N(I232))</f>
        <v/>
      </c>
      <c r="M232" s="342">
        <f>IF(COUNT(H232,K232)=0,"",N(K232)-N(H232))</f>
        <v/>
      </c>
      <c r="N232" s="341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339">
        <f>IF(COUNT(F233,I233)=0,"",N(F233)-N(I233))</f>
        <v/>
      </c>
      <c r="M233" s="340">
        <f>IF(COUNT(H233,K233)=0,"",N(K233)-N(H233))</f>
        <v/>
      </c>
      <c r="N233" s="339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341">
        <f>IF(COUNT(F234,I234)=0,"",N(F234)-N(I234))</f>
        <v/>
      </c>
      <c r="M234" s="342">
        <f>IF(COUNT(H234,K234)=0,"",N(K234)-N(H234))</f>
        <v/>
      </c>
      <c r="N234" s="341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339">
        <f>IF(COUNT(F235,I235)=0,"",N(F235)-N(I235))</f>
        <v/>
      </c>
      <c r="M235" s="340">
        <f>IF(COUNT(H235,K235)=0,"",N(K235)-N(H235))</f>
        <v/>
      </c>
      <c r="N235" s="339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341">
        <f>IF(COUNT(F236,I236)=0,"",N(F236)-N(I236))</f>
        <v/>
      </c>
      <c r="M236" s="342">
        <f>IF(COUNT(H236,K236)=0,"",N(K236)-N(H236))</f>
        <v/>
      </c>
      <c r="N236" s="341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339">
        <f>IF(COUNT(F237,I237)=0,"",N(F237)-N(I237))</f>
        <v/>
      </c>
      <c r="M237" s="340">
        <f>IF(COUNT(H237,K237)=0,"",N(K237)-N(H237))</f>
        <v/>
      </c>
      <c r="N237" s="339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341">
        <f>IF(COUNT(F238,I238)=0,"",N(F238)-N(I238))</f>
        <v/>
      </c>
      <c r="M238" s="342">
        <f>IF(COUNT(H238,K238)=0,"",N(K238)-N(H238))</f>
        <v/>
      </c>
      <c r="N238" s="341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339">
        <f>IF(COUNT(F239,I239)=0,"",N(F239)-N(I239))</f>
        <v/>
      </c>
      <c r="M239" s="340">
        <f>IF(COUNT(H239,K239)=0,"",N(K239)-N(H239))</f>
        <v/>
      </c>
      <c r="N239" s="339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341">
        <f>IF(COUNT(F240,I240)=0,"",N(F240)-N(I240))</f>
        <v/>
      </c>
      <c r="M240" s="342">
        <f>IF(COUNT(H240,K240)=0,"",N(K240)-N(H240))</f>
        <v/>
      </c>
      <c r="N240" s="341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339">
        <f>IF(COUNT(F241,I241)=0,"",N(F241)-N(I241))</f>
        <v/>
      </c>
      <c r="M241" s="340">
        <f>IF(COUNT(H241,K241)=0,"",N(K241)-N(H241))</f>
        <v/>
      </c>
      <c r="N241" s="339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341">
        <f>IF(COUNT(F242,I242)=0,"",N(F242)-N(I242))</f>
        <v/>
      </c>
      <c r="M242" s="342">
        <f>IF(COUNT(H242,K242)=0,"",N(K242)-N(H242))</f>
        <v/>
      </c>
      <c r="N242" s="341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339">
        <f>IF(COUNT(F243,I243)=0,"",N(F243)-N(I243))</f>
        <v/>
      </c>
      <c r="M243" s="340">
        <f>IF(COUNT(H243,K243)=0,"",N(K243)-N(H243))</f>
        <v/>
      </c>
      <c r="N243" s="339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341">
        <f>IF(COUNT(F244,I244)=0,"",N(F244)-N(I244))</f>
        <v/>
      </c>
      <c r="M244" s="342">
        <f>IF(COUNT(H244,K244)=0,"",N(K244)-N(H244))</f>
        <v/>
      </c>
      <c r="N244" s="341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339">
        <f>IF(COUNT(F245,I245)=0,"",N(F245)-N(I245))</f>
        <v/>
      </c>
      <c r="M245" s="340">
        <f>IF(COUNT(H245,K245)=0,"",N(K245)-N(H245))</f>
        <v/>
      </c>
      <c r="N245" s="339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341">
        <f>IF(COUNT(F246,I246)=0,"",N(F246)-N(I246))</f>
        <v/>
      </c>
      <c r="M246" s="342">
        <f>IF(COUNT(H246,K246)=0,"",N(K246)-N(H246))</f>
        <v/>
      </c>
      <c r="N246" s="341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339">
        <f>IF(COUNT(F247,I247)=0,"",N(F247)-N(I247))</f>
        <v/>
      </c>
      <c r="M247" s="340">
        <f>IF(COUNT(H247,K247)=0,"",N(K247)-N(H247))</f>
        <v/>
      </c>
      <c r="N247" s="339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341">
        <f>IF(COUNT(F248,I248)=0,"",N(F248)-N(I248))</f>
        <v/>
      </c>
      <c r="M248" s="342">
        <f>IF(COUNT(H248,K248)=0,"",N(K248)-N(H248))</f>
        <v/>
      </c>
      <c r="N248" s="341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339">
        <f>IF(COUNT(F249,I249)=0,"",N(F249)-N(I249))</f>
        <v/>
      </c>
      <c r="M249" s="340">
        <f>IF(COUNT(H249,K249)=0,"",N(K249)-N(H249))</f>
        <v/>
      </c>
      <c r="N249" s="339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341">
        <f>IF(COUNT(F250,I250)=0,"",N(F250)-N(I250))</f>
        <v/>
      </c>
      <c r="M250" s="342">
        <f>IF(COUNT(H250,K250)=0,"",N(K250)-N(H250))</f>
        <v/>
      </c>
      <c r="N250" s="341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339">
        <f>IF(COUNT(F251,I251)=0,"",N(F251)-N(I251))</f>
        <v/>
      </c>
      <c r="M251" s="340">
        <f>IF(COUNT(H251,K251)=0,"",N(K251)-N(H251))</f>
        <v/>
      </c>
      <c r="N251" s="339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341">
        <f>IF(COUNT(F252,I252)=0,"",N(F252)-N(I252))</f>
        <v/>
      </c>
      <c r="M252" s="342">
        <f>IF(COUNT(H252,K252)=0,"",N(K252)-N(H252))</f>
        <v/>
      </c>
      <c r="N252" s="341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339">
        <f>IF(COUNT(F253,I253)=0,"",N(F253)-N(I253))</f>
        <v/>
      </c>
      <c r="M253" s="340">
        <f>IF(COUNT(H253,K253)=0,"",N(K253)-N(H253))</f>
        <v/>
      </c>
      <c r="N253" s="339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341">
        <f>IF(COUNT(F254,I254)=0,"",N(F254)-N(I254))</f>
        <v/>
      </c>
      <c r="M254" s="342">
        <f>IF(COUNT(H254,K254)=0,"",N(K254)-N(H254))</f>
        <v/>
      </c>
      <c r="N254" s="341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339">
        <f>IF(COUNT(F255,I255)=0,"",N(F255)-N(I255))</f>
        <v/>
      </c>
      <c r="M255" s="340">
        <f>IF(COUNT(H255,K255)=0,"",N(K255)-N(H255))</f>
        <v/>
      </c>
      <c r="N255" s="339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341">
        <f>IF(COUNT(F256,I256)=0,"",N(F256)-N(I256))</f>
        <v/>
      </c>
      <c r="M256" s="342">
        <f>IF(COUNT(H256,K256)=0,"",N(K256)-N(H256))</f>
        <v/>
      </c>
      <c r="N256" s="341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339">
        <f>IF(COUNT(F257,I257)=0,"",N(F257)-N(I257))</f>
        <v/>
      </c>
      <c r="M257" s="340">
        <f>IF(COUNT(H257,K257)=0,"",N(K257)-N(H257))</f>
        <v/>
      </c>
      <c r="N257" s="339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341">
        <f>IF(COUNT(F258,I258)=0,"",N(F258)-N(I258))</f>
        <v/>
      </c>
      <c r="M258" s="342">
        <f>IF(COUNT(H258,K258)=0,"",N(K258)-N(H258))</f>
        <v/>
      </c>
      <c r="N258" s="341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339">
        <f>IF(COUNT(F259,I259)=0,"",N(F259)-N(I259))</f>
        <v/>
      </c>
      <c r="M259" s="340">
        <f>IF(COUNT(H259,K259)=0,"",N(K259)-N(H259))</f>
        <v/>
      </c>
      <c r="N259" s="339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341">
        <f>IF(COUNT(F260,I260)=0,"",N(F260)-N(I260))</f>
        <v/>
      </c>
      <c r="M260" s="342">
        <f>IF(COUNT(H260,K260)=0,"",N(K260)-N(H260))</f>
        <v/>
      </c>
      <c r="N260" s="341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339">
        <f>IF(COUNT(F261,I261)=0,"",N(F261)-N(I261))</f>
        <v/>
      </c>
      <c r="M261" s="340">
        <f>IF(COUNT(H261,K261)=0,"",N(K261)-N(H261))</f>
        <v/>
      </c>
      <c r="N261" s="339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341">
        <f>IF(COUNT(F262,I262)=0,"",N(F262)-N(I262))</f>
        <v/>
      </c>
      <c r="M262" s="342">
        <f>IF(COUNT(H262,K262)=0,"",N(K262)-N(H262))</f>
        <v/>
      </c>
      <c r="N262" s="341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339">
        <f>IF(COUNT(F263,I263)=0,"",N(F263)-N(I263))</f>
        <v/>
      </c>
      <c r="M263" s="340">
        <f>IF(COUNT(H263,K263)=0,"",N(K263)-N(H263))</f>
        <v/>
      </c>
      <c r="N263" s="339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341">
        <f>IF(COUNT(F264,I264)=0,"",N(F264)-N(I264))</f>
        <v/>
      </c>
      <c r="M264" s="342">
        <f>IF(COUNT(H264,K264)=0,"",N(K264)-N(H264))</f>
        <v/>
      </c>
      <c r="N264" s="341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339">
        <f>IF(COUNT(F265,I265)=0,"",N(F265)-N(I265))</f>
        <v/>
      </c>
      <c r="M265" s="340">
        <f>IF(COUNT(H265,K265)=0,"",N(K265)-N(H265))</f>
        <v/>
      </c>
      <c r="N265" s="339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341">
        <f>IF(COUNT(F266,I266)=0,"",N(F266)-N(I266))</f>
        <v/>
      </c>
      <c r="M266" s="342">
        <f>IF(COUNT(H266,K266)=0,"",N(K266)-N(H266))</f>
        <v/>
      </c>
      <c r="N266" s="341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339">
        <f>IF(COUNT(F267,I267)=0,"",N(F267)-N(I267))</f>
        <v/>
      </c>
      <c r="M267" s="340">
        <f>IF(COUNT(H267,K267)=0,"",N(K267)-N(H267))</f>
        <v/>
      </c>
      <c r="N267" s="339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341">
        <f>IF(COUNT(F268,I268)=0,"",N(F268)-N(I268))</f>
        <v/>
      </c>
      <c r="M268" s="342">
        <f>IF(COUNT(H268,K268)=0,"",N(K268)-N(H268))</f>
        <v/>
      </c>
      <c r="N268" s="341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339">
        <f>IF(COUNT(F269,I269)=0,"",N(F269)-N(I269))</f>
        <v/>
      </c>
      <c r="M269" s="340">
        <f>IF(COUNT(H269,K269)=0,"",N(K269)-N(H269))</f>
        <v/>
      </c>
      <c r="N269" s="339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341">
        <f>IF(COUNT(F270,I270)=0,"",N(F270)-N(I270))</f>
        <v/>
      </c>
      <c r="M270" s="342">
        <f>IF(COUNT(H270,K270)=0,"",N(K270)-N(H270))</f>
        <v/>
      </c>
      <c r="N270" s="341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339">
        <f>IF(COUNT(F271,I271)=0,"",N(F271)-N(I271))</f>
        <v/>
      </c>
      <c r="M271" s="340">
        <f>IF(COUNT(H271,K271)=0,"",N(K271)-N(H271))</f>
        <v/>
      </c>
      <c r="N271" s="339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341">
        <f>IF(COUNT(F272,I272)=0,"",N(F272)-N(I272))</f>
        <v/>
      </c>
      <c r="M272" s="342">
        <f>IF(COUNT(H272,K272)=0,"",N(K272)-N(H272))</f>
        <v/>
      </c>
      <c r="N272" s="341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339">
        <f>IF(COUNT(F273,I273)=0,"",N(F273)-N(I273))</f>
        <v/>
      </c>
      <c r="M273" s="340">
        <f>IF(COUNT(H273,K273)=0,"",N(K273)-N(H273))</f>
        <v/>
      </c>
      <c r="N273" s="339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341">
        <f>IF(COUNT(F274,I274)=0,"",N(F274)-N(I274))</f>
        <v/>
      </c>
      <c r="M274" s="342">
        <f>IF(COUNT(H274,K274)=0,"",N(K274)-N(H274))</f>
        <v/>
      </c>
      <c r="N274" s="341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339">
        <f>IF(COUNT(F275,I275)=0,"",N(F275)-N(I275))</f>
        <v/>
      </c>
      <c r="M275" s="340">
        <f>IF(COUNT(H275,K275)=0,"",N(K275)-N(H275))</f>
        <v/>
      </c>
      <c r="N275" s="339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341">
        <f>IF(COUNT(F276,I276)=0,"",N(F276)-N(I276))</f>
        <v/>
      </c>
      <c r="M276" s="342">
        <f>IF(COUNT(H276,K276)=0,"",N(K276)-N(H276))</f>
        <v/>
      </c>
      <c r="N276" s="341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339">
        <f>IF(COUNT(F277,I277)=0,"",N(F277)-N(I277))</f>
        <v/>
      </c>
      <c r="M277" s="340">
        <f>IF(COUNT(H277,K277)=0,"",N(K277)-N(H277))</f>
        <v/>
      </c>
      <c r="N277" s="339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341">
        <f>IF(COUNT(F278,I278)=0,"",N(F278)-N(I278))</f>
        <v/>
      </c>
      <c r="M278" s="342">
        <f>IF(COUNT(H278,K278)=0,"",N(K278)-N(H278))</f>
        <v/>
      </c>
      <c r="N278" s="341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339">
        <f>IF(COUNT(F279,I279)=0,"",N(F279)-N(I279))</f>
        <v/>
      </c>
      <c r="M279" s="340">
        <f>IF(COUNT(H279,K279)=0,"",N(K279)-N(H279))</f>
        <v/>
      </c>
      <c r="N279" s="339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341">
        <f>IF(COUNT(F280,I280)=0,"",N(F280)-N(I280))</f>
        <v/>
      </c>
      <c r="M280" s="342">
        <f>IF(COUNT(H280,K280)=0,"",N(K280)-N(H280))</f>
        <v/>
      </c>
      <c r="N280" s="341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339">
        <f>IF(COUNT(F281,I281)=0,"",N(F281)-N(I281))</f>
        <v/>
      </c>
      <c r="M281" s="340">
        <f>IF(COUNT(H281,K281)=0,"",N(K281)-N(H281))</f>
        <v/>
      </c>
      <c r="N281" s="339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341">
        <f>IF(COUNT(F282,I282)=0,"",N(F282)-N(I282))</f>
        <v/>
      </c>
      <c r="M282" s="342">
        <f>IF(COUNT(H282,K282)=0,"",N(K282)-N(H282))</f>
        <v/>
      </c>
      <c r="N282" s="341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339">
        <f>IF(COUNT(F283,I283)=0,"",N(F283)-N(I283))</f>
        <v/>
      </c>
      <c r="M283" s="340">
        <f>IF(COUNT(H283,K283)=0,"",N(K283)-N(H283))</f>
        <v/>
      </c>
      <c r="N283" s="339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341">
        <f>IF(COUNT(F284,I284)=0,"",N(F284)-N(I284))</f>
        <v/>
      </c>
      <c r="M284" s="342">
        <f>IF(COUNT(H284,K284)=0,"",N(K284)-N(H284))</f>
        <v/>
      </c>
      <c r="N284" s="341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339">
        <f>IF(COUNT(F285,I285)=0,"",N(F285)-N(I285))</f>
        <v/>
      </c>
      <c r="M285" s="340">
        <f>IF(COUNT(H285,K285)=0,"",N(K285)-N(H285))</f>
        <v/>
      </c>
      <c r="N285" s="339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341">
        <f>IF(COUNT(F286,I286)=0,"",N(F286)-N(I286))</f>
        <v/>
      </c>
      <c r="M286" s="342">
        <f>IF(COUNT(H286,K286)=0,"",N(K286)-N(H286))</f>
        <v/>
      </c>
      <c r="N286" s="341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339">
        <f>IF(COUNT(F287,I287)=0,"",N(F287)-N(I287))</f>
        <v/>
      </c>
      <c r="M287" s="340">
        <f>IF(COUNT(H287,K287)=0,"",N(K287)-N(H287))</f>
        <v/>
      </c>
      <c r="N287" s="339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341">
        <f>IF(COUNT(F288,I288)=0,"",N(F288)-N(I288))</f>
        <v/>
      </c>
      <c r="M288" s="342">
        <f>IF(COUNT(H288,K288)=0,"",N(K288)-N(H288))</f>
        <v/>
      </c>
      <c r="N288" s="341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339">
        <f>IF(COUNT(F289,I289)=0,"",N(F289)-N(I289))</f>
        <v/>
      </c>
      <c r="M289" s="340">
        <f>IF(COUNT(H289,K289)=0,"",N(K289)-N(H289))</f>
        <v/>
      </c>
      <c r="N289" s="339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341">
        <f>IF(COUNT(F290,I290)=0,"",N(F290)-N(I290))</f>
        <v/>
      </c>
      <c r="M290" s="342">
        <f>IF(COUNT(H290,K290)=0,"",N(K290)-N(H290))</f>
        <v/>
      </c>
      <c r="N290" s="341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339">
        <f>IF(COUNT(F291,I291)=0,"",N(F291)-N(I291))</f>
        <v/>
      </c>
      <c r="M291" s="340">
        <f>IF(COUNT(H291,K291)=0,"",N(K291)-N(H291))</f>
        <v/>
      </c>
      <c r="N291" s="339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341">
        <f>IF(COUNT(F292,I292)=0,"",N(F292)-N(I292))</f>
        <v/>
      </c>
      <c r="M292" s="342">
        <f>IF(COUNT(H292,K292)=0,"",N(K292)-N(H292))</f>
        <v/>
      </c>
      <c r="N292" s="341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339">
        <f>IF(COUNT(F293,I293)=0,"",N(F293)-N(I293))</f>
        <v/>
      </c>
      <c r="M293" s="340">
        <f>IF(COUNT(H293,K293)=0,"",N(K293)-N(H293))</f>
        <v/>
      </c>
      <c r="N293" s="339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341">
        <f>IF(COUNT(F294,I294)=0,"",N(F294)-N(I294))</f>
        <v/>
      </c>
      <c r="M294" s="342">
        <f>IF(COUNT(H294,K294)=0,"",N(K294)-N(H294))</f>
        <v/>
      </c>
      <c r="N294" s="341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339">
        <f>IF(COUNT(F295,I295)=0,"",N(F295)-N(I295))</f>
        <v/>
      </c>
      <c r="M295" s="340">
        <f>IF(COUNT(H295,K295)=0,"",N(K295)-N(H295))</f>
        <v/>
      </c>
      <c r="N295" s="339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341">
        <f>IF(COUNT(F296,I296)=0,"",N(F296)-N(I296))</f>
        <v/>
      </c>
      <c r="M296" s="342">
        <f>IF(COUNT(H296,K296)=0,"",N(K296)-N(H296))</f>
        <v/>
      </c>
      <c r="N296" s="341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339">
        <f>IF(COUNT(F297,I297)=0,"",N(F297)-N(I297))</f>
        <v/>
      </c>
      <c r="M297" s="340">
        <f>IF(COUNT(H297,K297)=0,"",N(K297)-N(H297))</f>
        <v/>
      </c>
      <c r="N297" s="339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341">
        <f>IF(COUNT(F298,I298)=0,"",N(F298)-N(I298))</f>
        <v/>
      </c>
      <c r="M298" s="342">
        <f>IF(COUNT(H298,K298)=0,"",N(K298)-N(H298))</f>
        <v/>
      </c>
      <c r="N298" s="341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339">
        <f>IF(COUNT(F299,I299)=0,"",N(F299)-N(I299))</f>
        <v/>
      </c>
      <c r="M299" s="340">
        <f>IF(COUNT(H299,K299)=0,"",N(K299)-N(H299))</f>
        <v/>
      </c>
      <c r="N299" s="339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341">
        <f>IF(COUNT(F300,I300)=0,"",N(F300)-N(I300))</f>
        <v/>
      </c>
      <c r="M300" s="342">
        <f>IF(COUNT(H300,K300)=0,"",N(K300)-N(H300))</f>
        <v/>
      </c>
      <c r="N300" s="341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5.6" customWidth="1" min="2" max="2"/>
    <col width="17.1" customWidth="1" min="3" max="3"/>
    <col width="19.2" customWidth="1" min="4" max="4"/>
    <col width="18.2" customWidth="1" min="5" max="5"/>
    <col width="16.1" customWidth="1" min="6" max="6"/>
    <col width="19.2" customWidth="1" min="7" max="7"/>
    <col width="18.2" customWidth="1" min="8" max="8"/>
    <col width="18.1" customWidth="1" min="9" max="9"/>
    <col width="20.3" customWidth="1" min="10" max="10"/>
    <col width="18.2" customWidth="1" min="11" max="11"/>
    <col width="9.800000000000001" customWidth="1" min="12" max="12"/>
    <col width="21.4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ADA/BTC</t>
        </is>
      </c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339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340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343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ADA/ETH</t>
        </is>
      </c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341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342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344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ADA/USD</t>
        </is>
      </c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339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340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343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ALGO/BTC</t>
        </is>
      </c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341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342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344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ATOM/USD</t>
        </is>
      </c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339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340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343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BCH/BNB</t>
        </is>
      </c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341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342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344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BCH/BTC</t>
        </is>
      </c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339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340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343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BCH/USD</t>
        </is>
      </c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341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342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344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BNB/BTC</t>
        </is>
      </c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339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340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343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BNB/ETH</t>
        </is>
      </c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341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342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344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BNB/USD</t>
        </is>
      </c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339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340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343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BTC/USD</t>
        </is>
      </c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341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342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344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CAKE/BNB</t>
        </is>
      </c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339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340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343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CAKE/BTC</t>
        </is>
      </c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341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342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344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CAKE/ETH</t>
        </is>
      </c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339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340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343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CAKE/USD</t>
        </is>
      </c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341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342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344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DASH/BTC</t>
        </is>
      </c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339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340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343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DASH/USD</t>
        </is>
      </c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341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342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344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DOGE/BTC</t>
        </is>
      </c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339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340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343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DOGE/USD</t>
        </is>
      </c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341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342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344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ELIZA/SOL</t>
        </is>
      </c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339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340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343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ELIZAOS/USD</t>
        </is>
      </c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341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342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344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ETC/BNB</t>
        </is>
      </c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339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340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343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ETH/BTC</t>
        </is>
      </c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341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342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344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ETH/USD</t>
        </is>
      </c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339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340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343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HBAR/BTC</t>
        </is>
      </c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341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342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344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LINK/BTC</t>
        </is>
      </c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339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340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343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LINK/USD</t>
        </is>
      </c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341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342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344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LTC/BCH</t>
        </is>
      </c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339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340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343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LTC/BTC</t>
        </is>
      </c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341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342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344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LTC/ETH</t>
        </is>
      </c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339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340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343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LTC/USD</t>
        </is>
      </c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341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342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344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MAGIC/BTC</t>
        </is>
      </c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339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340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343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inlineStr">
        <is>
          <t>MNT/USDT</t>
        </is>
      </c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341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342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344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inlineStr">
        <is>
          <t>PAXG/USD</t>
        </is>
      </c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339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340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343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inlineStr">
        <is>
          <t>PYTH/SOL</t>
        </is>
      </c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341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342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344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inlineStr">
        <is>
          <t>SHIB/DOGE</t>
        </is>
      </c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339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340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343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inlineStr">
        <is>
          <t>SOL/BNB</t>
        </is>
      </c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341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342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344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inlineStr">
        <is>
          <t>SOL/BTC</t>
        </is>
      </c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339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340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343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inlineStr">
        <is>
          <t>SOL/ETH</t>
        </is>
      </c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341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342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344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inlineStr">
        <is>
          <t>SOL/USD</t>
        </is>
      </c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339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340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343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inlineStr">
        <is>
          <t>TRX/BTC</t>
        </is>
      </c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341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342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344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inlineStr">
        <is>
          <t>TRX/ETH</t>
        </is>
      </c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339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340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343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inlineStr">
        <is>
          <t>TRX/XRP</t>
        </is>
      </c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341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342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344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inlineStr">
        <is>
          <t>WAVES/BTC</t>
        </is>
      </c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339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340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343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inlineStr">
        <is>
          <t>WAVES/USD</t>
        </is>
      </c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341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342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344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inlineStr">
        <is>
          <t>XLM/USD</t>
        </is>
      </c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339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340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343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inlineStr">
        <is>
          <t>XRP/BNB</t>
        </is>
      </c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341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342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344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inlineStr">
        <is>
          <t>XRP/BTC</t>
        </is>
      </c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339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340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343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inlineStr">
        <is>
          <t>XRP/ETH</t>
        </is>
      </c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341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342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344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inlineStr">
        <is>
          <t>XRP/USD</t>
        </is>
      </c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339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340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343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inlineStr">
        <is>
          <t>ZEC/BTC</t>
        </is>
      </c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341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342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344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inlineStr">
        <is>
          <t>ZEC/USD</t>
        </is>
      </c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339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340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343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341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342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344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339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340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343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341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342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344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339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340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343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341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342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344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339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340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343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341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342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344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339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340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343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341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342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344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339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340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343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341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342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344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339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340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343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341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342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344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339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340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343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341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342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344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339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340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343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341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342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344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339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340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343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341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342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344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339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340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343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341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342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344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339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340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343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341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342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344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339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340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343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341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342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344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339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340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343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341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342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344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339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340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343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341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342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344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339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340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343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341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342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344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339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340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343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341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342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344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339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340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343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341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342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344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339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340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343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341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342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344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339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340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343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341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342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344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339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340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343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341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342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344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339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340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343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341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342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344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339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340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343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341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342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344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339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340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343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341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342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344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339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340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343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341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342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344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339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340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343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341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342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344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339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340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343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341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342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344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339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340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343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341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342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344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339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340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343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341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342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344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339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340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343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341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342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344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339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340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343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341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342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344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339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340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343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341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342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344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339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340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343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341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342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344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339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340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343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341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342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344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339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340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343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341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342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344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339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340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343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341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342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344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339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340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343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341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342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344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339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340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343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341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342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344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339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340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343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341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342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344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339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340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343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341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342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344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339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340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343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341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342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344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339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340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343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341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342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344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339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340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343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341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342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344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339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340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343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341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342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344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339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340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343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341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342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344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339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340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343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341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342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344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339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340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343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341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342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344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339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340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343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341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342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344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339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340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343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341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342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344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339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340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343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341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342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344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339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340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343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341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342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344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339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340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343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341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342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344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339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340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343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341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342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344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339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340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343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341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342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344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339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340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343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341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342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344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339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340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343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341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342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344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339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340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343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341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342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344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339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340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343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341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342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344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339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340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343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341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342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344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339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340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343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341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342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344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339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340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343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341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342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344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339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340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343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341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342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344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339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340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343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341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342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344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339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340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343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341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342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344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339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340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343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341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342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344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339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340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343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341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342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344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339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340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343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341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342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344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339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340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343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341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342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344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339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340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343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341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342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344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339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340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343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341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342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344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339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340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343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341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342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344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339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340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343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341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342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344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339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340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343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341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342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344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339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340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343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341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342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344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339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340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343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341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342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344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339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340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343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341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342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344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339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340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343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341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342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344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339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340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343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341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342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344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339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340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343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341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342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344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339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340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343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341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342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344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339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340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343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341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342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344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339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340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343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341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342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344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339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340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343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341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342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344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339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340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343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341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342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344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339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340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343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341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342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344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339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340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343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341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342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344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339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340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343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341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342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344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339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340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343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341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342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344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339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340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343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341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342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344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339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340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343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341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342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344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339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340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343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341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342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344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339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340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343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341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342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344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339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340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343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341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342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344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339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340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343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341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342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344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339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340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343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341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342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344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339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340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343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341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342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344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339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340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343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341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342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344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339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340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343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341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342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344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339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340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343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341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342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344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339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340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343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341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342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344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339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340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343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341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342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344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339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340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343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341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342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344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339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340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343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341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342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344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339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340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343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341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342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344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339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340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343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341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342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344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339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340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343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341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342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344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339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340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343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341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342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344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339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340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343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341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342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344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339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340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343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341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342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344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339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340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343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341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342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344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339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340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343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341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342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344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339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340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343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341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342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344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339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340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343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341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342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344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339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340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343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341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342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344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339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340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343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341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342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344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339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340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343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341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342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344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339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340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343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341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342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344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339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340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343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341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342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344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339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340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343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341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342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344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339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340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343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341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342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344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339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340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343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341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342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344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339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340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343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341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342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344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0.1" customWidth="1" min="2" max="2"/>
    <col width="14" customWidth="1" min="3" max="3"/>
    <col width="12.9" customWidth="1" min="4" max="4"/>
    <col width="12.3" customWidth="1" min="5" max="5"/>
    <col width="16.1" customWidth="1" min="6" max="6"/>
    <col width="20.3" customWidth="1" min="7" max="7"/>
    <col width="14" customWidth="1" min="8" max="8"/>
    <col width="16.1" customWidth="1" min="9" max="9"/>
    <col width="19.2" customWidth="1" min="10" max="10"/>
    <col width="18.2" customWidth="1" min="11" max="11"/>
    <col width="18.1" customWidth="1" min="12" max="12"/>
    <col width="19.2" customWidth="1" min="13" max="13"/>
    <col width="21.4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L-0011</t>
        </is>
      </c>
      <c r="C5" s="314" t="n">
        <v>45752</v>
      </c>
      <c r="D5" s="313" t="inlineStr">
        <is>
          <t>BSChain</t>
        </is>
      </c>
      <c r="E5" s="315" t="inlineStr">
        <is>
          <t>BNB/BTC</t>
        </is>
      </c>
      <c r="F5" s="316" t="n"/>
      <c r="G5" s="317" t="n"/>
      <c r="H5" s="271">
        <f>IF(AND(ISNUMBER(F5),ISNUMBER(G5)),F5*G5,"")</f>
        <v/>
      </c>
      <c r="I5" s="316" t="n">
        <v>0.93701713</v>
      </c>
      <c r="J5" s="317" t="n">
        <v>0.00686396</v>
      </c>
      <c r="K5" s="271">
        <f>IF(AND(ISNUMBER(I5),ISNUMBER(J5)),I5*J5,"")</f>
        <v/>
      </c>
      <c r="L5" s="339">
        <f>IF(COUNT(F5,I5)=0,"",N(F5)-N(I5))</f>
        <v/>
      </c>
      <c r="M5" s="340">
        <f>IF(COUNT(H5,K5)=0,"",N(K5)-N(H5))</f>
        <v/>
      </c>
      <c r="N5" s="339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L-0012</t>
        </is>
      </c>
      <c r="C6" s="319" t="n">
        <v>45754</v>
      </c>
      <c r="D6" s="318" t="inlineStr">
        <is>
          <t>Arbitrum</t>
        </is>
      </c>
      <c r="E6" s="320" t="inlineStr">
        <is>
          <t>BTC/USD</t>
        </is>
      </c>
      <c r="F6" s="321" t="n"/>
      <c r="G6" s="322" t="n"/>
      <c r="H6" s="271">
        <f>IF(AND(ISNUMBER(F6),ISNUMBER(G6)),F6*G6,"")</f>
        <v/>
      </c>
      <c r="I6" s="321" t="n">
        <v>0.00475064</v>
      </c>
      <c r="J6" s="322" t="n">
        <v>85055.90825656999</v>
      </c>
      <c r="K6" s="271">
        <f>IF(AND(ISNUMBER(I6),ISNUMBER(J6)),I6*J6,"")</f>
        <v/>
      </c>
      <c r="L6" s="341">
        <f>IF(COUNT(F6,I6)=0,"",N(F6)-N(I6))</f>
        <v/>
      </c>
      <c r="M6" s="342">
        <f>IF(COUNT(H6,K6)=0,"",N(K6)-N(H6))</f>
        <v/>
      </c>
      <c r="N6" s="341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L-0013</t>
        </is>
      </c>
      <c r="C7" s="314" t="n">
        <v>45754</v>
      </c>
      <c r="D7" s="313" t="inlineStr">
        <is>
          <t>Arbitrum</t>
        </is>
      </c>
      <c r="E7" s="315" t="inlineStr">
        <is>
          <t>BTC/USD</t>
        </is>
      </c>
      <c r="F7" s="316" t="n"/>
      <c r="G7" s="317" t="n"/>
      <c r="H7" s="271">
        <f>IF(AND(ISNUMBER(F7),ISNUMBER(G7)),F7*G7,"")</f>
        <v/>
      </c>
      <c r="I7" s="316" t="n">
        <v>0.0100864</v>
      </c>
      <c r="J7" s="317" t="n">
        <v>77176.19765228</v>
      </c>
      <c r="K7" s="271">
        <f>IF(AND(ISNUMBER(I7),ISNUMBER(J7)),I7*J7,"")</f>
        <v/>
      </c>
      <c r="L7" s="339">
        <f>IF(COUNT(F7,I7)=0,"",N(F7)-N(I7))</f>
        <v/>
      </c>
      <c r="M7" s="340">
        <f>IF(COUNT(H7,K7)=0,"",N(K7)-N(H7))</f>
        <v/>
      </c>
      <c r="N7" s="339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L-0014</t>
        </is>
      </c>
      <c r="C8" s="319" t="n">
        <v>45755</v>
      </c>
      <c r="D8" s="318" t="inlineStr">
        <is>
          <t>Arbitrum</t>
        </is>
      </c>
      <c r="E8" s="320" t="inlineStr">
        <is>
          <t>BTC/USD</t>
        </is>
      </c>
      <c r="F8" s="321" t="n"/>
      <c r="G8" s="322" t="n"/>
      <c r="H8" s="271">
        <f>IF(AND(ISNUMBER(F8),ISNUMBER(G8)),F8*G8,"")</f>
        <v/>
      </c>
      <c r="I8" s="321" t="n">
        <v>0.01064416</v>
      </c>
      <c r="J8" s="322" t="n">
        <v>87763.61873553001</v>
      </c>
      <c r="K8" s="271">
        <f>IF(AND(ISNUMBER(I8),ISNUMBER(J8)),I8*J8,"")</f>
        <v/>
      </c>
      <c r="L8" s="341">
        <f>IF(COUNT(F8,I8)=0,"",N(F8)-N(I8))</f>
        <v/>
      </c>
      <c r="M8" s="342">
        <f>IF(COUNT(H8,K8)=0,"",N(K8)-N(H8))</f>
        <v/>
      </c>
      <c r="N8" s="341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L-0015</t>
        </is>
      </c>
      <c r="C9" s="314" t="n">
        <v>45756</v>
      </c>
      <c r="D9" s="313" t="inlineStr">
        <is>
          <t>Arbitrum</t>
        </is>
      </c>
      <c r="E9" s="315" t="inlineStr">
        <is>
          <t>BTC/USD</t>
        </is>
      </c>
      <c r="F9" s="316" t="n"/>
      <c r="G9" s="317" t="n"/>
      <c r="H9" s="271">
        <f>IF(AND(ISNUMBER(F9),ISNUMBER(G9)),F9*G9,"")</f>
        <v/>
      </c>
      <c r="I9" s="316" t="n">
        <v>0.0059784</v>
      </c>
      <c r="J9" s="317" t="n">
        <v>66927.60604843999</v>
      </c>
      <c r="K9" s="271">
        <f>IF(AND(ISNUMBER(I9),ISNUMBER(J9)),I9*J9,"")</f>
        <v/>
      </c>
      <c r="L9" s="339">
        <f>IF(COUNT(F9,I9)=0,"",N(F9)-N(I9))</f>
        <v/>
      </c>
      <c r="M9" s="340">
        <f>IF(COUNT(H9,K9)=0,"",N(K9)-N(H9))</f>
        <v/>
      </c>
      <c r="N9" s="339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L-0016</t>
        </is>
      </c>
      <c r="C10" s="319" t="n">
        <v>45770</v>
      </c>
      <c r="D10" s="318" t="inlineStr">
        <is>
          <t>Arbitrum</t>
        </is>
      </c>
      <c r="E10" s="320" t="inlineStr">
        <is>
          <t>ETH/USD</t>
        </is>
      </c>
      <c r="F10" s="321" t="n"/>
      <c r="G10" s="322" t="n"/>
      <c r="H10" s="271">
        <f>IF(AND(ISNUMBER(F10),ISNUMBER(G10)),F10*G10,"")</f>
        <v/>
      </c>
      <c r="I10" s="321" t="n">
        <v>0.31763997</v>
      </c>
      <c r="J10" s="322" t="n">
        <v>2218.95877902</v>
      </c>
      <c r="K10" s="271">
        <f>IF(AND(ISNUMBER(I10),ISNUMBER(J10)),I10*J10,"")</f>
        <v/>
      </c>
      <c r="L10" s="341">
        <f>IF(COUNT(F10,I10)=0,"",N(F10)-N(I10))</f>
        <v/>
      </c>
      <c r="M10" s="342">
        <f>IF(COUNT(H10,K10)=0,"",N(K10)-N(H10))</f>
        <v/>
      </c>
      <c r="N10" s="341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L-0017</t>
        </is>
      </c>
      <c r="C11" s="314" t="n">
        <v>45771</v>
      </c>
      <c r="D11" s="313" t="inlineStr">
        <is>
          <t>Arbitrum</t>
        </is>
      </c>
      <c r="E11" s="315" t="inlineStr">
        <is>
          <t>ETH/USD</t>
        </is>
      </c>
      <c r="F11" s="316" t="n"/>
      <c r="G11" s="317" t="n"/>
      <c r="H11" s="271">
        <f>IF(AND(ISNUMBER(F11),ISNUMBER(G11)),F11*G11,"")</f>
        <v/>
      </c>
      <c r="I11" s="316" t="n">
        <v>0.29844598</v>
      </c>
      <c r="J11" s="317" t="n">
        <v>2457.1280873</v>
      </c>
      <c r="K11" s="271">
        <f>IF(AND(ISNUMBER(I11),ISNUMBER(J11)),I11*J11,"")</f>
        <v/>
      </c>
      <c r="L11" s="339">
        <f>IF(COUNT(F11,I11)=0,"",N(F11)-N(I11))</f>
        <v/>
      </c>
      <c r="M11" s="340">
        <f>IF(COUNT(H11,K11)=0,"",N(K11)-N(H11))</f>
        <v/>
      </c>
      <c r="N11" s="339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L-0018</t>
        </is>
      </c>
      <c r="C12" s="319" t="n">
        <v>45771</v>
      </c>
      <c r="D12" s="318" t="inlineStr">
        <is>
          <t>Arbitrum</t>
        </is>
      </c>
      <c r="E12" s="320" t="inlineStr">
        <is>
          <t>ETH/USD</t>
        </is>
      </c>
      <c r="F12" s="321" t="n"/>
      <c r="G12" s="322" t="n"/>
      <c r="H12" s="271">
        <f>IF(AND(ISNUMBER(F12),ISNUMBER(G12)),F12*G12,"")</f>
        <v/>
      </c>
      <c r="I12" s="321" t="n">
        <v>0.2516742</v>
      </c>
      <c r="J12" s="322" t="n">
        <v>1987.29150624</v>
      </c>
      <c r="K12" s="271">
        <f>IF(AND(ISNUMBER(I12),ISNUMBER(J12)),I12*J12,"")</f>
        <v/>
      </c>
      <c r="L12" s="341">
        <f>IF(COUNT(F12,I12)=0,"",N(F12)-N(I12))</f>
        <v/>
      </c>
      <c r="M12" s="342">
        <f>IF(COUNT(H12,K12)=0,"",N(K12)-N(H12))</f>
        <v/>
      </c>
      <c r="N12" s="341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L-0019</t>
        </is>
      </c>
      <c r="C13" s="314" t="n">
        <v>45898</v>
      </c>
      <c r="D13" s="313" t="inlineStr">
        <is>
          <t>BSChain</t>
        </is>
      </c>
      <c r="E13" s="315" t="inlineStr">
        <is>
          <t>BNB/ETH</t>
        </is>
      </c>
      <c r="F13" s="316" t="n"/>
      <c r="G13" s="317" t="n"/>
      <c r="H13" s="271">
        <f>IF(AND(ISNUMBER(F13),ISNUMBER(G13)),F13*G13,"")</f>
        <v/>
      </c>
      <c r="I13" s="316" t="n">
        <v>0.7644741900000001</v>
      </c>
      <c r="J13" s="317" t="n">
        <v>0.20742665</v>
      </c>
      <c r="K13" s="271">
        <f>IF(AND(ISNUMBER(I13),ISNUMBER(J13)),I13*J13,"")</f>
        <v/>
      </c>
      <c r="L13" s="339">
        <f>IF(COUNT(F13,I13)=0,"",N(F13)-N(I13))</f>
        <v/>
      </c>
      <c r="M13" s="340">
        <f>IF(COUNT(H13,K13)=0,"",N(K13)-N(H13))</f>
        <v/>
      </c>
      <c r="N13" s="339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L-0020</t>
        </is>
      </c>
      <c r="C14" s="319" t="n">
        <v>45910</v>
      </c>
      <c r="D14" s="318" t="inlineStr">
        <is>
          <t>BSChain</t>
        </is>
      </c>
      <c r="E14" s="320" t="inlineStr">
        <is>
          <t>BNB/ETH</t>
        </is>
      </c>
      <c r="F14" s="321" t="n"/>
      <c r="G14" s="322" t="n"/>
      <c r="H14" s="271">
        <f>IF(AND(ISNUMBER(F14),ISNUMBER(G14)),F14*G14,"")</f>
        <v/>
      </c>
      <c r="I14" s="321" t="n">
        <v>0.69569238</v>
      </c>
      <c r="J14" s="322" t="n">
        <v>0.19827191</v>
      </c>
      <c r="K14" s="271">
        <f>IF(AND(ISNUMBER(I14),ISNUMBER(J14)),I14*J14,"")</f>
        <v/>
      </c>
      <c r="L14" s="341">
        <f>IF(COUNT(F14,I14)=0,"",N(F14)-N(I14))</f>
        <v/>
      </c>
      <c r="M14" s="342">
        <f>IF(COUNT(H14,K14)=0,"",N(K14)-N(H14))</f>
        <v/>
      </c>
      <c r="N14" s="341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L-0021</t>
        </is>
      </c>
      <c r="C15" s="314" t="n">
        <v>45913</v>
      </c>
      <c r="D15" s="313" t="inlineStr">
        <is>
          <t>BSChain</t>
        </is>
      </c>
      <c r="E15" s="315" t="inlineStr">
        <is>
          <t>ETH/USD</t>
        </is>
      </c>
      <c r="F15" s="316" t="n">
        <v>0.11864831</v>
      </c>
      <c r="G15" s="317" t="n">
        <v>4590.28872809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339">
        <f>IF(COUNT(F15,I15)=0,"",N(F15)-N(I15))</f>
        <v/>
      </c>
      <c r="M15" s="340">
        <f>IF(COUNT(H15,K15)=0,"",N(K15)-N(H15))</f>
        <v/>
      </c>
      <c r="N15" s="339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L-0022</t>
        </is>
      </c>
      <c r="C16" s="319" t="n">
        <v>45918</v>
      </c>
      <c r="D16" s="318" t="inlineStr">
        <is>
          <t>BSChain</t>
        </is>
      </c>
      <c r="E16" s="320" t="inlineStr">
        <is>
          <t>BNB/ETH</t>
        </is>
      </c>
      <c r="F16" s="321" t="n"/>
      <c r="G16" s="322" t="n"/>
      <c r="H16" s="271">
        <f>IF(AND(ISNUMBER(F16),ISNUMBER(G16)),F16*G16,"")</f>
        <v/>
      </c>
      <c r="I16" s="321" t="n">
        <v>0.36972912</v>
      </c>
      <c r="J16" s="322" t="n">
        <v>0.2094858</v>
      </c>
      <c r="K16" s="271">
        <f>IF(AND(ISNUMBER(I16),ISNUMBER(J16)),I16*J16,"")</f>
        <v/>
      </c>
      <c r="L16" s="341">
        <f>IF(COUNT(F16,I16)=0,"",N(F16)-N(I16))</f>
        <v/>
      </c>
      <c r="M16" s="342">
        <f>IF(COUNT(H16,K16)=0,"",N(K16)-N(H16))</f>
        <v/>
      </c>
      <c r="N16" s="341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L-0023</t>
        </is>
      </c>
      <c r="C17" s="314" t="n">
        <v>45919</v>
      </c>
      <c r="D17" s="313" t="inlineStr">
        <is>
          <t>BSChain</t>
        </is>
      </c>
      <c r="E17" s="315" t="inlineStr">
        <is>
          <t>ETH/BTC</t>
        </is>
      </c>
      <c r="F17" s="316" t="n"/>
      <c r="G17" s="317" t="n"/>
      <c r="H17" s="271">
        <f>IF(AND(ISNUMBER(F17),ISNUMBER(G17)),F17*G17,"")</f>
        <v/>
      </c>
      <c r="I17" s="316" t="n">
        <v>0.1019376</v>
      </c>
      <c r="J17" s="317" t="n">
        <v>0.02942977</v>
      </c>
      <c r="K17" s="271">
        <f>IF(AND(ISNUMBER(I17),ISNUMBER(J17)),I17*J17,"")</f>
        <v/>
      </c>
      <c r="L17" s="339">
        <f>IF(COUNT(F17,I17)=0,"",N(F17)-N(I17))</f>
        <v/>
      </c>
      <c r="M17" s="340">
        <f>IF(COUNT(H17,K17)=0,"",N(K17)-N(H17))</f>
        <v/>
      </c>
      <c r="N17" s="339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L-0024</t>
        </is>
      </c>
      <c r="C18" s="319" t="n">
        <v>45920</v>
      </c>
      <c r="D18" s="318" t="inlineStr">
        <is>
          <t>BSChain</t>
        </is>
      </c>
      <c r="E18" s="320" t="inlineStr">
        <is>
          <t>ETH/BTC</t>
        </is>
      </c>
      <c r="F18" s="321" t="n"/>
      <c r="G18" s="322" t="n"/>
      <c r="H18" s="271">
        <f>IF(AND(ISNUMBER(F18),ISNUMBER(G18)),F18*G18,"")</f>
        <v/>
      </c>
      <c r="I18" s="321" t="n">
        <v>0.0513926</v>
      </c>
      <c r="J18" s="322" t="n">
        <v>0.02760981</v>
      </c>
      <c r="K18" s="271">
        <f>IF(AND(ISNUMBER(I18),ISNUMBER(J18)),I18*J18,"")</f>
        <v/>
      </c>
      <c r="L18" s="341">
        <f>IF(COUNT(F18,I18)=0,"",N(F18)-N(I18))</f>
        <v/>
      </c>
      <c r="M18" s="342">
        <f>IF(COUNT(H18,K18)=0,"",N(K18)-N(H18))</f>
        <v/>
      </c>
      <c r="N18" s="341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L-0025</t>
        </is>
      </c>
      <c r="C19" s="314" t="n">
        <v>45920</v>
      </c>
      <c r="D19" s="313" t="inlineStr">
        <is>
          <t>BSChain</t>
        </is>
      </c>
      <c r="E19" s="315" t="inlineStr">
        <is>
          <t>ETH/BTC</t>
        </is>
      </c>
      <c r="F19" s="316" t="n"/>
      <c r="G19" s="317" t="n"/>
      <c r="H19" s="271">
        <f>IF(AND(ISNUMBER(F19),ISNUMBER(G19)),F19*G19,"")</f>
        <v/>
      </c>
      <c r="I19" s="316" t="n">
        <v>0.15020513</v>
      </c>
      <c r="J19" s="317" t="n">
        <v>0.0273</v>
      </c>
      <c r="K19" s="271">
        <f>IF(AND(ISNUMBER(I19),ISNUMBER(J19)),I19*J19,"")</f>
        <v/>
      </c>
      <c r="L19" s="339">
        <f>IF(COUNT(F19,I19)=0,"",N(F19)-N(I19))</f>
        <v/>
      </c>
      <c r="M19" s="340">
        <f>IF(COUNT(H19,K19)=0,"",N(K19)-N(H19))</f>
        <v/>
      </c>
      <c r="N19" s="339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L-0026</t>
        </is>
      </c>
      <c r="C20" s="319" t="n">
        <v>45924</v>
      </c>
      <c r="D20" s="318" t="inlineStr">
        <is>
          <t>BSChain</t>
        </is>
      </c>
      <c r="E20" s="320" t="inlineStr">
        <is>
          <t>BNB/ETH</t>
        </is>
      </c>
      <c r="F20" s="321" t="n"/>
      <c r="G20" s="322" t="n"/>
      <c r="H20" s="271">
        <f>IF(AND(ISNUMBER(F20),ISNUMBER(G20)),F20*G20,"")</f>
        <v/>
      </c>
      <c r="I20" s="321" t="n">
        <v>0.41297574</v>
      </c>
      <c r="J20" s="322" t="n">
        <v>0.26003251</v>
      </c>
      <c r="K20" s="271">
        <f>IF(AND(ISNUMBER(I20),ISNUMBER(J20)),I20*J20,"")</f>
        <v/>
      </c>
      <c r="L20" s="341">
        <f>IF(COUNT(F20,I20)=0,"",N(F20)-N(I20))</f>
        <v/>
      </c>
      <c r="M20" s="342">
        <f>IF(COUNT(H20,K20)=0,"",N(K20)-N(H20))</f>
        <v/>
      </c>
      <c r="N20" s="341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L-0027</t>
        </is>
      </c>
      <c r="C21" s="314" t="n">
        <v>45933</v>
      </c>
      <c r="D21" s="313" t="inlineStr">
        <is>
          <t>BSChain</t>
        </is>
      </c>
      <c r="E21" s="315" t="inlineStr">
        <is>
          <t>ETH/USD</t>
        </is>
      </c>
      <c r="F21" s="316" t="n">
        <v>0.14273233</v>
      </c>
      <c r="G21" s="317" t="n">
        <v>4679.87876328</v>
      </c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339">
        <f>IF(COUNT(F21,I21)=0,"",N(F21)-N(I21))</f>
        <v/>
      </c>
      <c r="M21" s="340">
        <f>IF(COUNT(H21,K21)=0,"",N(K21)-N(H21))</f>
        <v/>
      </c>
      <c r="N21" s="339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L-0028</t>
        </is>
      </c>
      <c r="C22" s="319" t="n">
        <v>45934</v>
      </c>
      <c r="D22" s="318" t="inlineStr">
        <is>
          <t>BSChain</t>
        </is>
      </c>
      <c r="E22" s="320" t="inlineStr">
        <is>
          <t>CAKE/BNB</t>
        </is>
      </c>
      <c r="F22" s="321" t="n">
        <v>692.39674339</v>
      </c>
      <c r="G22" s="322" t="n">
        <v>0.00353518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341">
        <f>IF(COUNT(F22,I22)=0,"",N(F22)-N(I22))</f>
        <v/>
      </c>
      <c r="M22" s="342">
        <f>IF(COUNT(H22,K22)=0,"",N(K22)-N(H22))</f>
        <v/>
      </c>
      <c r="N22" s="341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L-0029</t>
        </is>
      </c>
      <c r="C23" s="314" t="n">
        <v>45937</v>
      </c>
      <c r="D23" s="313" t="inlineStr">
        <is>
          <t>BSChain</t>
        </is>
      </c>
      <c r="E23" s="315" t="inlineStr">
        <is>
          <t>ETH/USD</t>
        </is>
      </c>
      <c r="F23" s="316" t="n">
        <v>0.1</v>
      </c>
      <c r="G23" s="317" t="n">
        <v>4509.9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339">
        <f>IF(COUNT(F23,I23)=0,"",N(F23)-N(I23))</f>
        <v/>
      </c>
      <c r="M23" s="340">
        <f>IF(COUNT(H23,K23)=0,"",N(K23)-N(H23))</f>
        <v/>
      </c>
      <c r="N23" s="339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L-0030</t>
        </is>
      </c>
      <c r="C24" s="319" t="n">
        <v>45937</v>
      </c>
      <c r="D24" s="318" t="inlineStr">
        <is>
          <t>BSChain</t>
        </is>
      </c>
      <c r="E24" s="320" t="inlineStr">
        <is>
          <t>ETH/BTC</t>
        </is>
      </c>
      <c r="F24" s="321" t="n">
        <v>0.532124</v>
      </c>
      <c r="G24" s="322" t="n">
        <v>0.03709008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341">
        <f>IF(COUNT(F24,I24)=0,"",N(F24)-N(I24))</f>
        <v/>
      </c>
      <c r="M24" s="342">
        <f>IF(COUNT(H24,K24)=0,"",N(K24)-N(H24))</f>
        <v/>
      </c>
      <c r="N24" s="341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L-0031</t>
        </is>
      </c>
      <c r="C25" s="314" t="n">
        <v>45938</v>
      </c>
      <c r="D25" s="313" t="inlineStr">
        <is>
          <t>BSChain</t>
        </is>
      </c>
      <c r="E25" s="315" t="inlineStr">
        <is>
          <t>BTC/USD</t>
        </is>
      </c>
      <c r="F25" s="316" t="n">
        <v>0.01027741</v>
      </c>
      <c r="G25" s="317" t="n">
        <v>119001.77184719</v>
      </c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339">
        <f>IF(COUNT(F25,I25)=0,"",N(F25)-N(I25))</f>
        <v/>
      </c>
      <c r="M25" s="340">
        <f>IF(COUNT(H25,K25)=0,"",N(K25)-N(H25))</f>
        <v/>
      </c>
      <c r="N25" s="339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inlineStr">
        <is>
          <t>L-0032</t>
        </is>
      </c>
      <c r="C26" s="319" t="n">
        <v>45940</v>
      </c>
      <c r="D26" s="318" t="inlineStr">
        <is>
          <t>BSChain</t>
        </is>
      </c>
      <c r="E26" s="320" t="inlineStr">
        <is>
          <t>BNB/ETH</t>
        </is>
      </c>
      <c r="F26" s="321" t="n"/>
      <c r="G26" s="322" t="n"/>
      <c r="H26" s="271">
        <f>IF(AND(ISNUMBER(F26),ISNUMBER(G26)),F26*G26,"")</f>
        <v/>
      </c>
      <c r="I26" s="321" t="n">
        <v>0.41741338</v>
      </c>
      <c r="J26" s="322" t="n">
        <v>0.22696984</v>
      </c>
      <c r="K26" s="271">
        <f>IF(AND(ISNUMBER(I26),ISNUMBER(J26)),I26*J26,"")</f>
        <v/>
      </c>
      <c r="L26" s="341">
        <f>IF(COUNT(F26,I26)=0,"",N(F26)-N(I26))</f>
        <v/>
      </c>
      <c r="M26" s="342">
        <f>IF(COUNT(H26,K26)=0,"",N(K26)-N(H26))</f>
        <v/>
      </c>
      <c r="N26" s="341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inlineStr">
        <is>
          <t>L-0033</t>
        </is>
      </c>
      <c r="C27" s="314" t="n">
        <v>45942</v>
      </c>
      <c r="D27" s="313" t="inlineStr">
        <is>
          <t>BSChain</t>
        </is>
      </c>
      <c r="E27" s="315" t="inlineStr">
        <is>
          <t>BNB/BTC</t>
        </is>
      </c>
      <c r="F27" s="316" t="n">
        <v>0.4579253</v>
      </c>
      <c r="G27" s="317" t="n">
        <v>0.01299773</v>
      </c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339">
        <f>IF(COUNT(F27,I27)=0,"",N(F27)-N(I27))</f>
        <v/>
      </c>
      <c r="M27" s="340">
        <f>IF(COUNT(H27,K27)=0,"",N(K27)-N(H27))</f>
        <v/>
      </c>
      <c r="N27" s="339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inlineStr">
        <is>
          <t>L-0034</t>
        </is>
      </c>
      <c r="C28" s="319" t="n">
        <v>45943</v>
      </c>
      <c r="D28" s="318" t="inlineStr">
        <is>
          <t>BSChain</t>
        </is>
      </c>
      <c r="E28" s="320" t="inlineStr">
        <is>
          <t>BNB/BTC</t>
        </is>
      </c>
      <c r="F28" s="321" t="n">
        <v>0.95</v>
      </c>
      <c r="G28" s="322" t="n">
        <v>0.011835</v>
      </c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341">
        <f>IF(COUNT(F28,I28)=0,"",N(F28)-N(I28))</f>
        <v/>
      </c>
      <c r="M28" s="342">
        <f>IF(COUNT(H28,K28)=0,"",N(K28)-N(H28))</f>
        <v/>
      </c>
      <c r="N28" s="341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inlineStr">
        <is>
          <t>L-0035</t>
        </is>
      </c>
      <c r="C29" s="314" t="n">
        <v>45943</v>
      </c>
      <c r="D29" s="313" t="inlineStr">
        <is>
          <t>BSChain</t>
        </is>
      </c>
      <c r="E29" s="315" t="inlineStr">
        <is>
          <t>BNB/ETH</t>
        </is>
      </c>
      <c r="F29" s="316" t="n">
        <v>0.4260747</v>
      </c>
      <c r="G29" s="317" t="n">
        <v>0.328028</v>
      </c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339">
        <f>IF(COUNT(F29,I29)=0,"",N(F29)-N(I29))</f>
        <v/>
      </c>
      <c r="M29" s="340">
        <f>IF(COUNT(H29,K29)=0,"",N(K29)-N(H29))</f>
        <v/>
      </c>
      <c r="N29" s="339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inlineStr">
        <is>
          <t>L-0036</t>
        </is>
      </c>
      <c r="C30" s="319" t="n">
        <v>45944</v>
      </c>
      <c r="D30" s="318" t="inlineStr">
        <is>
          <t>BSChain</t>
        </is>
      </c>
      <c r="E30" s="320" t="inlineStr">
        <is>
          <t>BNB/BTC</t>
        </is>
      </c>
      <c r="F30" s="321" t="n">
        <v>0.26</v>
      </c>
      <c r="G30" s="322" t="n">
        <v>0.009052650000000001</v>
      </c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341">
        <f>IF(COUNT(F30,I30)=0,"",N(F30)-N(I30))</f>
        <v/>
      </c>
      <c r="M30" s="342">
        <f>IF(COUNT(H30,K30)=0,"",N(K30)-N(H30))</f>
        <v/>
      </c>
      <c r="N30" s="341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inlineStr">
        <is>
          <t>L-0037</t>
        </is>
      </c>
      <c r="C31" s="314" t="n">
        <v>45944</v>
      </c>
      <c r="D31" s="313" t="inlineStr">
        <is>
          <t>BSChain</t>
        </is>
      </c>
      <c r="E31" s="315" t="inlineStr">
        <is>
          <t>CAKE/USD</t>
        </is>
      </c>
      <c r="F31" s="316" t="n"/>
      <c r="G31" s="317" t="n"/>
      <c r="H31" s="271">
        <f>IF(AND(ISNUMBER(F31),ISNUMBER(G31)),F31*G31,"")</f>
        <v/>
      </c>
      <c r="I31" s="316" t="n">
        <v>226.71300479</v>
      </c>
      <c r="J31" s="317" t="n">
        <v>2.34944617</v>
      </c>
      <c r="K31" s="271">
        <f>IF(AND(ISNUMBER(I31),ISNUMBER(J31)),I31*J31,"")</f>
        <v/>
      </c>
      <c r="L31" s="339">
        <f>IF(COUNT(F31,I31)=0,"",N(F31)-N(I31))</f>
        <v/>
      </c>
      <c r="M31" s="340">
        <f>IF(COUNT(H31,K31)=0,"",N(K31)-N(H31))</f>
        <v/>
      </c>
      <c r="N31" s="339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inlineStr">
        <is>
          <t>L-0038</t>
        </is>
      </c>
      <c r="C32" s="319" t="n">
        <v>45944</v>
      </c>
      <c r="D32" s="318" t="inlineStr">
        <is>
          <t>BSChain</t>
        </is>
      </c>
      <c r="E32" s="320" t="inlineStr">
        <is>
          <t>CAKE/USD</t>
        </is>
      </c>
      <c r="F32" s="321" t="n"/>
      <c r="G32" s="322" t="n"/>
      <c r="H32" s="271">
        <f>IF(AND(ISNUMBER(F32),ISNUMBER(G32)),F32*G32,"")</f>
        <v/>
      </c>
      <c r="I32" s="321" t="n">
        <v>221.60808436</v>
      </c>
      <c r="J32" s="322" t="n">
        <v>1.91906356</v>
      </c>
      <c r="K32" s="271">
        <f>IF(AND(ISNUMBER(I32),ISNUMBER(J32)),I32*J32,"")</f>
        <v/>
      </c>
      <c r="L32" s="341">
        <f>IF(COUNT(F32,I32)=0,"",N(F32)-N(I32))</f>
        <v/>
      </c>
      <c r="M32" s="342">
        <f>IF(COUNT(H32,K32)=0,"",N(K32)-N(H32))</f>
        <v/>
      </c>
      <c r="N32" s="341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inlineStr">
        <is>
          <t>L-0039</t>
        </is>
      </c>
      <c r="C33" s="314" t="n">
        <v>45946</v>
      </c>
      <c r="D33" s="313" t="inlineStr">
        <is>
          <t>BSChain</t>
        </is>
      </c>
      <c r="E33" s="315" t="inlineStr">
        <is>
          <t>BNB/BTC</t>
        </is>
      </c>
      <c r="F33" s="316" t="n">
        <v>0.12900377</v>
      </c>
      <c r="G33" s="317" t="n">
        <v>0.01061504</v>
      </c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339">
        <f>IF(COUNT(F33,I33)=0,"",N(F33)-N(I33))</f>
        <v/>
      </c>
      <c r="M33" s="340">
        <f>IF(COUNT(H33,K33)=0,"",N(K33)-N(H33))</f>
        <v/>
      </c>
      <c r="N33" s="339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inlineStr">
        <is>
          <t>L-0040</t>
        </is>
      </c>
      <c r="C34" s="319" t="n">
        <v>45948</v>
      </c>
      <c r="D34" s="318" t="inlineStr">
        <is>
          <t>BSChain</t>
        </is>
      </c>
      <c r="E34" s="320" t="inlineStr">
        <is>
          <t>CAKE/BTC</t>
        </is>
      </c>
      <c r="F34" s="321" t="n"/>
      <c r="G34" s="322" t="n"/>
      <c r="H34" s="271">
        <f>IF(AND(ISNUMBER(F34),ISNUMBER(G34)),F34*G34,"")</f>
        <v/>
      </c>
      <c r="I34" s="321" t="n">
        <v>946.1701865700001</v>
      </c>
      <c r="J34" s="322" t="n">
        <v>2.256e-05</v>
      </c>
      <c r="K34" s="271">
        <f>IF(AND(ISNUMBER(I34),ISNUMBER(J34)),I34*J34,"")</f>
        <v/>
      </c>
      <c r="L34" s="341">
        <f>IF(COUNT(F34,I34)=0,"",N(F34)-N(I34))</f>
        <v/>
      </c>
      <c r="M34" s="342">
        <f>IF(COUNT(H34,K34)=0,"",N(K34)-N(H34))</f>
        <v/>
      </c>
      <c r="N34" s="341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inlineStr">
        <is>
          <t>L-0041</t>
        </is>
      </c>
      <c r="C35" s="314" t="n">
        <v>45948</v>
      </c>
      <c r="D35" s="313" t="inlineStr">
        <is>
          <t>BSChain</t>
        </is>
      </c>
      <c r="E35" s="315" t="inlineStr">
        <is>
          <t>CAKE/ETH</t>
        </is>
      </c>
      <c r="F35" s="316" t="n">
        <v>851.786109</v>
      </c>
      <c r="G35" s="317" t="n">
        <v>0.0010588</v>
      </c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339">
        <f>IF(COUNT(F35,I35)=0,"",N(F35)-N(I35))</f>
        <v/>
      </c>
      <c r="M35" s="340">
        <f>IF(COUNT(H35,K35)=0,"",N(K35)-N(H35))</f>
        <v/>
      </c>
      <c r="N35" s="339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inlineStr">
        <is>
          <t>L-0042</t>
        </is>
      </c>
      <c r="C36" s="319" t="n">
        <v>45957</v>
      </c>
      <c r="D36" s="318" t="inlineStr">
        <is>
          <t>BSChain</t>
        </is>
      </c>
      <c r="E36" s="320" t="inlineStr">
        <is>
          <t>BNB/USD</t>
        </is>
      </c>
      <c r="F36" s="321" t="n">
        <v>0.18193688</v>
      </c>
      <c r="G36" s="322" t="n">
        <v>1233.94443172</v>
      </c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341">
        <f>IF(COUNT(F36,I36)=0,"",N(F36)-N(I36))</f>
        <v/>
      </c>
      <c r="M36" s="342">
        <f>IF(COUNT(H36,K36)=0,"",N(K36)-N(H36))</f>
        <v/>
      </c>
      <c r="N36" s="341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inlineStr">
        <is>
          <t>L-0043</t>
        </is>
      </c>
      <c r="C37" s="314" t="n">
        <v>45963</v>
      </c>
      <c r="D37" s="313" t="inlineStr">
        <is>
          <t>BSChain</t>
        </is>
      </c>
      <c r="E37" s="315" t="inlineStr">
        <is>
          <t>BNB/BTC</t>
        </is>
      </c>
      <c r="F37" s="316" t="n">
        <v>0.399766</v>
      </c>
      <c r="G37" s="317" t="n">
        <v>0.00987828</v>
      </c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339">
        <f>IF(COUNT(F37,I37)=0,"",N(F37)-N(I37))</f>
        <v/>
      </c>
      <c r="M37" s="340">
        <f>IF(COUNT(H37,K37)=0,"",N(K37)-N(H37))</f>
        <v/>
      </c>
      <c r="N37" s="339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inlineStr">
        <is>
          <t>L-0044</t>
        </is>
      </c>
      <c r="C38" s="319" t="n">
        <v>45981</v>
      </c>
      <c r="D38" s="318" t="inlineStr">
        <is>
          <t>BSChain</t>
        </is>
      </c>
      <c r="E38" s="320" t="inlineStr">
        <is>
          <t>BNB/USD</t>
        </is>
      </c>
      <c r="F38" s="321" t="n"/>
      <c r="G38" s="322" t="n"/>
      <c r="H38" s="271">
        <f>IF(AND(ISNUMBER(F38),ISNUMBER(G38)),F38*G38,"")</f>
        <v/>
      </c>
      <c r="I38" s="321" t="n">
        <v>0.570874</v>
      </c>
      <c r="J38" s="322" t="n">
        <v>682.26964269</v>
      </c>
      <c r="K38" s="271">
        <f>IF(AND(ISNUMBER(I38),ISNUMBER(J38)),I38*J38,"")</f>
        <v/>
      </c>
      <c r="L38" s="341">
        <f>IF(COUNT(F38,I38)=0,"",N(F38)-N(I38))</f>
        <v/>
      </c>
      <c r="M38" s="342">
        <f>IF(COUNT(H38,K38)=0,"",N(K38)-N(H38))</f>
        <v/>
      </c>
      <c r="N38" s="341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inlineStr">
        <is>
          <t>L-0045</t>
        </is>
      </c>
      <c r="C39" s="314" t="n">
        <v>45988</v>
      </c>
      <c r="D39" s="313" t="inlineStr">
        <is>
          <t>BSChain</t>
        </is>
      </c>
      <c r="E39" s="315" t="inlineStr">
        <is>
          <t>BNB/USD</t>
        </is>
      </c>
      <c r="F39" s="316" t="n"/>
      <c r="G39" s="317" t="n"/>
      <c r="H39" s="271">
        <f>IF(AND(ISNUMBER(F39),ISNUMBER(G39)),F39*G39,"")</f>
        <v/>
      </c>
      <c r="I39" s="316" t="n">
        <v>1.43879213</v>
      </c>
      <c r="J39" s="317" t="n">
        <v>707.6213295699999</v>
      </c>
      <c r="K39" s="271">
        <f>IF(AND(ISNUMBER(I39),ISNUMBER(J39)),I39*J39,"")</f>
        <v/>
      </c>
      <c r="L39" s="339">
        <f>IF(COUNT(F39,I39)=0,"",N(F39)-N(I39))</f>
        <v/>
      </c>
      <c r="M39" s="340">
        <f>IF(COUNT(H39,K39)=0,"",N(K39)-N(H39))</f>
        <v/>
      </c>
      <c r="N39" s="339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inlineStr">
        <is>
          <t>L-0046</t>
        </is>
      </c>
      <c r="C40" s="319" t="n">
        <v>45988</v>
      </c>
      <c r="D40" s="318" t="inlineStr">
        <is>
          <t>BSChain</t>
        </is>
      </c>
      <c r="E40" s="320" t="inlineStr">
        <is>
          <t>BNB/USD</t>
        </is>
      </c>
      <c r="F40" s="321" t="n"/>
      <c r="G40" s="322" t="n"/>
      <c r="H40" s="271">
        <f>IF(AND(ISNUMBER(F40),ISNUMBER(G40)),F40*G40,"")</f>
        <v/>
      </c>
      <c r="I40" s="321" t="n">
        <v>0.73155346</v>
      </c>
      <c r="J40" s="322" t="n">
        <v>664.58574333</v>
      </c>
      <c r="K40" s="271">
        <f>IF(AND(ISNUMBER(I40),ISNUMBER(J40)),I40*J40,"")</f>
        <v/>
      </c>
      <c r="L40" s="341">
        <f>IF(COUNT(F40,I40)=0,"",N(F40)-N(I40))</f>
        <v/>
      </c>
      <c r="M40" s="342">
        <f>IF(COUNT(H40,K40)=0,"",N(K40)-N(H40))</f>
        <v/>
      </c>
      <c r="N40" s="341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inlineStr">
        <is>
          <t>L-0047</t>
        </is>
      </c>
      <c r="C41" s="314" t="n">
        <v>46099</v>
      </c>
      <c r="D41" s="313" t="inlineStr">
        <is>
          <t>Arbitrum</t>
        </is>
      </c>
      <c r="E41" s="315" t="inlineStr">
        <is>
          <t>ETH/USD</t>
        </is>
      </c>
      <c r="F41" s="316" t="n"/>
      <c r="G41" s="317" t="n"/>
      <c r="H41" s="271">
        <f>IF(AND(ISNUMBER(F41),ISNUMBER(G41)),F41*G41,"")</f>
        <v/>
      </c>
      <c r="I41" s="316" t="n">
        <v>0.24264142</v>
      </c>
      <c r="J41" s="317" t="n">
        <v>2060.65394771</v>
      </c>
      <c r="K41" s="271">
        <f>IF(AND(ISNUMBER(I41),ISNUMBER(J41)),I41*J41,"")</f>
        <v/>
      </c>
      <c r="L41" s="339">
        <f>IF(COUNT(F41,I41)=0,"",N(F41)-N(I41))</f>
        <v/>
      </c>
      <c r="M41" s="340">
        <f>IF(COUNT(H41,K41)=0,"",N(K41)-N(H41))</f>
        <v/>
      </c>
      <c r="N41" s="339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inlineStr">
        <is>
          <t>L-0048</t>
        </is>
      </c>
      <c r="C42" s="319" t="n">
        <v>46116</v>
      </c>
      <c r="D42" s="318" t="inlineStr">
        <is>
          <t>BSChain</t>
        </is>
      </c>
      <c r="E42" s="320" t="inlineStr">
        <is>
          <t>BNB/ETH</t>
        </is>
      </c>
      <c r="F42" s="321" t="n">
        <v>0.49418319</v>
      </c>
      <c r="G42" s="322" t="n">
        <v>0.29360254</v>
      </c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341">
        <f>IF(COUNT(F42,I42)=0,"",N(F42)-N(I42))</f>
        <v/>
      </c>
      <c r="M42" s="342">
        <f>IF(COUNT(H42,K42)=0,"",N(K42)-N(H42))</f>
        <v/>
      </c>
      <c r="N42" s="341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inlineStr">
        <is>
          <t>L-0049</t>
        </is>
      </c>
      <c r="C43" s="314" t="n">
        <v>46140</v>
      </c>
      <c r="D43" s="313" t="inlineStr">
        <is>
          <t>Arbitrum</t>
        </is>
      </c>
      <c r="E43" s="315" t="inlineStr">
        <is>
          <t>BTC/USD</t>
        </is>
      </c>
      <c r="F43" s="316" t="n"/>
      <c r="G43" s="317" t="n"/>
      <c r="H43" s="271">
        <f>IF(AND(ISNUMBER(F43),ISNUMBER(G43)),F43*G43,"")</f>
        <v/>
      </c>
      <c r="I43" s="316" t="n">
        <v>0.003</v>
      </c>
      <c r="J43" s="317" t="n">
        <v>75850</v>
      </c>
      <c r="K43" s="271">
        <f>IF(AND(ISNUMBER(I43),ISNUMBER(J43)),I43*J43,"")</f>
        <v/>
      </c>
      <c r="L43" s="339">
        <f>IF(COUNT(F43,I43)=0,"",N(F43)-N(I43))</f>
        <v/>
      </c>
      <c r="M43" s="340">
        <f>IF(COUNT(H43,K43)=0,"",N(K43)-N(H43))</f>
        <v/>
      </c>
      <c r="N43" s="339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inlineStr">
        <is>
          <t>L-0050</t>
        </is>
      </c>
      <c r="C44" s="319" t="n">
        <v>46140</v>
      </c>
      <c r="D44" s="318" t="inlineStr">
        <is>
          <t>BSChain</t>
        </is>
      </c>
      <c r="E44" s="320" t="inlineStr">
        <is>
          <t>BNB/ETH</t>
        </is>
      </c>
      <c r="F44" s="321" t="n"/>
      <c r="G44" s="322" t="n"/>
      <c r="H44" s="271">
        <f>IF(AND(ISNUMBER(F44),ISNUMBER(G44)),F44*G44,"")</f>
        <v/>
      </c>
      <c r="I44" s="321" t="n">
        <v>0.3678136</v>
      </c>
      <c r="J44" s="322" t="n">
        <v>0.27187684</v>
      </c>
      <c r="K44" s="271">
        <f>IF(AND(ISNUMBER(I44),ISNUMBER(J44)),I44*J44,"")</f>
        <v/>
      </c>
      <c r="L44" s="341">
        <f>IF(COUNT(F44,I44)=0,"",N(F44)-N(I44))</f>
        <v/>
      </c>
      <c r="M44" s="342">
        <f>IF(COUNT(H44,K44)=0,"",N(K44)-N(H44))</f>
        <v/>
      </c>
      <c r="N44" s="341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inlineStr">
        <is>
          <t>L-0051</t>
        </is>
      </c>
      <c r="C45" s="314" t="n">
        <v>46151</v>
      </c>
      <c r="D45" s="313" t="inlineStr">
        <is>
          <t>BSChain</t>
        </is>
      </c>
      <c r="E45" s="315" t="inlineStr">
        <is>
          <t>BTC/USD</t>
        </is>
      </c>
      <c r="F45" s="316" t="n"/>
      <c r="G45" s="317" t="n"/>
      <c r="H45" s="271">
        <f>IF(AND(ISNUMBER(F45),ISNUMBER(G45)),F45*G45,"")</f>
        <v/>
      </c>
      <c r="I45" s="316" t="n">
        <v>0.003</v>
      </c>
      <c r="J45" s="317" t="n">
        <v>80333.33333333</v>
      </c>
      <c r="K45" s="271">
        <f>IF(AND(ISNUMBER(I45),ISNUMBER(J45)),I45*J45,"")</f>
        <v/>
      </c>
      <c r="L45" s="339">
        <f>IF(COUNT(F45,I45)=0,"",N(F45)-N(I45))</f>
        <v/>
      </c>
      <c r="M45" s="340">
        <f>IF(COUNT(H45,K45)=0,"",N(K45)-N(H45))</f>
        <v/>
      </c>
      <c r="N45" s="339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inlineStr">
        <is>
          <t>L-0052</t>
        </is>
      </c>
      <c r="C46" s="319" t="n">
        <v>46166</v>
      </c>
      <c r="D46" s="318" t="inlineStr">
        <is>
          <t>Arbitrum</t>
        </is>
      </c>
      <c r="E46" s="320" t="inlineStr">
        <is>
          <t>BTC/USD</t>
        </is>
      </c>
      <c r="F46" s="321" t="n"/>
      <c r="G46" s="322" t="n"/>
      <c r="H46" s="271">
        <f>IF(AND(ISNUMBER(F46),ISNUMBER(G46)),F46*G46,"")</f>
        <v/>
      </c>
      <c r="I46" s="321" t="n">
        <v>0.00654389</v>
      </c>
      <c r="J46" s="322" t="n">
        <v>76430.07446641001</v>
      </c>
      <c r="K46" s="271">
        <f>IF(AND(ISNUMBER(I46),ISNUMBER(J46)),I46*J46,"")</f>
        <v/>
      </c>
      <c r="L46" s="341">
        <f>IF(COUNT(F46,I46)=0,"",N(F46)-N(I46))</f>
        <v/>
      </c>
      <c r="M46" s="342">
        <f>IF(COUNT(H46,K46)=0,"",N(K46)-N(H46))</f>
        <v/>
      </c>
      <c r="N46" s="341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inlineStr">
        <is>
          <t>L-0053</t>
        </is>
      </c>
      <c r="C47" s="314" t="n">
        <v>46166</v>
      </c>
      <c r="D47" s="313" t="inlineStr">
        <is>
          <t>Arbitrum</t>
        </is>
      </c>
      <c r="E47" s="315" t="inlineStr">
        <is>
          <t>BTC/USD</t>
        </is>
      </c>
      <c r="F47" s="316" t="n"/>
      <c r="G47" s="317" t="n"/>
      <c r="H47" s="271">
        <f>IF(AND(ISNUMBER(F47),ISNUMBER(G47)),F47*G47,"")</f>
        <v/>
      </c>
      <c r="I47" s="316" t="n">
        <v>0.00654983</v>
      </c>
      <c r="J47" s="317" t="n">
        <v>76360.76050829</v>
      </c>
      <c r="K47" s="271">
        <f>IF(AND(ISNUMBER(I47),ISNUMBER(J47)),I47*J47,"")</f>
        <v/>
      </c>
      <c r="L47" s="339">
        <f>IF(COUNT(F47,I47)=0,"",N(F47)-N(I47))</f>
        <v/>
      </c>
      <c r="M47" s="340">
        <f>IF(COUNT(H47,K47)=0,"",N(K47)-N(H47))</f>
        <v/>
      </c>
      <c r="N47" s="339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inlineStr">
        <is>
          <t>L-0054</t>
        </is>
      </c>
      <c r="C48" s="319" t="n">
        <v>46166</v>
      </c>
      <c r="D48" s="318" t="inlineStr">
        <is>
          <t>Arbitrum</t>
        </is>
      </c>
      <c r="E48" s="320" t="inlineStr">
        <is>
          <t>ETH/USD</t>
        </is>
      </c>
      <c r="F48" s="321" t="n"/>
      <c r="G48" s="322" t="n"/>
      <c r="H48" s="271">
        <f>IF(AND(ISNUMBER(F48),ISNUMBER(G48)),F48*G48,"")</f>
        <v/>
      </c>
      <c r="I48" s="321" t="n">
        <v>0.17795638</v>
      </c>
      <c r="J48" s="322" t="n">
        <v>2093.60293798</v>
      </c>
      <c r="K48" s="271">
        <f>IF(AND(ISNUMBER(I48),ISNUMBER(J48)),I48*J48,"")</f>
        <v/>
      </c>
      <c r="L48" s="341">
        <f>IF(COUNT(F48,I48)=0,"",N(F48)-N(I48))</f>
        <v/>
      </c>
      <c r="M48" s="342">
        <f>IF(COUNT(H48,K48)=0,"",N(K48)-N(H48))</f>
        <v/>
      </c>
      <c r="N48" s="341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inlineStr">
        <is>
          <t>L-0055</t>
        </is>
      </c>
      <c r="C49" s="314" t="n">
        <v>46166</v>
      </c>
      <c r="D49" s="313" t="inlineStr">
        <is>
          <t>Arbitrum</t>
        </is>
      </c>
      <c r="E49" s="315" t="inlineStr">
        <is>
          <t>ETH/USD</t>
        </is>
      </c>
      <c r="F49" s="316" t="n"/>
      <c r="G49" s="317" t="n"/>
      <c r="H49" s="271">
        <f>IF(AND(ISNUMBER(F49),ISNUMBER(G49)),F49*G49,"")</f>
        <v/>
      </c>
      <c r="I49" s="316" t="n">
        <v>0.09547244000000001</v>
      </c>
      <c r="J49" s="317" t="n">
        <v>2095.47383517</v>
      </c>
      <c r="K49" s="271">
        <f>IF(AND(ISNUMBER(I49),ISNUMBER(J49)),I49*J49,"")</f>
        <v/>
      </c>
      <c r="L49" s="339">
        <f>IF(COUNT(F49,I49)=0,"",N(F49)-N(I49))</f>
        <v/>
      </c>
      <c r="M49" s="340">
        <f>IF(COUNT(H49,K49)=0,"",N(K49)-N(H49))</f>
        <v/>
      </c>
      <c r="N49" s="339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inlineStr">
        <is>
          <t>L-0056</t>
        </is>
      </c>
      <c r="C50" s="319" t="n">
        <v>46166</v>
      </c>
      <c r="D50" s="318" t="inlineStr">
        <is>
          <t>Arbitrum</t>
        </is>
      </c>
      <c r="E50" s="320" t="inlineStr">
        <is>
          <t>ETH/USD</t>
        </is>
      </c>
      <c r="F50" s="321" t="n"/>
      <c r="G50" s="322" t="n"/>
      <c r="H50" s="271">
        <f>IF(AND(ISNUMBER(F50),ISNUMBER(G50)),F50*G50,"")</f>
        <v/>
      </c>
      <c r="I50" s="321" t="n">
        <v>0.16133642</v>
      </c>
      <c r="J50" s="322" t="n">
        <v>2092.52194886</v>
      </c>
      <c r="K50" s="271">
        <f>IF(AND(ISNUMBER(I50),ISNUMBER(J50)),I50*J50,"")</f>
        <v/>
      </c>
      <c r="L50" s="341">
        <f>IF(COUNT(F50,I50)=0,"",N(F50)-N(I50))</f>
        <v/>
      </c>
      <c r="M50" s="342">
        <f>IF(COUNT(H50,K50)=0,"",N(K50)-N(H50))</f>
        <v/>
      </c>
      <c r="N50" s="341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inlineStr">
        <is>
          <t>L-0057</t>
        </is>
      </c>
      <c r="C51" s="314" t="n">
        <v>46166</v>
      </c>
      <c r="D51" s="313" t="inlineStr">
        <is>
          <t>BSChain</t>
        </is>
      </c>
      <c r="E51" s="315" t="inlineStr">
        <is>
          <t>ETH/BTC</t>
        </is>
      </c>
      <c r="F51" s="316" t="n"/>
      <c r="G51" s="317" t="n"/>
      <c r="H51" s="271">
        <f>IF(AND(ISNUMBER(F51),ISNUMBER(G51)),F51*G51,"")</f>
        <v/>
      </c>
      <c r="I51" s="316" t="n">
        <v>0.14643386</v>
      </c>
      <c r="J51" s="317" t="n">
        <v>0.02731609</v>
      </c>
      <c r="K51" s="271">
        <f>IF(AND(ISNUMBER(I51),ISNUMBER(J51)),I51*J51,"")</f>
        <v/>
      </c>
      <c r="L51" s="339">
        <f>IF(COUNT(F51,I51)=0,"",N(F51)-N(I51))</f>
        <v/>
      </c>
      <c r="M51" s="340">
        <f>IF(COUNT(H51,K51)=0,"",N(K51)-N(H51))</f>
        <v/>
      </c>
      <c r="N51" s="339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inlineStr">
        <is>
          <t>L-0058</t>
        </is>
      </c>
      <c r="C52" s="319" t="n">
        <v>46167</v>
      </c>
      <c r="D52" s="318" t="inlineStr">
        <is>
          <t>Arbitrum</t>
        </is>
      </c>
      <c r="E52" s="320" t="inlineStr">
        <is>
          <t>BTC/USD</t>
        </is>
      </c>
      <c r="F52" s="321" t="n"/>
      <c r="G52" s="322" t="n"/>
      <c r="H52" s="271">
        <f>IF(AND(ISNUMBER(F52),ISNUMBER(G52)),F52*G52,"")</f>
        <v/>
      </c>
      <c r="I52" s="321" t="n">
        <v>0.005813</v>
      </c>
      <c r="J52" s="322" t="n">
        <v>76922.41527611</v>
      </c>
      <c r="K52" s="271">
        <f>IF(AND(ISNUMBER(I52),ISNUMBER(J52)),I52*J52,"")</f>
        <v/>
      </c>
      <c r="L52" s="341">
        <f>IF(COUNT(F52,I52)=0,"",N(F52)-N(I52))</f>
        <v/>
      </c>
      <c r="M52" s="342">
        <f>IF(COUNT(H52,K52)=0,"",N(K52)-N(H52))</f>
        <v/>
      </c>
      <c r="N52" s="341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inlineStr">
        <is>
          <t>L-0059</t>
        </is>
      </c>
      <c r="C53" s="314" t="n">
        <v>46167</v>
      </c>
      <c r="D53" s="313" t="inlineStr">
        <is>
          <t>BSChain</t>
        </is>
      </c>
      <c r="E53" s="315" t="inlineStr">
        <is>
          <t>ETH/BTC</t>
        </is>
      </c>
      <c r="F53" s="316" t="n"/>
      <c r="G53" s="317" t="n"/>
      <c r="H53" s="271">
        <f>IF(AND(ISNUMBER(F53),ISNUMBER(G53)),F53*G53,"")</f>
        <v/>
      </c>
      <c r="I53" s="316" t="n">
        <v>0.18170998</v>
      </c>
      <c r="J53" s="317" t="n">
        <v>0.02751638</v>
      </c>
      <c r="K53" s="271">
        <f>IF(AND(ISNUMBER(I53),ISNUMBER(J53)),I53*J53,"")</f>
        <v/>
      </c>
      <c r="L53" s="339">
        <f>IF(COUNT(F53,I53)=0,"",N(F53)-N(I53))</f>
        <v/>
      </c>
      <c r="M53" s="340">
        <f>IF(COUNT(H53,K53)=0,"",N(K53)-N(H53))</f>
        <v/>
      </c>
      <c r="N53" s="339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inlineStr">
        <is>
          <t>L-0060</t>
        </is>
      </c>
      <c r="C54" s="319" t="n">
        <v>46188</v>
      </c>
      <c r="D54" s="318" t="inlineStr">
        <is>
          <t>Arbitrum</t>
        </is>
      </c>
      <c r="E54" s="320" t="inlineStr">
        <is>
          <t>BTC/USD</t>
        </is>
      </c>
      <c r="F54" s="321" t="n"/>
      <c r="G54" s="322" t="n"/>
      <c r="H54" s="271">
        <f>IF(AND(ISNUMBER(F54),ISNUMBER(G54)),F54*G54,"")</f>
        <v/>
      </c>
      <c r="I54" s="321" t="n">
        <v>0.00597</v>
      </c>
      <c r="J54" s="322" t="n">
        <v>67001.67504187999</v>
      </c>
      <c r="K54" s="271">
        <f>IF(AND(ISNUMBER(I54),ISNUMBER(J54)),I54*J54,"")</f>
        <v/>
      </c>
      <c r="L54" s="341">
        <f>IF(COUNT(F54,I54)=0,"",N(F54)-N(I54))</f>
        <v/>
      </c>
      <c r="M54" s="342">
        <f>IF(COUNT(H54,K54)=0,"",N(K54)-N(H54))</f>
        <v/>
      </c>
      <c r="N54" s="341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inlineStr">
        <is>
          <t>L-0061</t>
        </is>
      </c>
      <c r="C55" s="314" t="n">
        <v>46198</v>
      </c>
      <c r="D55" s="313" t="inlineStr">
        <is>
          <t>BSChain</t>
        </is>
      </c>
      <c r="E55" s="315" t="inlineStr">
        <is>
          <t>ETH/BTC</t>
        </is>
      </c>
      <c r="F55" s="316" t="n"/>
      <c r="G55" s="317" t="n"/>
      <c r="H55" s="271">
        <f>IF(AND(ISNUMBER(F55),ISNUMBER(G55)),F55*G55,"")</f>
        <v/>
      </c>
      <c r="I55" s="316" t="n">
        <v>0.042</v>
      </c>
      <c r="J55" s="317" t="n">
        <v>0.02622619</v>
      </c>
      <c r="K55" s="271">
        <f>IF(AND(ISNUMBER(I55),ISNUMBER(J55)),I55*J55,"")</f>
        <v/>
      </c>
      <c r="L55" s="339">
        <f>IF(COUNT(F55,I55)=0,"",N(F55)-N(I55))</f>
        <v/>
      </c>
      <c r="M55" s="340">
        <f>IF(COUNT(H55,K55)=0,"",N(K55)-N(H55))</f>
        <v/>
      </c>
      <c r="N55" s="339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inlineStr">
        <is>
          <t>L-0062</t>
        </is>
      </c>
      <c r="C56" s="319" t="n">
        <v>46198</v>
      </c>
      <c r="D56" s="318" t="inlineStr">
        <is>
          <t>BSChain</t>
        </is>
      </c>
      <c r="E56" s="320" t="inlineStr">
        <is>
          <t>CAKE/ETH</t>
        </is>
      </c>
      <c r="F56" s="321" t="n"/>
      <c r="G56" s="322" t="n"/>
      <c r="H56" s="271">
        <f>IF(AND(ISNUMBER(F56),ISNUMBER(G56)),F56*G56,"")</f>
        <v/>
      </c>
      <c r="I56" s="321" t="n">
        <v>50</v>
      </c>
      <c r="J56" s="322" t="n">
        <v>0.00084</v>
      </c>
      <c r="K56" s="271">
        <f>IF(AND(ISNUMBER(I56),ISNUMBER(J56)),I56*J56,"")</f>
        <v/>
      </c>
      <c r="L56" s="341">
        <f>IF(COUNT(F56,I56)=0,"",N(F56)-N(I56))</f>
        <v/>
      </c>
      <c r="M56" s="342">
        <f>IF(COUNT(H56,K56)=0,"",N(K56)-N(H56))</f>
        <v/>
      </c>
      <c r="N56" s="341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inlineStr">
        <is>
          <t>L-0063</t>
        </is>
      </c>
      <c r="C57" s="314" t="n">
        <v>46200</v>
      </c>
      <c r="D57" s="313" t="inlineStr">
        <is>
          <t>Arbitrum</t>
        </is>
      </c>
      <c r="E57" s="315" t="inlineStr">
        <is>
          <t>BTC/USD</t>
        </is>
      </c>
      <c r="F57" s="316" t="n"/>
      <c r="G57" s="317" t="n"/>
      <c r="H57" s="271">
        <f>IF(AND(ISNUMBER(F57),ISNUMBER(G57)),F57*G57,"")</f>
        <v/>
      </c>
      <c r="I57" s="316" t="n">
        <v>0.015</v>
      </c>
      <c r="J57" s="317" t="n">
        <v>60400</v>
      </c>
      <c r="K57" s="271">
        <f>IF(AND(ISNUMBER(I57),ISNUMBER(J57)),I57*J57,"")</f>
        <v/>
      </c>
      <c r="L57" s="339">
        <f>IF(COUNT(F57,I57)=0,"",N(F57)-N(I57))</f>
        <v/>
      </c>
      <c r="M57" s="340">
        <f>IF(COUNT(H57,K57)=0,"",N(K57)-N(H57))</f>
        <v/>
      </c>
      <c r="N57" s="339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inlineStr">
        <is>
          <t>L-0064</t>
        </is>
      </c>
      <c r="C58" s="319" t="n">
        <v>46201</v>
      </c>
      <c r="D58" s="318" t="inlineStr">
        <is>
          <t>Arbitrum</t>
        </is>
      </c>
      <c r="E58" s="320" t="inlineStr">
        <is>
          <t>BTC/USD</t>
        </is>
      </c>
      <c r="F58" s="321" t="n"/>
      <c r="G58" s="322" t="n"/>
      <c r="H58" s="271">
        <f>IF(AND(ISNUMBER(F58),ISNUMBER(G58)),F58*G58,"")</f>
        <v/>
      </c>
      <c r="I58" s="321" t="n">
        <v>0.004</v>
      </c>
      <c r="J58" s="322" t="n">
        <v>61250</v>
      </c>
      <c r="K58" s="271">
        <f>IF(AND(ISNUMBER(I58),ISNUMBER(J58)),I58*J58,"")</f>
        <v/>
      </c>
      <c r="L58" s="341">
        <f>IF(COUNT(F58,I58)=0,"",N(F58)-N(I58))</f>
        <v/>
      </c>
      <c r="M58" s="342">
        <f>IF(COUNT(H58,K58)=0,"",N(K58)-N(H58))</f>
        <v/>
      </c>
      <c r="N58" s="341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inlineStr">
        <is>
          <t>L-0065</t>
        </is>
      </c>
      <c r="C59" s="314" t="n">
        <v>46202</v>
      </c>
      <c r="D59" s="313" t="inlineStr">
        <is>
          <t>Arbitrum</t>
        </is>
      </c>
      <c r="E59" s="315" t="inlineStr">
        <is>
          <t>BTC/USD</t>
        </is>
      </c>
      <c r="F59" s="316" t="n"/>
      <c r="G59" s="317" t="n"/>
      <c r="H59" s="271">
        <f>IF(AND(ISNUMBER(F59),ISNUMBER(G59)),F59*G59,"")</f>
        <v/>
      </c>
      <c r="I59" s="316" t="n">
        <v>0.004</v>
      </c>
      <c r="J59" s="317" t="n">
        <v>59542.5</v>
      </c>
      <c r="K59" s="271">
        <f>IF(AND(ISNUMBER(I59),ISNUMBER(J59)),I59*J59,"")</f>
        <v/>
      </c>
      <c r="L59" s="339">
        <f>IF(COUNT(F59,I59)=0,"",N(F59)-N(I59))</f>
        <v/>
      </c>
      <c r="M59" s="340">
        <f>IF(COUNT(H59,K59)=0,"",N(K59)-N(H59))</f>
        <v/>
      </c>
      <c r="N59" s="339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inlineStr">
        <is>
          <t>L-0066</t>
        </is>
      </c>
      <c r="C60" s="319" t="n">
        <v>46244</v>
      </c>
      <c r="D60" s="318" t="inlineStr">
        <is>
          <t>BNB</t>
        </is>
      </c>
      <c r="E60" s="320" t="inlineStr">
        <is>
          <t>BTC/USD</t>
        </is>
      </c>
      <c r="F60" s="321" t="n"/>
      <c r="G60" s="322" t="n"/>
      <c r="H60" s="271">
        <f>IF(AND(ISNUMBER(F60),ISNUMBER(G60)),F60*G60,"")</f>
        <v/>
      </c>
      <c r="I60" s="321" t="n">
        <v>0.00413</v>
      </c>
      <c r="J60" s="322" t="n">
        <v>64070.21791768</v>
      </c>
      <c r="K60" s="271">
        <f>IF(AND(ISNUMBER(I60),ISNUMBER(J60)),I60*J60,"")</f>
        <v/>
      </c>
      <c r="L60" s="341">
        <f>IF(COUNT(F60,I60)=0,"",N(F60)-N(I60))</f>
        <v/>
      </c>
      <c r="M60" s="342">
        <f>IF(COUNT(H60,K60)=0,"",N(K60)-N(H60))</f>
        <v/>
      </c>
      <c r="N60" s="341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inlineStr">
        <is>
          <t>L-0067</t>
        </is>
      </c>
      <c r="C61" s="314" t="n">
        <v>46245</v>
      </c>
      <c r="D61" s="313" t="inlineStr">
        <is>
          <t>BSChain</t>
        </is>
      </c>
      <c r="E61" s="315" t="inlineStr">
        <is>
          <t>CAKE/BTC</t>
        </is>
      </c>
      <c r="F61" s="316" t="n"/>
      <c r="G61" s="317" t="n"/>
      <c r="H61" s="271">
        <f>IF(AND(ISNUMBER(F61),ISNUMBER(G61)),F61*G61,"")</f>
        <v/>
      </c>
      <c r="I61" s="316" t="n">
        <v>50</v>
      </c>
      <c r="J61" s="317" t="n">
        <v>2.6e-05</v>
      </c>
      <c r="K61" s="271">
        <f>IF(AND(ISNUMBER(I61),ISNUMBER(J61)),I61*J61,"")</f>
        <v/>
      </c>
      <c r="L61" s="339">
        <f>IF(COUNT(F61,I61)=0,"",N(F61)-N(I61))</f>
        <v/>
      </c>
      <c r="M61" s="340">
        <f>IF(COUNT(H61,K61)=0,"",N(K61)-N(H61))</f>
        <v/>
      </c>
      <c r="N61" s="339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inlineStr">
        <is>
          <t>L-0068</t>
        </is>
      </c>
      <c r="C62" s="319" t="n">
        <v>46246</v>
      </c>
      <c r="D62" s="318" t="inlineStr">
        <is>
          <t>BSChain</t>
        </is>
      </c>
      <c r="E62" s="320" t="inlineStr">
        <is>
          <t>CAKE/BTC</t>
        </is>
      </c>
      <c r="F62" s="321" t="n"/>
      <c r="G62" s="322" t="n"/>
      <c r="H62" s="271">
        <f>IF(AND(ISNUMBER(F62),ISNUMBER(G62)),F62*G62,"")</f>
        <v/>
      </c>
      <c r="I62" s="321" t="n">
        <v>50</v>
      </c>
      <c r="J62" s="322" t="n">
        <v>2.6e-05</v>
      </c>
      <c r="K62" s="271">
        <f>IF(AND(ISNUMBER(I62),ISNUMBER(J62)),I62*J62,"")</f>
        <v/>
      </c>
      <c r="L62" s="341">
        <f>IF(COUNT(F62,I62)=0,"",N(F62)-N(I62))</f>
        <v/>
      </c>
      <c r="M62" s="342">
        <f>IF(COUNT(H62,K62)=0,"",N(K62)-N(H62))</f>
        <v/>
      </c>
      <c r="N62" s="341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inlineStr">
        <is>
          <t>L-0069</t>
        </is>
      </c>
      <c r="C63" s="314" t="n">
        <v>46247</v>
      </c>
      <c r="D63" s="313" t="inlineStr">
        <is>
          <t>BNB</t>
        </is>
      </c>
      <c r="E63" s="315" t="inlineStr">
        <is>
          <t>BTC/USD</t>
        </is>
      </c>
      <c r="F63" s="316" t="n"/>
      <c r="G63" s="317" t="n"/>
      <c r="H63" s="271">
        <f>IF(AND(ISNUMBER(F63),ISNUMBER(G63)),F63*G63,"")</f>
        <v/>
      </c>
      <c r="I63" s="316" t="n">
        <v>0.006</v>
      </c>
      <c r="J63" s="317" t="n">
        <v>65583.33333333</v>
      </c>
      <c r="K63" s="271">
        <f>IF(AND(ISNUMBER(I63),ISNUMBER(J63)),I63*J63,"")</f>
        <v/>
      </c>
      <c r="L63" s="339">
        <f>IF(COUNT(F63,I63)=0,"",N(F63)-N(I63))</f>
        <v/>
      </c>
      <c r="M63" s="340">
        <f>IF(COUNT(H63,K63)=0,"",N(K63)-N(H63))</f>
        <v/>
      </c>
      <c r="N63" s="339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inlineStr">
        <is>
          <t>L-0070</t>
        </is>
      </c>
      <c r="C64" s="319" t="n">
        <v>46248</v>
      </c>
      <c r="D64" s="318" t="inlineStr">
        <is>
          <t>BNB</t>
        </is>
      </c>
      <c r="E64" s="320" t="inlineStr">
        <is>
          <t>BTC/USD</t>
        </is>
      </c>
      <c r="F64" s="321" t="n"/>
      <c r="G64" s="322" t="n"/>
      <c r="H64" s="271">
        <f>IF(AND(ISNUMBER(F64),ISNUMBER(G64)),F64*G64,"")</f>
        <v/>
      </c>
      <c r="I64" s="321" t="n">
        <v>0.006</v>
      </c>
      <c r="J64" s="322" t="n">
        <v>65750</v>
      </c>
      <c r="K64" s="271">
        <f>IF(AND(ISNUMBER(I64),ISNUMBER(J64)),I64*J64,"")</f>
        <v/>
      </c>
      <c r="L64" s="341">
        <f>IF(COUNT(F64,I64)=0,"",N(F64)-N(I64))</f>
        <v/>
      </c>
      <c r="M64" s="342">
        <f>IF(COUNT(H64,K64)=0,"",N(K64)-N(H64))</f>
        <v/>
      </c>
      <c r="N64" s="341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inlineStr">
        <is>
          <t>L-0071</t>
        </is>
      </c>
      <c r="C65" s="314" t="n">
        <v>46254</v>
      </c>
      <c r="D65" s="313" t="inlineStr">
        <is>
          <t>BSChain</t>
        </is>
      </c>
      <c r="E65" s="315" t="inlineStr">
        <is>
          <t>BNB/ETH</t>
        </is>
      </c>
      <c r="F65" s="316" t="n">
        <v>0.4</v>
      </c>
      <c r="G65" s="317" t="n">
        <v>0.27903515</v>
      </c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339">
        <f>IF(COUNT(F65,I65)=0,"",N(F65)-N(I65))</f>
        <v/>
      </c>
      <c r="M65" s="340">
        <f>IF(COUNT(H65,K65)=0,"",N(K65)-N(H65))</f>
        <v/>
      </c>
      <c r="N65" s="339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inlineStr">
        <is>
          <t>L-0072</t>
        </is>
      </c>
      <c r="C66" s="319" t="n">
        <v>46256</v>
      </c>
      <c r="D66" s="318" t="inlineStr">
        <is>
          <t>BNB</t>
        </is>
      </c>
      <c r="E66" s="320" t="inlineStr">
        <is>
          <t>BTC/USD</t>
        </is>
      </c>
      <c r="F66" s="321" t="n"/>
      <c r="G66" s="322" t="n"/>
      <c r="H66" s="271">
        <f>IF(AND(ISNUMBER(F66),ISNUMBER(G66)),F66*G66,"")</f>
        <v/>
      </c>
      <c r="I66" s="321" t="n">
        <v>0.00259151</v>
      </c>
      <c r="J66" s="322" t="n">
        <v>77175.08325262</v>
      </c>
      <c r="K66" s="271">
        <f>IF(AND(ISNUMBER(I66),ISNUMBER(J66)),I66*J66,"")</f>
        <v/>
      </c>
      <c r="L66" s="341">
        <f>IF(COUNT(F66,I66)=0,"",N(F66)-N(I66))</f>
        <v/>
      </c>
      <c r="M66" s="342">
        <f>IF(COUNT(H66,K66)=0,"",N(K66)-N(H66))</f>
        <v/>
      </c>
      <c r="N66" s="341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inlineStr">
        <is>
          <t>L-0073</t>
        </is>
      </c>
      <c r="C67" s="314" t="n">
        <v>46256</v>
      </c>
      <c r="D67" s="313" t="inlineStr">
        <is>
          <t>BSChain</t>
        </is>
      </c>
      <c r="E67" s="315" t="inlineStr">
        <is>
          <t>ETH/BTC</t>
        </is>
      </c>
      <c r="F67" s="316" t="n"/>
      <c r="G67" s="317" t="n"/>
      <c r="H67" s="271">
        <f>IF(AND(ISNUMBER(F67),ISNUMBER(G67)),F67*G67,"")</f>
        <v/>
      </c>
      <c r="I67" s="316" t="n">
        <v>0.12116573</v>
      </c>
      <c r="J67" s="317" t="n">
        <v>0.03137141</v>
      </c>
      <c r="K67" s="271">
        <f>IF(AND(ISNUMBER(I67),ISNUMBER(J67)),I67*J67,"")</f>
        <v/>
      </c>
      <c r="L67" s="339">
        <f>IF(COUNT(F67,I67)=0,"",N(F67)-N(I67))</f>
        <v/>
      </c>
      <c r="M67" s="340">
        <f>IF(COUNT(H67,K67)=0,"",N(K67)-N(H67))</f>
        <v/>
      </c>
      <c r="N67" s="339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inlineStr">
        <is>
          <t>L-0074</t>
        </is>
      </c>
      <c r="C68" s="319" t="n">
        <v>46257</v>
      </c>
      <c r="D68" s="318" t="inlineStr">
        <is>
          <t>BNB</t>
        </is>
      </c>
      <c r="E68" s="320" t="inlineStr">
        <is>
          <t>BTC/USD</t>
        </is>
      </c>
      <c r="F68" s="321" t="n"/>
      <c r="G68" s="322" t="n"/>
      <c r="H68" s="271">
        <f>IF(AND(ISNUMBER(F68),ISNUMBER(G68)),F68*G68,"")</f>
        <v/>
      </c>
      <c r="I68" s="321" t="n">
        <v>0.00259891</v>
      </c>
      <c r="J68" s="322" t="n">
        <v>76955.33896903</v>
      </c>
      <c r="K68" s="271">
        <f>IF(AND(ISNUMBER(I68),ISNUMBER(J68)),I68*J68,"")</f>
        <v/>
      </c>
      <c r="L68" s="341">
        <f>IF(COUNT(F68,I68)=0,"",N(F68)-N(I68))</f>
        <v/>
      </c>
      <c r="M68" s="342">
        <f>IF(COUNT(H68,K68)=0,"",N(K68)-N(H68))</f>
        <v/>
      </c>
      <c r="N68" s="341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inlineStr">
        <is>
          <t>L-0075</t>
        </is>
      </c>
      <c r="C69" s="314" t="n">
        <v>46264</v>
      </c>
      <c r="D69" s="313" t="inlineStr">
        <is>
          <t>BNB</t>
        </is>
      </c>
      <c r="E69" s="315" t="inlineStr">
        <is>
          <t>BTC/USD</t>
        </is>
      </c>
      <c r="F69" s="316" t="n"/>
      <c r="G69" s="317" t="n"/>
      <c r="H69" s="271">
        <f>IF(AND(ISNUMBER(F69),ISNUMBER(G69)),F69*G69,"")</f>
        <v/>
      </c>
      <c r="I69" s="316" t="n">
        <v>0.004038</v>
      </c>
      <c r="J69" s="317" t="n">
        <v>78008.91530461</v>
      </c>
      <c r="K69" s="271">
        <f>IF(AND(ISNUMBER(I69),ISNUMBER(J69)),I69*J69,"")</f>
        <v/>
      </c>
      <c r="L69" s="339">
        <f>IF(COUNT(F69,I69)=0,"",N(F69)-N(I69))</f>
        <v/>
      </c>
      <c r="M69" s="340">
        <f>IF(COUNT(H69,K69)=0,"",N(K69)-N(H69))</f>
        <v/>
      </c>
      <c r="N69" s="339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inlineStr">
        <is>
          <t>L-0076</t>
        </is>
      </c>
      <c r="C70" s="319" t="n">
        <v>46264</v>
      </c>
      <c r="D70" s="318" t="inlineStr">
        <is>
          <t>BSChain</t>
        </is>
      </c>
      <c r="E70" s="320" t="inlineStr">
        <is>
          <t>ETH/BTC</t>
        </is>
      </c>
      <c r="F70" s="321" t="n"/>
      <c r="G70" s="322" t="n"/>
      <c r="H70" s="271">
        <f>IF(AND(ISNUMBER(F70),ISNUMBER(G70)),F70*G70,"")</f>
        <v/>
      </c>
      <c r="I70" s="321" t="n">
        <v>0.09566547</v>
      </c>
      <c r="J70" s="322" t="n">
        <v>0.03136869</v>
      </c>
      <c r="K70" s="271">
        <f>IF(AND(ISNUMBER(I70),ISNUMBER(J70)),I70*J70,"")</f>
        <v/>
      </c>
      <c r="L70" s="341">
        <f>IF(COUNT(F70,I70)=0,"",N(F70)-N(I70))</f>
        <v/>
      </c>
      <c r="M70" s="342">
        <f>IF(COUNT(H70,K70)=0,"",N(K70)-N(H70))</f>
        <v/>
      </c>
      <c r="N70" s="341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inlineStr">
        <is>
          <t>L-0077</t>
        </is>
      </c>
      <c r="C71" s="314" t="n">
        <v>46264</v>
      </c>
      <c r="D71" s="313" t="inlineStr">
        <is>
          <t>BSChain</t>
        </is>
      </c>
      <c r="E71" s="315" t="inlineStr">
        <is>
          <t>ETH/BTC</t>
        </is>
      </c>
      <c r="F71" s="316" t="n"/>
      <c r="G71" s="317" t="n"/>
      <c r="H71" s="271">
        <f>IF(AND(ISNUMBER(F71),ISNUMBER(G71)),F71*G71,"")</f>
        <v/>
      </c>
      <c r="I71" s="316" t="n">
        <v>0.09566536</v>
      </c>
      <c r="J71" s="317" t="n">
        <v>0.03136872</v>
      </c>
      <c r="K71" s="271">
        <f>IF(AND(ISNUMBER(I71),ISNUMBER(J71)),I71*J71,"")</f>
        <v/>
      </c>
      <c r="L71" s="339">
        <f>IF(COUNT(F71,I71)=0,"",N(F71)-N(I71))</f>
        <v/>
      </c>
      <c r="M71" s="340">
        <f>IF(COUNT(H71,K71)=0,"",N(K71)-N(H71))</f>
        <v/>
      </c>
      <c r="N71" s="339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inlineStr">
        <is>
          <t>L-0078</t>
        </is>
      </c>
      <c r="C72" s="319" t="n">
        <v>46265</v>
      </c>
      <c r="D72" s="318" t="inlineStr">
        <is>
          <t>BNB</t>
        </is>
      </c>
      <c r="E72" s="320" t="inlineStr">
        <is>
          <t>BTC/USD</t>
        </is>
      </c>
      <c r="F72" s="321" t="n"/>
      <c r="G72" s="322" t="n"/>
      <c r="H72" s="271">
        <f>IF(AND(ISNUMBER(F72),ISNUMBER(G72)),F72*G72,"")</f>
        <v/>
      </c>
      <c r="I72" s="321" t="n">
        <v>0.00192663</v>
      </c>
      <c r="J72" s="322" t="n">
        <v>77856.15297177</v>
      </c>
      <c r="K72" s="271">
        <f>IF(AND(ISNUMBER(I72),ISNUMBER(J72)),I72*J72,"")</f>
        <v/>
      </c>
      <c r="L72" s="341">
        <f>IF(COUNT(F72,I72)=0,"",N(F72)-N(I72))</f>
        <v/>
      </c>
      <c r="M72" s="342">
        <f>IF(COUNT(H72,K72)=0,"",N(K72)-N(H72))</f>
        <v/>
      </c>
      <c r="N72" s="341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inlineStr">
        <is>
          <t>L-0079</t>
        </is>
      </c>
      <c r="C73" s="314" t="n">
        <v>46265</v>
      </c>
      <c r="D73" s="313" t="inlineStr">
        <is>
          <t>BSChain</t>
        </is>
      </c>
      <c r="E73" s="315" t="inlineStr">
        <is>
          <t>BNB/BTC</t>
        </is>
      </c>
      <c r="F73" s="316" t="n">
        <v>0.4</v>
      </c>
      <c r="G73" s="317" t="n">
        <v>0.008784800000000001</v>
      </c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339">
        <f>IF(COUNT(F73,I73)=0,"",N(F73)-N(I73))</f>
        <v/>
      </c>
      <c r="M73" s="340">
        <f>IF(COUNT(H73,K73)=0,"",N(K73)-N(H73))</f>
        <v/>
      </c>
      <c r="N73" s="339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inlineStr">
        <is>
          <t>L-0080</t>
        </is>
      </c>
      <c r="C74" s="319" t="n">
        <v>46270</v>
      </c>
      <c r="D74" s="318" t="inlineStr">
        <is>
          <t>BSChain</t>
        </is>
      </c>
      <c r="E74" s="320" t="inlineStr">
        <is>
          <t>CAKE/BNB</t>
        </is>
      </c>
      <c r="F74" s="321" t="n"/>
      <c r="G74" s="322" t="n"/>
      <c r="H74" s="271">
        <f>IF(AND(ISNUMBER(F74),ISNUMBER(G74)),F74*G74,"")</f>
        <v/>
      </c>
      <c r="I74" s="321" t="n">
        <v>66</v>
      </c>
      <c r="J74" s="322" t="n">
        <v>0.00272727</v>
      </c>
      <c r="K74" s="271">
        <f>IF(AND(ISNUMBER(I74),ISNUMBER(J74)),I74*J74,"")</f>
        <v/>
      </c>
      <c r="L74" s="341">
        <f>IF(COUNT(F74,I74)=0,"",N(F74)-N(I74))</f>
        <v/>
      </c>
      <c r="M74" s="342">
        <f>IF(COUNT(H74,K74)=0,"",N(K74)-N(H74))</f>
        <v/>
      </c>
      <c r="N74" s="341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inlineStr">
        <is>
          <t>L-0081</t>
        </is>
      </c>
      <c r="C75" s="314" t="n">
        <v>46271</v>
      </c>
      <c r="D75" s="313" t="inlineStr">
        <is>
          <t>BSChain</t>
        </is>
      </c>
      <c r="E75" s="315" t="inlineStr">
        <is>
          <t>CAKE/ETH</t>
        </is>
      </c>
      <c r="F75" s="316" t="n"/>
      <c r="G75" s="317" t="n"/>
      <c r="H75" s="271">
        <f>IF(AND(ISNUMBER(F75),ISNUMBER(G75)),F75*G75,"")</f>
        <v/>
      </c>
      <c r="I75" s="316" t="n">
        <v>43.63636364</v>
      </c>
      <c r="J75" s="317" t="n">
        <v>0.00091667</v>
      </c>
      <c r="K75" s="271">
        <f>IF(AND(ISNUMBER(I75),ISNUMBER(J75)),I75*J75,"")</f>
        <v/>
      </c>
      <c r="L75" s="339">
        <f>IF(COUNT(F75,I75)=0,"",N(F75)-N(I75))</f>
        <v/>
      </c>
      <c r="M75" s="340">
        <f>IF(COUNT(H75,K75)=0,"",N(K75)-N(H75))</f>
        <v/>
      </c>
      <c r="N75" s="339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inlineStr">
        <is>
          <t>L-0082</t>
        </is>
      </c>
      <c r="C76" s="319" t="n">
        <v>46299</v>
      </c>
      <c r="D76" s="318" t="inlineStr">
        <is>
          <t>BSChain</t>
        </is>
      </c>
      <c r="E76" s="320" t="inlineStr">
        <is>
          <t>CAKE/BNB</t>
        </is>
      </c>
      <c r="F76" s="321" t="n">
        <v>37.69</v>
      </c>
      <c r="G76" s="322" t="n">
        <v>0.00321</v>
      </c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341">
        <f>IF(COUNT(F76,I76)=0,"",N(F76)-N(I76))</f>
        <v/>
      </c>
      <c r="M76" s="342">
        <f>IF(COUNT(H76,K76)=0,"",N(K76)-N(H76))</f>
        <v/>
      </c>
      <c r="N76" s="341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339">
        <f>IF(COUNT(F77,I77)=0,"",N(F77)-N(I77))</f>
        <v/>
      </c>
      <c r="M77" s="340">
        <f>IF(COUNT(H77,K77)=0,"",N(K77)-N(H77))</f>
        <v/>
      </c>
      <c r="N77" s="339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341">
        <f>IF(COUNT(F78,I78)=0,"",N(F78)-N(I78))</f>
        <v/>
      </c>
      <c r="M78" s="342">
        <f>IF(COUNT(H78,K78)=0,"",N(K78)-N(H78))</f>
        <v/>
      </c>
      <c r="N78" s="341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339">
        <f>IF(COUNT(F79,I79)=0,"",N(F79)-N(I79))</f>
        <v/>
      </c>
      <c r="M79" s="340">
        <f>IF(COUNT(H79,K79)=0,"",N(K79)-N(H79))</f>
        <v/>
      </c>
      <c r="N79" s="339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341">
        <f>IF(COUNT(F80,I80)=0,"",N(F80)-N(I80))</f>
        <v/>
      </c>
      <c r="M80" s="342">
        <f>IF(COUNT(H80,K80)=0,"",N(K80)-N(H80))</f>
        <v/>
      </c>
      <c r="N80" s="341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339">
        <f>IF(COUNT(F81,I81)=0,"",N(F81)-N(I81))</f>
        <v/>
      </c>
      <c r="M81" s="340">
        <f>IF(COUNT(H81,K81)=0,"",N(K81)-N(H81))</f>
        <v/>
      </c>
      <c r="N81" s="339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341">
        <f>IF(COUNT(F82,I82)=0,"",N(F82)-N(I82))</f>
        <v/>
      </c>
      <c r="M82" s="342">
        <f>IF(COUNT(H82,K82)=0,"",N(K82)-N(H82))</f>
        <v/>
      </c>
      <c r="N82" s="341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339">
        <f>IF(COUNT(F83,I83)=0,"",N(F83)-N(I83))</f>
        <v/>
      </c>
      <c r="M83" s="340">
        <f>IF(COUNT(H83,K83)=0,"",N(K83)-N(H83))</f>
        <v/>
      </c>
      <c r="N83" s="339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341">
        <f>IF(COUNT(F84,I84)=0,"",N(F84)-N(I84))</f>
        <v/>
      </c>
      <c r="M84" s="342">
        <f>IF(COUNT(H84,K84)=0,"",N(K84)-N(H84))</f>
        <v/>
      </c>
      <c r="N84" s="341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339">
        <f>IF(COUNT(F85,I85)=0,"",N(F85)-N(I85))</f>
        <v/>
      </c>
      <c r="M85" s="340">
        <f>IF(COUNT(H85,K85)=0,"",N(K85)-N(H85))</f>
        <v/>
      </c>
      <c r="N85" s="339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341">
        <f>IF(COUNT(F86,I86)=0,"",N(F86)-N(I86))</f>
        <v/>
      </c>
      <c r="M86" s="342">
        <f>IF(COUNT(H86,K86)=0,"",N(K86)-N(H86))</f>
        <v/>
      </c>
      <c r="N86" s="341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339">
        <f>IF(COUNT(F87,I87)=0,"",N(F87)-N(I87))</f>
        <v/>
      </c>
      <c r="M87" s="340">
        <f>IF(COUNT(H87,K87)=0,"",N(K87)-N(H87))</f>
        <v/>
      </c>
      <c r="N87" s="339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341">
        <f>IF(COUNT(F88,I88)=0,"",N(F88)-N(I88))</f>
        <v/>
      </c>
      <c r="M88" s="342">
        <f>IF(COUNT(H88,K88)=0,"",N(K88)-N(H88))</f>
        <v/>
      </c>
      <c r="N88" s="341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339">
        <f>IF(COUNT(F89,I89)=0,"",N(F89)-N(I89))</f>
        <v/>
      </c>
      <c r="M89" s="340">
        <f>IF(COUNT(H89,K89)=0,"",N(K89)-N(H89))</f>
        <v/>
      </c>
      <c r="N89" s="339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341">
        <f>IF(COUNT(F90,I90)=0,"",N(F90)-N(I90))</f>
        <v/>
      </c>
      <c r="M90" s="342">
        <f>IF(COUNT(H90,K90)=0,"",N(K90)-N(H90))</f>
        <v/>
      </c>
      <c r="N90" s="341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339">
        <f>IF(COUNT(F91,I91)=0,"",N(F91)-N(I91))</f>
        <v/>
      </c>
      <c r="M91" s="340">
        <f>IF(COUNT(H91,K91)=0,"",N(K91)-N(H91))</f>
        <v/>
      </c>
      <c r="N91" s="339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341">
        <f>IF(COUNT(F92,I92)=0,"",N(F92)-N(I92))</f>
        <v/>
      </c>
      <c r="M92" s="342">
        <f>IF(COUNT(H92,K92)=0,"",N(K92)-N(H92))</f>
        <v/>
      </c>
      <c r="N92" s="341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339">
        <f>IF(COUNT(F93,I93)=0,"",N(F93)-N(I93))</f>
        <v/>
      </c>
      <c r="M93" s="340">
        <f>IF(COUNT(H93,K93)=0,"",N(K93)-N(H93))</f>
        <v/>
      </c>
      <c r="N93" s="339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341">
        <f>IF(COUNT(F94,I94)=0,"",N(F94)-N(I94))</f>
        <v/>
      </c>
      <c r="M94" s="342">
        <f>IF(COUNT(H94,K94)=0,"",N(K94)-N(H94))</f>
        <v/>
      </c>
      <c r="N94" s="341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339">
        <f>IF(COUNT(F95,I95)=0,"",N(F95)-N(I95))</f>
        <v/>
      </c>
      <c r="M95" s="340">
        <f>IF(COUNT(H95,K95)=0,"",N(K95)-N(H95))</f>
        <v/>
      </c>
      <c r="N95" s="339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341">
        <f>IF(COUNT(F96,I96)=0,"",N(F96)-N(I96))</f>
        <v/>
      </c>
      <c r="M96" s="342">
        <f>IF(COUNT(H96,K96)=0,"",N(K96)-N(H96))</f>
        <v/>
      </c>
      <c r="N96" s="341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339">
        <f>IF(COUNT(F97,I97)=0,"",N(F97)-N(I97))</f>
        <v/>
      </c>
      <c r="M97" s="340">
        <f>IF(COUNT(H97,K97)=0,"",N(K97)-N(H97))</f>
        <v/>
      </c>
      <c r="N97" s="339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341">
        <f>IF(COUNT(F98,I98)=0,"",N(F98)-N(I98))</f>
        <v/>
      </c>
      <c r="M98" s="342">
        <f>IF(COUNT(H98,K98)=0,"",N(K98)-N(H98))</f>
        <v/>
      </c>
      <c r="N98" s="341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339">
        <f>IF(COUNT(F99,I99)=0,"",N(F99)-N(I99))</f>
        <v/>
      </c>
      <c r="M99" s="340">
        <f>IF(COUNT(H99,K99)=0,"",N(K99)-N(H99))</f>
        <v/>
      </c>
      <c r="N99" s="339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341">
        <f>IF(COUNT(F100,I100)=0,"",N(F100)-N(I100))</f>
        <v/>
      </c>
      <c r="M100" s="342">
        <f>IF(COUNT(H100,K100)=0,"",N(K100)-N(H100))</f>
        <v/>
      </c>
      <c r="N100" s="341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339">
        <f>IF(COUNT(F101,I101)=0,"",N(F101)-N(I101))</f>
        <v/>
      </c>
      <c r="M101" s="340">
        <f>IF(COUNT(H101,K101)=0,"",N(K101)-N(H101))</f>
        <v/>
      </c>
      <c r="N101" s="339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341">
        <f>IF(COUNT(F102,I102)=0,"",N(F102)-N(I102))</f>
        <v/>
      </c>
      <c r="M102" s="342">
        <f>IF(COUNT(H102,K102)=0,"",N(K102)-N(H102))</f>
        <v/>
      </c>
      <c r="N102" s="341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339">
        <f>IF(COUNT(F103,I103)=0,"",N(F103)-N(I103))</f>
        <v/>
      </c>
      <c r="M103" s="340">
        <f>IF(COUNT(H103,K103)=0,"",N(K103)-N(H103))</f>
        <v/>
      </c>
      <c r="N103" s="339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341">
        <f>IF(COUNT(F104,I104)=0,"",N(F104)-N(I104))</f>
        <v/>
      </c>
      <c r="M104" s="342">
        <f>IF(COUNT(H104,K104)=0,"",N(K104)-N(H104))</f>
        <v/>
      </c>
      <c r="N104" s="341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339">
        <f>IF(COUNT(F105,I105)=0,"",N(F105)-N(I105))</f>
        <v/>
      </c>
      <c r="M105" s="340">
        <f>IF(COUNT(H105,K105)=0,"",N(K105)-N(H105))</f>
        <v/>
      </c>
      <c r="N105" s="339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341">
        <f>IF(COUNT(F106,I106)=0,"",N(F106)-N(I106))</f>
        <v/>
      </c>
      <c r="M106" s="342">
        <f>IF(COUNT(H106,K106)=0,"",N(K106)-N(H106))</f>
        <v/>
      </c>
      <c r="N106" s="341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339">
        <f>IF(COUNT(F107,I107)=0,"",N(F107)-N(I107))</f>
        <v/>
      </c>
      <c r="M107" s="340">
        <f>IF(COUNT(H107,K107)=0,"",N(K107)-N(H107))</f>
        <v/>
      </c>
      <c r="N107" s="339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341">
        <f>IF(COUNT(F108,I108)=0,"",N(F108)-N(I108))</f>
        <v/>
      </c>
      <c r="M108" s="342">
        <f>IF(COUNT(H108,K108)=0,"",N(K108)-N(H108))</f>
        <v/>
      </c>
      <c r="N108" s="341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339">
        <f>IF(COUNT(F109,I109)=0,"",N(F109)-N(I109))</f>
        <v/>
      </c>
      <c r="M109" s="340">
        <f>IF(COUNT(H109,K109)=0,"",N(K109)-N(H109))</f>
        <v/>
      </c>
      <c r="N109" s="339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341">
        <f>IF(COUNT(F110,I110)=0,"",N(F110)-N(I110))</f>
        <v/>
      </c>
      <c r="M110" s="342">
        <f>IF(COUNT(H110,K110)=0,"",N(K110)-N(H110))</f>
        <v/>
      </c>
      <c r="N110" s="341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339">
        <f>IF(COUNT(F111,I111)=0,"",N(F111)-N(I111))</f>
        <v/>
      </c>
      <c r="M111" s="340">
        <f>IF(COUNT(H111,K111)=0,"",N(K111)-N(H111))</f>
        <v/>
      </c>
      <c r="N111" s="339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341">
        <f>IF(COUNT(F112,I112)=0,"",N(F112)-N(I112))</f>
        <v/>
      </c>
      <c r="M112" s="342">
        <f>IF(COUNT(H112,K112)=0,"",N(K112)-N(H112))</f>
        <v/>
      </c>
      <c r="N112" s="341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339">
        <f>IF(COUNT(F113,I113)=0,"",N(F113)-N(I113))</f>
        <v/>
      </c>
      <c r="M113" s="340">
        <f>IF(COUNT(H113,K113)=0,"",N(K113)-N(H113))</f>
        <v/>
      </c>
      <c r="N113" s="339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341">
        <f>IF(COUNT(F114,I114)=0,"",N(F114)-N(I114))</f>
        <v/>
      </c>
      <c r="M114" s="342">
        <f>IF(COUNT(H114,K114)=0,"",N(K114)-N(H114))</f>
        <v/>
      </c>
      <c r="N114" s="341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339">
        <f>IF(COUNT(F115,I115)=0,"",N(F115)-N(I115))</f>
        <v/>
      </c>
      <c r="M115" s="340">
        <f>IF(COUNT(H115,K115)=0,"",N(K115)-N(H115))</f>
        <v/>
      </c>
      <c r="N115" s="339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341">
        <f>IF(COUNT(F116,I116)=0,"",N(F116)-N(I116))</f>
        <v/>
      </c>
      <c r="M116" s="342">
        <f>IF(COUNT(H116,K116)=0,"",N(K116)-N(H116))</f>
        <v/>
      </c>
      <c r="N116" s="341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339">
        <f>IF(COUNT(F117,I117)=0,"",N(F117)-N(I117))</f>
        <v/>
      </c>
      <c r="M117" s="340">
        <f>IF(COUNT(H117,K117)=0,"",N(K117)-N(H117))</f>
        <v/>
      </c>
      <c r="N117" s="339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341">
        <f>IF(COUNT(F118,I118)=0,"",N(F118)-N(I118))</f>
        <v/>
      </c>
      <c r="M118" s="342">
        <f>IF(COUNT(H118,K118)=0,"",N(K118)-N(H118))</f>
        <v/>
      </c>
      <c r="N118" s="341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339">
        <f>IF(COUNT(F119,I119)=0,"",N(F119)-N(I119))</f>
        <v/>
      </c>
      <c r="M119" s="340">
        <f>IF(COUNT(H119,K119)=0,"",N(K119)-N(H119))</f>
        <v/>
      </c>
      <c r="N119" s="339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341">
        <f>IF(COUNT(F120,I120)=0,"",N(F120)-N(I120))</f>
        <v/>
      </c>
      <c r="M120" s="342">
        <f>IF(COUNT(H120,K120)=0,"",N(K120)-N(H120))</f>
        <v/>
      </c>
      <c r="N120" s="341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339">
        <f>IF(COUNT(F121,I121)=0,"",N(F121)-N(I121))</f>
        <v/>
      </c>
      <c r="M121" s="340">
        <f>IF(COUNT(H121,K121)=0,"",N(K121)-N(H121))</f>
        <v/>
      </c>
      <c r="N121" s="339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341">
        <f>IF(COUNT(F122,I122)=0,"",N(F122)-N(I122))</f>
        <v/>
      </c>
      <c r="M122" s="342">
        <f>IF(COUNT(H122,K122)=0,"",N(K122)-N(H122))</f>
        <v/>
      </c>
      <c r="N122" s="341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339">
        <f>IF(COUNT(F123,I123)=0,"",N(F123)-N(I123))</f>
        <v/>
      </c>
      <c r="M123" s="340">
        <f>IF(COUNT(H123,K123)=0,"",N(K123)-N(H123))</f>
        <v/>
      </c>
      <c r="N123" s="339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341">
        <f>IF(COUNT(F124,I124)=0,"",N(F124)-N(I124))</f>
        <v/>
      </c>
      <c r="M124" s="342">
        <f>IF(COUNT(H124,K124)=0,"",N(K124)-N(H124))</f>
        <v/>
      </c>
      <c r="N124" s="341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339">
        <f>IF(COUNT(F125,I125)=0,"",N(F125)-N(I125))</f>
        <v/>
      </c>
      <c r="M125" s="340">
        <f>IF(COUNT(H125,K125)=0,"",N(K125)-N(H125))</f>
        <v/>
      </c>
      <c r="N125" s="339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341">
        <f>IF(COUNT(F126,I126)=0,"",N(F126)-N(I126))</f>
        <v/>
      </c>
      <c r="M126" s="342">
        <f>IF(COUNT(H126,K126)=0,"",N(K126)-N(H126))</f>
        <v/>
      </c>
      <c r="N126" s="341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339">
        <f>IF(COUNT(F127,I127)=0,"",N(F127)-N(I127))</f>
        <v/>
      </c>
      <c r="M127" s="340">
        <f>IF(COUNT(H127,K127)=0,"",N(K127)-N(H127))</f>
        <v/>
      </c>
      <c r="N127" s="339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341">
        <f>IF(COUNT(F128,I128)=0,"",N(F128)-N(I128))</f>
        <v/>
      </c>
      <c r="M128" s="342">
        <f>IF(COUNT(H128,K128)=0,"",N(K128)-N(H128))</f>
        <v/>
      </c>
      <c r="N128" s="341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339">
        <f>IF(COUNT(F129,I129)=0,"",N(F129)-N(I129))</f>
        <v/>
      </c>
      <c r="M129" s="340">
        <f>IF(COUNT(H129,K129)=0,"",N(K129)-N(H129))</f>
        <v/>
      </c>
      <c r="N129" s="339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341">
        <f>IF(COUNT(F130,I130)=0,"",N(F130)-N(I130))</f>
        <v/>
      </c>
      <c r="M130" s="342">
        <f>IF(COUNT(H130,K130)=0,"",N(K130)-N(H130))</f>
        <v/>
      </c>
      <c r="N130" s="341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339">
        <f>IF(COUNT(F131,I131)=0,"",N(F131)-N(I131))</f>
        <v/>
      </c>
      <c r="M131" s="340">
        <f>IF(COUNT(H131,K131)=0,"",N(K131)-N(H131))</f>
        <v/>
      </c>
      <c r="N131" s="339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341">
        <f>IF(COUNT(F132,I132)=0,"",N(F132)-N(I132))</f>
        <v/>
      </c>
      <c r="M132" s="342">
        <f>IF(COUNT(H132,K132)=0,"",N(K132)-N(H132))</f>
        <v/>
      </c>
      <c r="N132" s="341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339">
        <f>IF(COUNT(F133,I133)=0,"",N(F133)-N(I133))</f>
        <v/>
      </c>
      <c r="M133" s="340">
        <f>IF(COUNT(H133,K133)=0,"",N(K133)-N(H133))</f>
        <v/>
      </c>
      <c r="N133" s="339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341">
        <f>IF(COUNT(F134,I134)=0,"",N(F134)-N(I134))</f>
        <v/>
      </c>
      <c r="M134" s="342">
        <f>IF(COUNT(H134,K134)=0,"",N(K134)-N(H134))</f>
        <v/>
      </c>
      <c r="N134" s="341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339">
        <f>IF(COUNT(F135,I135)=0,"",N(F135)-N(I135))</f>
        <v/>
      </c>
      <c r="M135" s="340">
        <f>IF(COUNT(H135,K135)=0,"",N(K135)-N(H135))</f>
        <v/>
      </c>
      <c r="N135" s="339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341">
        <f>IF(COUNT(F136,I136)=0,"",N(F136)-N(I136))</f>
        <v/>
      </c>
      <c r="M136" s="342">
        <f>IF(COUNT(H136,K136)=0,"",N(K136)-N(H136))</f>
        <v/>
      </c>
      <c r="N136" s="341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339">
        <f>IF(COUNT(F137,I137)=0,"",N(F137)-N(I137))</f>
        <v/>
      </c>
      <c r="M137" s="340">
        <f>IF(COUNT(H137,K137)=0,"",N(K137)-N(H137))</f>
        <v/>
      </c>
      <c r="N137" s="339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341">
        <f>IF(COUNT(F138,I138)=0,"",N(F138)-N(I138))</f>
        <v/>
      </c>
      <c r="M138" s="342">
        <f>IF(COUNT(H138,K138)=0,"",N(K138)-N(H138))</f>
        <v/>
      </c>
      <c r="N138" s="341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339">
        <f>IF(COUNT(F139,I139)=0,"",N(F139)-N(I139))</f>
        <v/>
      </c>
      <c r="M139" s="340">
        <f>IF(COUNT(H139,K139)=0,"",N(K139)-N(H139))</f>
        <v/>
      </c>
      <c r="N139" s="339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341">
        <f>IF(COUNT(F140,I140)=0,"",N(F140)-N(I140))</f>
        <v/>
      </c>
      <c r="M140" s="342">
        <f>IF(COUNT(H140,K140)=0,"",N(K140)-N(H140))</f>
        <v/>
      </c>
      <c r="N140" s="341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339">
        <f>IF(COUNT(F141,I141)=0,"",N(F141)-N(I141))</f>
        <v/>
      </c>
      <c r="M141" s="340">
        <f>IF(COUNT(H141,K141)=0,"",N(K141)-N(H141))</f>
        <v/>
      </c>
      <c r="N141" s="339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341">
        <f>IF(COUNT(F142,I142)=0,"",N(F142)-N(I142))</f>
        <v/>
      </c>
      <c r="M142" s="342">
        <f>IF(COUNT(H142,K142)=0,"",N(K142)-N(H142))</f>
        <v/>
      </c>
      <c r="N142" s="341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339">
        <f>IF(COUNT(F143,I143)=0,"",N(F143)-N(I143))</f>
        <v/>
      </c>
      <c r="M143" s="340">
        <f>IF(COUNT(H143,K143)=0,"",N(K143)-N(H143))</f>
        <v/>
      </c>
      <c r="N143" s="339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341">
        <f>IF(COUNT(F144,I144)=0,"",N(F144)-N(I144))</f>
        <v/>
      </c>
      <c r="M144" s="342">
        <f>IF(COUNT(H144,K144)=0,"",N(K144)-N(H144))</f>
        <v/>
      </c>
      <c r="N144" s="341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339">
        <f>IF(COUNT(F145,I145)=0,"",N(F145)-N(I145))</f>
        <v/>
      </c>
      <c r="M145" s="340">
        <f>IF(COUNT(H145,K145)=0,"",N(K145)-N(H145))</f>
        <v/>
      </c>
      <c r="N145" s="339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341">
        <f>IF(COUNT(F146,I146)=0,"",N(F146)-N(I146))</f>
        <v/>
      </c>
      <c r="M146" s="342">
        <f>IF(COUNT(H146,K146)=0,"",N(K146)-N(H146))</f>
        <v/>
      </c>
      <c r="N146" s="341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339">
        <f>IF(COUNT(F147,I147)=0,"",N(F147)-N(I147))</f>
        <v/>
      </c>
      <c r="M147" s="340">
        <f>IF(COUNT(H147,K147)=0,"",N(K147)-N(H147))</f>
        <v/>
      </c>
      <c r="N147" s="339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341">
        <f>IF(COUNT(F148,I148)=0,"",N(F148)-N(I148))</f>
        <v/>
      </c>
      <c r="M148" s="342">
        <f>IF(COUNT(H148,K148)=0,"",N(K148)-N(H148))</f>
        <v/>
      </c>
      <c r="N148" s="341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339">
        <f>IF(COUNT(F149,I149)=0,"",N(F149)-N(I149))</f>
        <v/>
      </c>
      <c r="M149" s="340">
        <f>IF(COUNT(H149,K149)=0,"",N(K149)-N(H149))</f>
        <v/>
      </c>
      <c r="N149" s="339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341">
        <f>IF(COUNT(F150,I150)=0,"",N(F150)-N(I150))</f>
        <v/>
      </c>
      <c r="M150" s="342">
        <f>IF(COUNT(H150,K150)=0,"",N(K150)-N(H150))</f>
        <v/>
      </c>
      <c r="N150" s="341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339">
        <f>IF(COUNT(F151,I151)=0,"",N(F151)-N(I151))</f>
        <v/>
      </c>
      <c r="M151" s="340">
        <f>IF(COUNT(H151,K151)=0,"",N(K151)-N(H151))</f>
        <v/>
      </c>
      <c r="N151" s="339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341">
        <f>IF(COUNT(F152,I152)=0,"",N(F152)-N(I152))</f>
        <v/>
      </c>
      <c r="M152" s="342">
        <f>IF(COUNT(H152,K152)=0,"",N(K152)-N(H152))</f>
        <v/>
      </c>
      <c r="N152" s="341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339">
        <f>IF(COUNT(F153,I153)=0,"",N(F153)-N(I153))</f>
        <v/>
      </c>
      <c r="M153" s="340">
        <f>IF(COUNT(H153,K153)=0,"",N(K153)-N(H153))</f>
        <v/>
      </c>
      <c r="N153" s="339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341">
        <f>IF(COUNT(F154,I154)=0,"",N(F154)-N(I154))</f>
        <v/>
      </c>
      <c r="M154" s="342">
        <f>IF(COUNT(H154,K154)=0,"",N(K154)-N(H154))</f>
        <v/>
      </c>
      <c r="N154" s="341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339">
        <f>IF(COUNT(F155,I155)=0,"",N(F155)-N(I155))</f>
        <v/>
      </c>
      <c r="M155" s="340">
        <f>IF(COUNT(H155,K155)=0,"",N(K155)-N(H155))</f>
        <v/>
      </c>
      <c r="N155" s="339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341">
        <f>IF(COUNT(F156,I156)=0,"",N(F156)-N(I156))</f>
        <v/>
      </c>
      <c r="M156" s="342">
        <f>IF(COUNT(H156,K156)=0,"",N(K156)-N(H156))</f>
        <v/>
      </c>
      <c r="N156" s="341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339">
        <f>IF(COUNT(F157,I157)=0,"",N(F157)-N(I157))</f>
        <v/>
      </c>
      <c r="M157" s="340">
        <f>IF(COUNT(H157,K157)=0,"",N(K157)-N(H157))</f>
        <v/>
      </c>
      <c r="N157" s="339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341">
        <f>IF(COUNT(F158,I158)=0,"",N(F158)-N(I158))</f>
        <v/>
      </c>
      <c r="M158" s="342">
        <f>IF(COUNT(H158,K158)=0,"",N(K158)-N(H158))</f>
        <v/>
      </c>
      <c r="N158" s="341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339">
        <f>IF(COUNT(F159,I159)=0,"",N(F159)-N(I159))</f>
        <v/>
      </c>
      <c r="M159" s="340">
        <f>IF(COUNT(H159,K159)=0,"",N(K159)-N(H159))</f>
        <v/>
      </c>
      <c r="N159" s="339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341">
        <f>IF(COUNT(F160,I160)=0,"",N(F160)-N(I160))</f>
        <v/>
      </c>
      <c r="M160" s="342">
        <f>IF(COUNT(H160,K160)=0,"",N(K160)-N(H160))</f>
        <v/>
      </c>
      <c r="N160" s="341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339">
        <f>IF(COUNT(F161,I161)=0,"",N(F161)-N(I161))</f>
        <v/>
      </c>
      <c r="M161" s="340">
        <f>IF(COUNT(H161,K161)=0,"",N(K161)-N(H161))</f>
        <v/>
      </c>
      <c r="N161" s="339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341">
        <f>IF(COUNT(F162,I162)=0,"",N(F162)-N(I162))</f>
        <v/>
      </c>
      <c r="M162" s="342">
        <f>IF(COUNT(H162,K162)=0,"",N(K162)-N(H162))</f>
        <v/>
      </c>
      <c r="N162" s="341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339">
        <f>IF(COUNT(F163,I163)=0,"",N(F163)-N(I163))</f>
        <v/>
      </c>
      <c r="M163" s="340">
        <f>IF(COUNT(H163,K163)=0,"",N(K163)-N(H163))</f>
        <v/>
      </c>
      <c r="N163" s="339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341">
        <f>IF(COUNT(F164,I164)=0,"",N(F164)-N(I164))</f>
        <v/>
      </c>
      <c r="M164" s="342">
        <f>IF(COUNT(H164,K164)=0,"",N(K164)-N(H164))</f>
        <v/>
      </c>
      <c r="N164" s="341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339">
        <f>IF(COUNT(F165,I165)=0,"",N(F165)-N(I165))</f>
        <v/>
      </c>
      <c r="M165" s="340">
        <f>IF(COUNT(H165,K165)=0,"",N(K165)-N(H165))</f>
        <v/>
      </c>
      <c r="N165" s="339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341">
        <f>IF(COUNT(F166,I166)=0,"",N(F166)-N(I166))</f>
        <v/>
      </c>
      <c r="M166" s="342">
        <f>IF(COUNT(H166,K166)=0,"",N(K166)-N(H166))</f>
        <v/>
      </c>
      <c r="N166" s="341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339">
        <f>IF(COUNT(F167,I167)=0,"",N(F167)-N(I167))</f>
        <v/>
      </c>
      <c r="M167" s="340">
        <f>IF(COUNT(H167,K167)=0,"",N(K167)-N(H167))</f>
        <v/>
      </c>
      <c r="N167" s="339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341">
        <f>IF(COUNT(F168,I168)=0,"",N(F168)-N(I168))</f>
        <v/>
      </c>
      <c r="M168" s="342">
        <f>IF(COUNT(H168,K168)=0,"",N(K168)-N(H168))</f>
        <v/>
      </c>
      <c r="N168" s="341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339">
        <f>IF(COUNT(F169,I169)=0,"",N(F169)-N(I169))</f>
        <v/>
      </c>
      <c r="M169" s="340">
        <f>IF(COUNT(H169,K169)=0,"",N(K169)-N(H169))</f>
        <v/>
      </c>
      <c r="N169" s="339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341">
        <f>IF(COUNT(F170,I170)=0,"",N(F170)-N(I170))</f>
        <v/>
      </c>
      <c r="M170" s="342">
        <f>IF(COUNT(H170,K170)=0,"",N(K170)-N(H170))</f>
        <v/>
      </c>
      <c r="N170" s="341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339">
        <f>IF(COUNT(F171,I171)=0,"",N(F171)-N(I171))</f>
        <v/>
      </c>
      <c r="M171" s="340">
        <f>IF(COUNT(H171,K171)=0,"",N(K171)-N(H171))</f>
        <v/>
      </c>
      <c r="N171" s="339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341">
        <f>IF(COUNT(F172,I172)=0,"",N(F172)-N(I172))</f>
        <v/>
      </c>
      <c r="M172" s="342">
        <f>IF(COUNT(H172,K172)=0,"",N(K172)-N(H172))</f>
        <v/>
      </c>
      <c r="N172" s="341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339">
        <f>IF(COUNT(F173,I173)=0,"",N(F173)-N(I173))</f>
        <v/>
      </c>
      <c r="M173" s="340">
        <f>IF(COUNT(H173,K173)=0,"",N(K173)-N(H173))</f>
        <v/>
      </c>
      <c r="N173" s="339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341">
        <f>IF(COUNT(F174,I174)=0,"",N(F174)-N(I174))</f>
        <v/>
      </c>
      <c r="M174" s="342">
        <f>IF(COUNT(H174,K174)=0,"",N(K174)-N(H174))</f>
        <v/>
      </c>
      <c r="N174" s="341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339">
        <f>IF(COUNT(F175,I175)=0,"",N(F175)-N(I175))</f>
        <v/>
      </c>
      <c r="M175" s="340">
        <f>IF(COUNT(H175,K175)=0,"",N(K175)-N(H175))</f>
        <v/>
      </c>
      <c r="N175" s="339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341">
        <f>IF(COUNT(F176,I176)=0,"",N(F176)-N(I176))</f>
        <v/>
      </c>
      <c r="M176" s="342">
        <f>IF(COUNT(H176,K176)=0,"",N(K176)-N(H176))</f>
        <v/>
      </c>
      <c r="N176" s="341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339">
        <f>IF(COUNT(F177,I177)=0,"",N(F177)-N(I177))</f>
        <v/>
      </c>
      <c r="M177" s="340">
        <f>IF(COUNT(H177,K177)=0,"",N(K177)-N(H177))</f>
        <v/>
      </c>
      <c r="N177" s="339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341">
        <f>IF(COUNT(F178,I178)=0,"",N(F178)-N(I178))</f>
        <v/>
      </c>
      <c r="M178" s="342">
        <f>IF(COUNT(H178,K178)=0,"",N(K178)-N(H178))</f>
        <v/>
      </c>
      <c r="N178" s="341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339">
        <f>IF(COUNT(F179,I179)=0,"",N(F179)-N(I179))</f>
        <v/>
      </c>
      <c r="M179" s="340">
        <f>IF(COUNT(H179,K179)=0,"",N(K179)-N(H179))</f>
        <v/>
      </c>
      <c r="N179" s="339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341">
        <f>IF(COUNT(F180,I180)=0,"",N(F180)-N(I180))</f>
        <v/>
      </c>
      <c r="M180" s="342">
        <f>IF(COUNT(H180,K180)=0,"",N(K180)-N(H180))</f>
        <v/>
      </c>
      <c r="N180" s="341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339">
        <f>IF(COUNT(F181,I181)=0,"",N(F181)-N(I181))</f>
        <v/>
      </c>
      <c r="M181" s="340">
        <f>IF(COUNT(H181,K181)=0,"",N(K181)-N(H181))</f>
        <v/>
      </c>
      <c r="N181" s="339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341">
        <f>IF(COUNT(F182,I182)=0,"",N(F182)-N(I182))</f>
        <v/>
      </c>
      <c r="M182" s="342">
        <f>IF(COUNT(H182,K182)=0,"",N(K182)-N(H182))</f>
        <v/>
      </c>
      <c r="N182" s="341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339">
        <f>IF(COUNT(F183,I183)=0,"",N(F183)-N(I183))</f>
        <v/>
      </c>
      <c r="M183" s="340">
        <f>IF(COUNT(H183,K183)=0,"",N(K183)-N(H183))</f>
        <v/>
      </c>
      <c r="N183" s="339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341">
        <f>IF(COUNT(F184,I184)=0,"",N(F184)-N(I184))</f>
        <v/>
      </c>
      <c r="M184" s="342">
        <f>IF(COUNT(H184,K184)=0,"",N(K184)-N(H184))</f>
        <v/>
      </c>
      <c r="N184" s="341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339">
        <f>IF(COUNT(F185,I185)=0,"",N(F185)-N(I185))</f>
        <v/>
      </c>
      <c r="M185" s="340">
        <f>IF(COUNT(H185,K185)=0,"",N(K185)-N(H185))</f>
        <v/>
      </c>
      <c r="N185" s="339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341">
        <f>IF(COUNT(F186,I186)=0,"",N(F186)-N(I186))</f>
        <v/>
      </c>
      <c r="M186" s="342">
        <f>IF(COUNT(H186,K186)=0,"",N(K186)-N(H186))</f>
        <v/>
      </c>
      <c r="N186" s="341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339">
        <f>IF(COUNT(F187,I187)=0,"",N(F187)-N(I187))</f>
        <v/>
      </c>
      <c r="M187" s="340">
        <f>IF(COUNT(H187,K187)=0,"",N(K187)-N(H187))</f>
        <v/>
      </c>
      <c r="N187" s="339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341">
        <f>IF(COUNT(F188,I188)=0,"",N(F188)-N(I188))</f>
        <v/>
      </c>
      <c r="M188" s="342">
        <f>IF(COUNT(H188,K188)=0,"",N(K188)-N(H188))</f>
        <v/>
      </c>
      <c r="N188" s="341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339">
        <f>IF(COUNT(F189,I189)=0,"",N(F189)-N(I189))</f>
        <v/>
      </c>
      <c r="M189" s="340">
        <f>IF(COUNT(H189,K189)=0,"",N(K189)-N(H189))</f>
        <v/>
      </c>
      <c r="N189" s="339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341">
        <f>IF(COUNT(F190,I190)=0,"",N(F190)-N(I190))</f>
        <v/>
      </c>
      <c r="M190" s="342">
        <f>IF(COUNT(H190,K190)=0,"",N(K190)-N(H190))</f>
        <v/>
      </c>
      <c r="N190" s="341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339">
        <f>IF(COUNT(F191,I191)=0,"",N(F191)-N(I191))</f>
        <v/>
      </c>
      <c r="M191" s="340">
        <f>IF(COUNT(H191,K191)=0,"",N(K191)-N(H191))</f>
        <v/>
      </c>
      <c r="N191" s="339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341">
        <f>IF(COUNT(F192,I192)=0,"",N(F192)-N(I192))</f>
        <v/>
      </c>
      <c r="M192" s="342">
        <f>IF(COUNT(H192,K192)=0,"",N(K192)-N(H192))</f>
        <v/>
      </c>
      <c r="N192" s="341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339">
        <f>IF(COUNT(F193,I193)=0,"",N(F193)-N(I193))</f>
        <v/>
      </c>
      <c r="M193" s="340">
        <f>IF(COUNT(H193,K193)=0,"",N(K193)-N(H193))</f>
        <v/>
      </c>
      <c r="N193" s="339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341">
        <f>IF(COUNT(F194,I194)=0,"",N(F194)-N(I194))</f>
        <v/>
      </c>
      <c r="M194" s="342">
        <f>IF(COUNT(H194,K194)=0,"",N(K194)-N(H194))</f>
        <v/>
      </c>
      <c r="N194" s="341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339">
        <f>IF(COUNT(F195,I195)=0,"",N(F195)-N(I195))</f>
        <v/>
      </c>
      <c r="M195" s="340">
        <f>IF(COUNT(H195,K195)=0,"",N(K195)-N(H195))</f>
        <v/>
      </c>
      <c r="N195" s="339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341">
        <f>IF(COUNT(F196,I196)=0,"",N(F196)-N(I196))</f>
        <v/>
      </c>
      <c r="M196" s="342">
        <f>IF(COUNT(H196,K196)=0,"",N(K196)-N(H196))</f>
        <v/>
      </c>
      <c r="N196" s="341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339">
        <f>IF(COUNT(F197,I197)=0,"",N(F197)-N(I197))</f>
        <v/>
      </c>
      <c r="M197" s="340">
        <f>IF(COUNT(H197,K197)=0,"",N(K197)-N(H197))</f>
        <v/>
      </c>
      <c r="N197" s="339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341">
        <f>IF(COUNT(F198,I198)=0,"",N(F198)-N(I198))</f>
        <v/>
      </c>
      <c r="M198" s="342">
        <f>IF(COUNT(H198,K198)=0,"",N(K198)-N(H198))</f>
        <v/>
      </c>
      <c r="N198" s="341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339">
        <f>IF(COUNT(F199,I199)=0,"",N(F199)-N(I199))</f>
        <v/>
      </c>
      <c r="M199" s="340">
        <f>IF(COUNT(H199,K199)=0,"",N(K199)-N(H199))</f>
        <v/>
      </c>
      <c r="N199" s="339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341">
        <f>IF(COUNT(F200,I200)=0,"",N(F200)-N(I200))</f>
        <v/>
      </c>
      <c r="M200" s="342">
        <f>IF(COUNT(H200,K200)=0,"",N(K200)-N(H200))</f>
        <v/>
      </c>
      <c r="N200" s="341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339">
        <f>IF(COUNT(F201,I201)=0,"",N(F201)-N(I201))</f>
        <v/>
      </c>
      <c r="M201" s="340">
        <f>IF(COUNT(H201,K201)=0,"",N(K201)-N(H201))</f>
        <v/>
      </c>
      <c r="N201" s="339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341">
        <f>IF(COUNT(F202,I202)=0,"",N(F202)-N(I202))</f>
        <v/>
      </c>
      <c r="M202" s="342">
        <f>IF(COUNT(H202,K202)=0,"",N(K202)-N(H202))</f>
        <v/>
      </c>
      <c r="N202" s="341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339">
        <f>IF(COUNT(F203,I203)=0,"",N(F203)-N(I203))</f>
        <v/>
      </c>
      <c r="M203" s="340">
        <f>IF(COUNT(H203,K203)=0,"",N(K203)-N(H203))</f>
        <v/>
      </c>
      <c r="N203" s="339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341">
        <f>IF(COUNT(F204,I204)=0,"",N(F204)-N(I204))</f>
        <v/>
      </c>
      <c r="M204" s="342">
        <f>IF(COUNT(H204,K204)=0,"",N(K204)-N(H204))</f>
        <v/>
      </c>
      <c r="N204" s="341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339">
        <f>IF(COUNT(F205,I205)=0,"",N(F205)-N(I205))</f>
        <v/>
      </c>
      <c r="M205" s="340">
        <f>IF(COUNT(H205,K205)=0,"",N(K205)-N(H205))</f>
        <v/>
      </c>
      <c r="N205" s="339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341">
        <f>IF(COUNT(F206,I206)=0,"",N(F206)-N(I206))</f>
        <v/>
      </c>
      <c r="M206" s="342">
        <f>IF(COUNT(H206,K206)=0,"",N(K206)-N(H206))</f>
        <v/>
      </c>
      <c r="N206" s="341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339">
        <f>IF(COUNT(F207,I207)=0,"",N(F207)-N(I207))</f>
        <v/>
      </c>
      <c r="M207" s="340">
        <f>IF(COUNT(H207,K207)=0,"",N(K207)-N(H207))</f>
        <v/>
      </c>
      <c r="N207" s="339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341">
        <f>IF(COUNT(F208,I208)=0,"",N(F208)-N(I208))</f>
        <v/>
      </c>
      <c r="M208" s="342">
        <f>IF(COUNT(H208,K208)=0,"",N(K208)-N(H208))</f>
        <v/>
      </c>
      <c r="N208" s="341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339">
        <f>IF(COUNT(F209,I209)=0,"",N(F209)-N(I209))</f>
        <v/>
      </c>
      <c r="M209" s="340">
        <f>IF(COUNT(H209,K209)=0,"",N(K209)-N(H209))</f>
        <v/>
      </c>
      <c r="N209" s="339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341">
        <f>IF(COUNT(F210,I210)=0,"",N(F210)-N(I210))</f>
        <v/>
      </c>
      <c r="M210" s="342">
        <f>IF(COUNT(H210,K210)=0,"",N(K210)-N(H210))</f>
        <v/>
      </c>
      <c r="N210" s="341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339">
        <f>IF(COUNT(F211,I211)=0,"",N(F211)-N(I211))</f>
        <v/>
      </c>
      <c r="M211" s="340">
        <f>IF(COUNT(H211,K211)=0,"",N(K211)-N(H211))</f>
        <v/>
      </c>
      <c r="N211" s="339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341">
        <f>IF(COUNT(F212,I212)=0,"",N(F212)-N(I212))</f>
        <v/>
      </c>
      <c r="M212" s="342">
        <f>IF(COUNT(H212,K212)=0,"",N(K212)-N(H212))</f>
        <v/>
      </c>
      <c r="N212" s="341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339">
        <f>IF(COUNT(F213,I213)=0,"",N(F213)-N(I213))</f>
        <v/>
      </c>
      <c r="M213" s="340">
        <f>IF(COUNT(H213,K213)=0,"",N(K213)-N(H213))</f>
        <v/>
      </c>
      <c r="N213" s="339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341">
        <f>IF(COUNT(F214,I214)=0,"",N(F214)-N(I214))</f>
        <v/>
      </c>
      <c r="M214" s="342">
        <f>IF(COUNT(H214,K214)=0,"",N(K214)-N(H214))</f>
        <v/>
      </c>
      <c r="N214" s="341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339">
        <f>IF(COUNT(F215,I215)=0,"",N(F215)-N(I215))</f>
        <v/>
      </c>
      <c r="M215" s="340">
        <f>IF(COUNT(H215,K215)=0,"",N(K215)-N(H215))</f>
        <v/>
      </c>
      <c r="N215" s="339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341">
        <f>IF(COUNT(F216,I216)=0,"",N(F216)-N(I216))</f>
        <v/>
      </c>
      <c r="M216" s="342">
        <f>IF(COUNT(H216,K216)=0,"",N(K216)-N(H216))</f>
        <v/>
      </c>
      <c r="N216" s="341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339">
        <f>IF(COUNT(F217,I217)=0,"",N(F217)-N(I217))</f>
        <v/>
      </c>
      <c r="M217" s="340">
        <f>IF(COUNT(H217,K217)=0,"",N(K217)-N(H217))</f>
        <v/>
      </c>
      <c r="N217" s="339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341">
        <f>IF(COUNT(F218,I218)=0,"",N(F218)-N(I218))</f>
        <v/>
      </c>
      <c r="M218" s="342">
        <f>IF(COUNT(H218,K218)=0,"",N(K218)-N(H218))</f>
        <v/>
      </c>
      <c r="N218" s="341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339">
        <f>IF(COUNT(F219,I219)=0,"",N(F219)-N(I219))</f>
        <v/>
      </c>
      <c r="M219" s="340">
        <f>IF(COUNT(H219,K219)=0,"",N(K219)-N(H219))</f>
        <v/>
      </c>
      <c r="N219" s="339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341">
        <f>IF(COUNT(F220,I220)=0,"",N(F220)-N(I220))</f>
        <v/>
      </c>
      <c r="M220" s="342">
        <f>IF(COUNT(H220,K220)=0,"",N(K220)-N(H220))</f>
        <v/>
      </c>
      <c r="N220" s="341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339">
        <f>IF(COUNT(F221,I221)=0,"",N(F221)-N(I221))</f>
        <v/>
      </c>
      <c r="M221" s="340">
        <f>IF(COUNT(H221,K221)=0,"",N(K221)-N(H221))</f>
        <v/>
      </c>
      <c r="N221" s="339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341">
        <f>IF(COUNT(F222,I222)=0,"",N(F222)-N(I222))</f>
        <v/>
      </c>
      <c r="M222" s="342">
        <f>IF(COUNT(H222,K222)=0,"",N(K222)-N(H222))</f>
        <v/>
      </c>
      <c r="N222" s="341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339">
        <f>IF(COUNT(F223,I223)=0,"",N(F223)-N(I223))</f>
        <v/>
      </c>
      <c r="M223" s="340">
        <f>IF(COUNT(H223,K223)=0,"",N(K223)-N(H223))</f>
        <v/>
      </c>
      <c r="N223" s="339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341">
        <f>IF(COUNT(F224,I224)=0,"",N(F224)-N(I224))</f>
        <v/>
      </c>
      <c r="M224" s="342">
        <f>IF(COUNT(H224,K224)=0,"",N(K224)-N(H224))</f>
        <v/>
      </c>
      <c r="N224" s="341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339">
        <f>IF(COUNT(F225,I225)=0,"",N(F225)-N(I225))</f>
        <v/>
      </c>
      <c r="M225" s="340">
        <f>IF(COUNT(H225,K225)=0,"",N(K225)-N(H225))</f>
        <v/>
      </c>
      <c r="N225" s="339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341">
        <f>IF(COUNT(F226,I226)=0,"",N(F226)-N(I226))</f>
        <v/>
      </c>
      <c r="M226" s="342">
        <f>IF(COUNT(H226,K226)=0,"",N(K226)-N(H226))</f>
        <v/>
      </c>
      <c r="N226" s="341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339">
        <f>IF(COUNT(F227,I227)=0,"",N(F227)-N(I227))</f>
        <v/>
      </c>
      <c r="M227" s="340">
        <f>IF(COUNT(H227,K227)=0,"",N(K227)-N(H227))</f>
        <v/>
      </c>
      <c r="N227" s="339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341">
        <f>IF(COUNT(F228,I228)=0,"",N(F228)-N(I228))</f>
        <v/>
      </c>
      <c r="M228" s="342">
        <f>IF(COUNT(H228,K228)=0,"",N(K228)-N(H228))</f>
        <v/>
      </c>
      <c r="N228" s="341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339">
        <f>IF(COUNT(F229,I229)=0,"",N(F229)-N(I229))</f>
        <v/>
      </c>
      <c r="M229" s="340">
        <f>IF(COUNT(H229,K229)=0,"",N(K229)-N(H229))</f>
        <v/>
      </c>
      <c r="N229" s="339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341">
        <f>IF(COUNT(F230,I230)=0,"",N(F230)-N(I230))</f>
        <v/>
      </c>
      <c r="M230" s="342">
        <f>IF(COUNT(H230,K230)=0,"",N(K230)-N(H230))</f>
        <v/>
      </c>
      <c r="N230" s="341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339">
        <f>IF(COUNT(F231,I231)=0,"",N(F231)-N(I231))</f>
        <v/>
      </c>
      <c r="M231" s="340">
        <f>IF(COUNT(H231,K231)=0,"",N(K231)-N(H231))</f>
        <v/>
      </c>
      <c r="N231" s="339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341">
        <f>IF(COUNT(F232,I232)=0,"",N(F232)-N(I232))</f>
        <v/>
      </c>
      <c r="M232" s="342">
        <f>IF(COUNT(H232,K232)=0,"",N(K232)-N(H232))</f>
        <v/>
      </c>
      <c r="N232" s="341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339">
        <f>IF(COUNT(F233,I233)=0,"",N(F233)-N(I233))</f>
        <v/>
      </c>
      <c r="M233" s="340">
        <f>IF(COUNT(H233,K233)=0,"",N(K233)-N(H233))</f>
        <v/>
      </c>
      <c r="N233" s="339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341">
        <f>IF(COUNT(F234,I234)=0,"",N(F234)-N(I234))</f>
        <v/>
      </c>
      <c r="M234" s="342">
        <f>IF(COUNT(H234,K234)=0,"",N(K234)-N(H234))</f>
        <v/>
      </c>
      <c r="N234" s="341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339">
        <f>IF(COUNT(F235,I235)=0,"",N(F235)-N(I235))</f>
        <v/>
      </c>
      <c r="M235" s="340">
        <f>IF(COUNT(H235,K235)=0,"",N(K235)-N(H235))</f>
        <v/>
      </c>
      <c r="N235" s="339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341">
        <f>IF(COUNT(F236,I236)=0,"",N(F236)-N(I236))</f>
        <v/>
      </c>
      <c r="M236" s="342">
        <f>IF(COUNT(H236,K236)=0,"",N(K236)-N(H236))</f>
        <v/>
      </c>
      <c r="N236" s="341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339">
        <f>IF(COUNT(F237,I237)=0,"",N(F237)-N(I237))</f>
        <v/>
      </c>
      <c r="M237" s="340">
        <f>IF(COUNT(H237,K237)=0,"",N(K237)-N(H237))</f>
        <v/>
      </c>
      <c r="N237" s="339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341">
        <f>IF(COUNT(F238,I238)=0,"",N(F238)-N(I238))</f>
        <v/>
      </c>
      <c r="M238" s="342">
        <f>IF(COUNT(H238,K238)=0,"",N(K238)-N(H238))</f>
        <v/>
      </c>
      <c r="N238" s="341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339">
        <f>IF(COUNT(F239,I239)=0,"",N(F239)-N(I239))</f>
        <v/>
      </c>
      <c r="M239" s="340">
        <f>IF(COUNT(H239,K239)=0,"",N(K239)-N(H239))</f>
        <v/>
      </c>
      <c r="N239" s="339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341">
        <f>IF(COUNT(F240,I240)=0,"",N(F240)-N(I240))</f>
        <v/>
      </c>
      <c r="M240" s="342">
        <f>IF(COUNT(H240,K240)=0,"",N(K240)-N(H240))</f>
        <v/>
      </c>
      <c r="N240" s="341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339">
        <f>IF(COUNT(F241,I241)=0,"",N(F241)-N(I241))</f>
        <v/>
      </c>
      <c r="M241" s="340">
        <f>IF(COUNT(H241,K241)=0,"",N(K241)-N(H241))</f>
        <v/>
      </c>
      <c r="N241" s="339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341">
        <f>IF(COUNT(F242,I242)=0,"",N(F242)-N(I242))</f>
        <v/>
      </c>
      <c r="M242" s="342">
        <f>IF(COUNT(H242,K242)=0,"",N(K242)-N(H242))</f>
        <v/>
      </c>
      <c r="N242" s="341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339">
        <f>IF(COUNT(F243,I243)=0,"",N(F243)-N(I243))</f>
        <v/>
      </c>
      <c r="M243" s="340">
        <f>IF(COUNT(H243,K243)=0,"",N(K243)-N(H243))</f>
        <v/>
      </c>
      <c r="N243" s="339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341">
        <f>IF(COUNT(F244,I244)=0,"",N(F244)-N(I244))</f>
        <v/>
      </c>
      <c r="M244" s="342">
        <f>IF(COUNT(H244,K244)=0,"",N(K244)-N(H244))</f>
        <v/>
      </c>
      <c r="N244" s="341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339">
        <f>IF(COUNT(F245,I245)=0,"",N(F245)-N(I245))</f>
        <v/>
      </c>
      <c r="M245" s="340">
        <f>IF(COUNT(H245,K245)=0,"",N(K245)-N(H245))</f>
        <v/>
      </c>
      <c r="N245" s="339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341">
        <f>IF(COUNT(F246,I246)=0,"",N(F246)-N(I246))</f>
        <v/>
      </c>
      <c r="M246" s="342">
        <f>IF(COUNT(H246,K246)=0,"",N(K246)-N(H246))</f>
        <v/>
      </c>
      <c r="N246" s="341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339">
        <f>IF(COUNT(F247,I247)=0,"",N(F247)-N(I247))</f>
        <v/>
      </c>
      <c r="M247" s="340">
        <f>IF(COUNT(H247,K247)=0,"",N(K247)-N(H247))</f>
        <v/>
      </c>
      <c r="N247" s="339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341">
        <f>IF(COUNT(F248,I248)=0,"",N(F248)-N(I248))</f>
        <v/>
      </c>
      <c r="M248" s="342">
        <f>IF(COUNT(H248,K248)=0,"",N(K248)-N(H248))</f>
        <v/>
      </c>
      <c r="N248" s="341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339">
        <f>IF(COUNT(F249,I249)=0,"",N(F249)-N(I249))</f>
        <v/>
      </c>
      <c r="M249" s="340">
        <f>IF(COUNT(H249,K249)=0,"",N(K249)-N(H249))</f>
        <v/>
      </c>
      <c r="N249" s="339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341">
        <f>IF(COUNT(F250,I250)=0,"",N(F250)-N(I250))</f>
        <v/>
      </c>
      <c r="M250" s="342">
        <f>IF(COUNT(H250,K250)=0,"",N(K250)-N(H250))</f>
        <v/>
      </c>
      <c r="N250" s="341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339">
        <f>IF(COUNT(F251,I251)=0,"",N(F251)-N(I251))</f>
        <v/>
      </c>
      <c r="M251" s="340">
        <f>IF(COUNT(H251,K251)=0,"",N(K251)-N(H251))</f>
        <v/>
      </c>
      <c r="N251" s="339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341">
        <f>IF(COUNT(F252,I252)=0,"",N(F252)-N(I252))</f>
        <v/>
      </c>
      <c r="M252" s="342">
        <f>IF(COUNT(H252,K252)=0,"",N(K252)-N(H252))</f>
        <v/>
      </c>
      <c r="N252" s="341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339">
        <f>IF(COUNT(F253,I253)=0,"",N(F253)-N(I253))</f>
        <v/>
      </c>
      <c r="M253" s="340">
        <f>IF(COUNT(H253,K253)=0,"",N(K253)-N(H253))</f>
        <v/>
      </c>
      <c r="N253" s="339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341">
        <f>IF(COUNT(F254,I254)=0,"",N(F254)-N(I254))</f>
        <v/>
      </c>
      <c r="M254" s="342">
        <f>IF(COUNT(H254,K254)=0,"",N(K254)-N(H254))</f>
        <v/>
      </c>
      <c r="N254" s="341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339">
        <f>IF(COUNT(F255,I255)=0,"",N(F255)-N(I255))</f>
        <v/>
      </c>
      <c r="M255" s="340">
        <f>IF(COUNT(H255,K255)=0,"",N(K255)-N(H255))</f>
        <v/>
      </c>
      <c r="N255" s="339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341">
        <f>IF(COUNT(F256,I256)=0,"",N(F256)-N(I256))</f>
        <v/>
      </c>
      <c r="M256" s="342">
        <f>IF(COUNT(H256,K256)=0,"",N(K256)-N(H256))</f>
        <v/>
      </c>
      <c r="N256" s="341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339">
        <f>IF(COUNT(F257,I257)=0,"",N(F257)-N(I257))</f>
        <v/>
      </c>
      <c r="M257" s="340">
        <f>IF(COUNT(H257,K257)=0,"",N(K257)-N(H257))</f>
        <v/>
      </c>
      <c r="N257" s="339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341">
        <f>IF(COUNT(F258,I258)=0,"",N(F258)-N(I258))</f>
        <v/>
      </c>
      <c r="M258" s="342">
        <f>IF(COUNT(H258,K258)=0,"",N(K258)-N(H258))</f>
        <v/>
      </c>
      <c r="N258" s="341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339">
        <f>IF(COUNT(F259,I259)=0,"",N(F259)-N(I259))</f>
        <v/>
      </c>
      <c r="M259" s="340">
        <f>IF(COUNT(H259,K259)=0,"",N(K259)-N(H259))</f>
        <v/>
      </c>
      <c r="N259" s="339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341">
        <f>IF(COUNT(F260,I260)=0,"",N(F260)-N(I260))</f>
        <v/>
      </c>
      <c r="M260" s="342">
        <f>IF(COUNT(H260,K260)=0,"",N(K260)-N(H260))</f>
        <v/>
      </c>
      <c r="N260" s="341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339">
        <f>IF(COUNT(F261,I261)=0,"",N(F261)-N(I261))</f>
        <v/>
      </c>
      <c r="M261" s="340">
        <f>IF(COUNT(H261,K261)=0,"",N(K261)-N(H261))</f>
        <v/>
      </c>
      <c r="N261" s="339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341">
        <f>IF(COUNT(F262,I262)=0,"",N(F262)-N(I262))</f>
        <v/>
      </c>
      <c r="M262" s="342">
        <f>IF(COUNT(H262,K262)=0,"",N(K262)-N(H262))</f>
        <v/>
      </c>
      <c r="N262" s="341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339">
        <f>IF(COUNT(F263,I263)=0,"",N(F263)-N(I263))</f>
        <v/>
      </c>
      <c r="M263" s="340">
        <f>IF(COUNT(H263,K263)=0,"",N(K263)-N(H263))</f>
        <v/>
      </c>
      <c r="N263" s="339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341">
        <f>IF(COUNT(F264,I264)=0,"",N(F264)-N(I264))</f>
        <v/>
      </c>
      <c r="M264" s="342">
        <f>IF(COUNT(H264,K264)=0,"",N(K264)-N(H264))</f>
        <v/>
      </c>
      <c r="N264" s="341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339">
        <f>IF(COUNT(F265,I265)=0,"",N(F265)-N(I265))</f>
        <v/>
      </c>
      <c r="M265" s="340">
        <f>IF(COUNT(H265,K265)=0,"",N(K265)-N(H265))</f>
        <v/>
      </c>
      <c r="N265" s="339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341">
        <f>IF(COUNT(F266,I266)=0,"",N(F266)-N(I266))</f>
        <v/>
      </c>
      <c r="M266" s="342">
        <f>IF(COUNT(H266,K266)=0,"",N(K266)-N(H266))</f>
        <v/>
      </c>
      <c r="N266" s="341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339">
        <f>IF(COUNT(F267,I267)=0,"",N(F267)-N(I267))</f>
        <v/>
      </c>
      <c r="M267" s="340">
        <f>IF(COUNT(H267,K267)=0,"",N(K267)-N(H267))</f>
        <v/>
      </c>
      <c r="N267" s="339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341">
        <f>IF(COUNT(F268,I268)=0,"",N(F268)-N(I268))</f>
        <v/>
      </c>
      <c r="M268" s="342">
        <f>IF(COUNT(H268,K268)=0,"",N(K268)-N(H268))</f>
        <v/>
      </c>
      <c r="N268" s="341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339">
        <f>IF(COUNT(F269,I269)=0,"",N(F269)-N(I269))</f>
        <v/>
      </c>
      <c r="M269" s="340">
        <f>IF(COUNT(H269,K269)=0,"",N(K269)-N(H269))</f>
        <v/>
      </c>
      <c r="N269" s="339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341">
        <f>IF(COUNT(F270,I270)=0,"",N(F270)-N(I270))</f>
        <v/>
      </c>
      <c r="M270" s="342">
        <f>IF(COUNT(H270,K270)=0,"",N(K270)-N(H270))</f>
        <v/>
      </c>
      <c r="N270" s="341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339">
        <f>IF(COUNT(F271,I271)=0,"",N(F271)-N(I271))</f>
        <v/>
      </c>
      <c r="M271" s="340">
        <f>IF(COUNT(H271,K271)=0,"",N(K271)-N(H271))</f>
        <v/>
      </c>
      <c r="N271" s="339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341">
        <f>IF(COUNT(F272,I272)=0,"",N(F272)-N(I272))</f>
        <v/>
      </c>
      <c r="M272" s="342">
        <f>IF(COUNT(H272,K272)=0,"",N(K272)-N(H272))</f>
        <v/>
      </c>
      <c r="N272" s="341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339">
        <f>IF(COUNT(F273,I273)=0,"",N(F273)-N(I273))</f>
        <v/>
      </c>
      <c r="M273" s="340">
        <f>IF(COUNT(H273,K273)=0,"",N(K273)-N(H273))</f>
        <v/>
      </c>
      <c r="N273" s="339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341">
        <f>IF(COUNT(F274,I274)=0,"",N(F274)-N(I274))</f>
        <v/>
      </c>
      <c r="M274" s="342">
        <f>IF(COUNT(H274,K274)=0,"",N(K274)-N(H274))</f>
        <v/>
      </c>
      <c r="N274" s="341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339">
        <f>IF(COUNT(F275,I275)=0,"",N(F275)-N(I275))</f>
        <v/>
      </c>
      <c r="M275" s="340">
        <f>IF(COUNT(H275,K275)=0,"",N(K275)-N(H275))</f>
        <v/>
      </c>
      <c r="N275" s="339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341">
        <f>IF(COUNT(F276,I276)=0,"",N(F276)-N(I276))</f>
        <v/>
      </c>
      <c r="M276" s="342">
        <f>IF(COUNT(H276,K276)=0,"",N(K276)-N(H276))</f>
        <v/>
      </c>
      <c r="N276" s="341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339">
        <f>IF(COUNT(F277,I277)=0,"",N(F277)-N(I277))</f>
        <v/>
      </c>
      <c r="M277" s="340">
        <f>IF(COUNT(H277,K277)=0,"",N(K277)-N(H277))</f>
        <v/>
      </c>
      <c r="N277" s="339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341">
        <f>IF(COUNT(F278,I278)=0,"",N(F278)-N(I278))</f>
        <v/>
      </c>
      <c r="M278" s="342">
        <f>IF(COUNT(H278,K278)=0,"",N(K278)-N(H278))</f>
        <v/>
      </c>
      <c r="N278" s="341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339">
        <f>IF(COUNT(F279,I279)=0,"",N(F279)-N(I279))</f>
        <v/>
      </c>
      <c r="M279" s="340">
        <f>IF(COUNT(H279,K279)=0,"",N(K279)-N(H279))</f>
        <v/>
      </c>
      <c r="N279" s="339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341">
        <f>IF(COUNT(F280,I280)=0,"",N(F280)-N(I280))</f>
        <v/>
      </c>
      <c r="M280" s="342">
        <f>IF(COUNT(H280,K280)=0,"",N(K280)-N(H280))</f>
        <v/>
      </c>
      <c r="N280" s="341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339">
        <f>IF(COUNT(F281,I281)=0,"",N(F281)-N(I281))</f>
        <v/>
      </c>
      <c r="M281" s="340">
        <f>IF(COUNT(H281,K281)=0,"",N(K281)-N(H281))</f>
        <v/>
      </c>
      <c r="N281" s="339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341">
        <f>IF(COUNT(F282,I282)=0,"",N(F282)-N(I282))</f>
        <v/>
      </c>
      <c r="M282" s="342">
        <f>IF(COUNT(H282,K282)=0,"",N(K282)-N(H282))</f>
        <v/>
      </c>
      <c r="N282" s="341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339">
        <f>IF(COUNT(F283,I283)=0,"",N(F283)-N(I283))</f>
        <v/>
      </c>
      <c r="M283" s="340">
        <f>IF(COUNT(H283,K283)=0,"",N(K283)-N(H283))</f>
        <v/>
      </c>
      <c r="N283" s="339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341">
        <f>IF(COUNT(F284,I284)=0,"",N(F284)-N(I284))</f>
        <v/>
      </c>
      <c r="M284" s="342">
        <f>IF(COUNT(H284,K284)=0,"",N(K284)-N(H284))</f>
        <v/>
      </c>
      <c r="N284" s="341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339">
        <f>IF(COUNT(F285,I285)=0,"",N(F285)-N(I285))</f>
        <v/>
      </c>
      <c r="M285" s="340">
        <f>IF(COUNT(H285,K285)=0,"",N(K285)-N(H285))</f>
        <v/>
      </c>
      <c r="N285" s="339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341">
        <f>IF(COUNT(F286,I286)=0,"",N(F286)-N(I286))</f>
        <v/>
      </c>
      <c r="M286" s="342">
        <f>IF(COUNT(H286,K286)=0,"",N(K286)-N(H286))</f>
        <v/>
      </c>
      <c r="N286" s="341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339">
        <f>IF(COUNT(F287,I287)=0,"",N(F287)-N(I287))</f>
        <v/>
      </c>
      <c r="M287" s="340">
        <f>IF(COUNT(H287,K287)=0,"",N(K287)-N(H287))</f>
        <v/>
      </c>
      <c r="N287" s="339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341">
        <f>IF(COUNT(F288,I288)=0,"",N(F288)-N(I288))</f>
        <v/>
      </c>
      <c r="M288" s="342">
        <f>IF(COUNT(H288,K288)=0,"",N(K288)-N(H288))</f>
        <v/>
      </c>
      <c r="N288" s="341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339">
        <f>IF(COUNT(F289,I289)=0,"",N(F289)-N(I289))</f>
        <v/>
      </c>
      <c r="M289" s="340">
        <f>IF(COUNT(H289,K289)=0,"",N(K289)-N(H289))</f>
        <v/>
      </c>
      <c r="N289" s="339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341">
        <f>IF(COUNT(F290,I290)=0,"",N(F290)-N(I290))</f>
        <v/>
      </c>
      <c r="M290" s="342">
        <f>IF(COUNT(H290,K290)=0,"",N(K290)-N(H290))</f>
        <v/>
      </c>
      <c r="N290" s="341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339">
        <f>IF(COUNT(F291,I291)=0,"",N(F291)-N(I291))</f>
        <v/>
      </c>
      <c r="M291" s="340">
        <f>IF(COUNT(H291,K291)=0,"",N(K291)-N(H291))</f>
        <v/>
      </c>
      <c r="N291" s="339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341">
        <f>IF(COUNT(F292,I292)=0,"",N(F292)-N(I292))</f>
        <v/>
      </c>
      <c r="M292" s="342">
        <f>IF(COUNT(H292,K292)=0,"",N(K292)-N(H292))</f>
        <v/>
      </c>
      <c r="N292" s="341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339">
        <f>IF(COUNT(F293,I293)=0,"",N(F293)-N(I293))</f>
        <v/>
      </c>
      <c r="M293" s="340">
        <f>IF(COUNT(H293,K293)=0,"",N(K293)-N(H293))</f>
        <v/>
      </c>
      <c r="N293" s="339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341">
        <f>IF(COUNT(F294,I294)=0,"",N(F294)-N(I294))</f>
        <v/>
      </c>
      <c r="M294" s="342">
        <f>IF(COUNT(H294,K294)=0,"",N(K294)-N(H294))</f>
        <v/>
      </c>
      <c r="N294" s="341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339">
        <f>IF(COUNT(F295,I295)=0,"",N(F295)-N(I295))</f>
        <v/>
      </c>
      <c r="M295" s="340">
        <f>IF(COUNT(H295,K295)=0,"",N(K295)-N(H295))</f>
        <v/>
      </c>
      <c r="N295" s="339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341">
        <f>IF(COUNT(F296,I296)=0,"",N(F296)-N(I296))</f>
        <v/>
      </c>
      <c r="M296" s="342">
        <f>IF(COUNT(H296,K296)=0,"",N(K296)-N(H296))</f>
        <v/>
      </c>
      <c r="N296" s="341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339">
        <f>IF(COUNT(F297,I297)=0,"",N(F297)-N(I297))</f>
        <v/>
      </c>
      <c r="M297" s="340">
        <f>IF(COUNT(H297,K297)=0,"",N(K297)-N(H297))</f>
        <v/>
      </c>
      <c r="N297" s="339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341">
        <f>IF(COUNT(F298,I298)=0,"",N(F298)-N(I298))</f>
        <v/>
      </c>
      <c r="M298" s="342">
        <f>IF(COUNT(H298,K298)=0,"",N(K298)-N(H298))</f>
        <v/>
      </c>
      <c r="N298" s="341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339">
        <f>IF(COUNT(F299,I299)=0,"",N(F299)-N(I299))</f>
        <v/>
      </c>
      <c r="M299" s="340">
        <f>IF(COUNT(H299,K299)=0,"",N(K299)-N(H299))</f>
        <v/>
      </c>
      <c r="N299" s="339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341">
        <f>IF(COUNT(F300,I300)=0,"",N(F300)-N(I300))</f>
        <v/>
      </c>
      <c r="M300" s="342">
        <f>IF(COUNT(H300,K300)=0,"",N(K300)-N(H300))</f>
        <v/>
      </c>
      <c r="N300" s="341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2.3" customWidth="1" min="2" max="2"/>
    <col width="18.2" customWidth="1" min="3" max="3"/>
    <col width="19.2" customWidth="1" min="4" max="4"/>
    <col width="19.2" customWidth="1" min="5" max="5"/>
    <col width="18.2" customWidth="1" min="6" max="6"/>
    <col width="18.2" customWidth="1" min="7" max="7"/>
    <col width="19.2" customWidth="1" min="8" max="8"/>
    <col width="20.3" customWidth="1" min="9" max="9"/>
    <col width="19.2" customWidth="1" min="10" max="10"/>
    <col width="16.1" customWidth="1" min="11" max="11"/>
    <col width="9" customWidth="1" min="12" max="12"/>
    <col width="20.3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BNB/BTC</t>
        </is>
      </c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339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340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343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BNB/ETH</t>
        </is>
      </c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341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342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344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BNB/USD</t>
        </is>
      </c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339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340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343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BTC/USD</t>
        </is>
      </c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341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342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344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CAKE/BNB</t>
        </is>
      </c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339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340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343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CAKE/BTC</t>
        </is>
      </c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341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342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344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339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340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343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CAKE/USD</t>
        </is>
      </c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341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342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344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ETH/BTC</t>
        </is>
      </c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339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340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343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ETH/USD</t>
        </is>
      </c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341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342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344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339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340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343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341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342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344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339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340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343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341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342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344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339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340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343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341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342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344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339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340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343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341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342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344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339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340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343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341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342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344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339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340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343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341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342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344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339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340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343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341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342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344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339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340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343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341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342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344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339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340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343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341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342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344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339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340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343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341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342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344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339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340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343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341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342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344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339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340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343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341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342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344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339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340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343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341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342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344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339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340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343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341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342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344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339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340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343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341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342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344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339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340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343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341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342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344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339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340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343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341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342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344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339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340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343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341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342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344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339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340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343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341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342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344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339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340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343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341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342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344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339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340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343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341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342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344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339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340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343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341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342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344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339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340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343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341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342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344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339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340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343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341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342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344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339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340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343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341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342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344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339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340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343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341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342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344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339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340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343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341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342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344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339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340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343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341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342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344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339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340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343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341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342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344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339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340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343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341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342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344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339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340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343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341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342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344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339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340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343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341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342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344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339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340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343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341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342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344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339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340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343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341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342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344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339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340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343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341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342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344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339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340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343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341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342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344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339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340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343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341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342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344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339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340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343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341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342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344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339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340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343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341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342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344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339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340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343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341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342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344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339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340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343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341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342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344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339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340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343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341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342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344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339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340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343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341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342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344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339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340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343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341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342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344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339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340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343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341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342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344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339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340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343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341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342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344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339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340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343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341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342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344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339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340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343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341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342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344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339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340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343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341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342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344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339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340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343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341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342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344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339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340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343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341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342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344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339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340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343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341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342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344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339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340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343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341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342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344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339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340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343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341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342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344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339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340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343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341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342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344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339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340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343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341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342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344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339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340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343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341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342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344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339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340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343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341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342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344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339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340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343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341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342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344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339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340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343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341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342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344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339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340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343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341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342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344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339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340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343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341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342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344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339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340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343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341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342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344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339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340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343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341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342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344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339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340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343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341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342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344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339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340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343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341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342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344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339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340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343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341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342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344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339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340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343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341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342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344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339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340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343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341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342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344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339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340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343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341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342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344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339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340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343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341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342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344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339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340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343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341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342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344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339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340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343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341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342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344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339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340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343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341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342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344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339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340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343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341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342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344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339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340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343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341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342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344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339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340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343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341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342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344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339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340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343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341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342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344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339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340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343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341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342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344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339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340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343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341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342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344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339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340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343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341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342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344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339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340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343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341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342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344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339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340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343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341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342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344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339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340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343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341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342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344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339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340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343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341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342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344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339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340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343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341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342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344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339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340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343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341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342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344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339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340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343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341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342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344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339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340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343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341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342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344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339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340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343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341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342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344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339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340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343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341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342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344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339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340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343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341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342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344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339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340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343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341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342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344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339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340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343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341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342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344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339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340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343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341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342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344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339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340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343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341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342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344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339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340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343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341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342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344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339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340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343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341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342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344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339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340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343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341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342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344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339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340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343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341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342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344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339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340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343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341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342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344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339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340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343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341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342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344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339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340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343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341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342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344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339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340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343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341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342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344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339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340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343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341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342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344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339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340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343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341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342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344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339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340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343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341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342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344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339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340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343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341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342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344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339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340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343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341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342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344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339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340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343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341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342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344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339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340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343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341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342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344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339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340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343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341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342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344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339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340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343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341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342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344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339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340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343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341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342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344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339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340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343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341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342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344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339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340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343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341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342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344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339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340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343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341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342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344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339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340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343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341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342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344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339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340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343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341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342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344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339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340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343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341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342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344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339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340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343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341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342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344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339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340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343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341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342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344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339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340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343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341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342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344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339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340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343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341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342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344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339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340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343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341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342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344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339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340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343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341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342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344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339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340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343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341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342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344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339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340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343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341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342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344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339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340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343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341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342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344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339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340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343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341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342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344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339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340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343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341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342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344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339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340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343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341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342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344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339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340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343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341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342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344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339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340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343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341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342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344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339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340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343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341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342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344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339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340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343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341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342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344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339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340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343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341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342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344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339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340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343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341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342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344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339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340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343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341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342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344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339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340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343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341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342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344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339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340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343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341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342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344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339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340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343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341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342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344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339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340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343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341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342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344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9" customWidth="1" min="2" max="2"/>
    <col width="9" customWidth="1" min="3" max="3"/>
    <col width="12.9" customWidth="1" min="4" max="4"/>
    <col width="9" customWidth="1" min="5" max="5"/>
    <col width="11.7" customWidth="1" min="6" max="6"/>
    <col width="11.7" customWidth="1" min="7" max="7"/>
    <col width="11.7" customWidth="1" min="8" max="8"/>
    <col width="11.7" customWidth="1" min="9" max="9"/>
    <col width="12.9" customWidth="1" min="10" max="10"/>
    <col width="12.9" customWidth="1" min="11" max="11"/>
    <col width="10.5" customWidth="1" min="12" max="12"/>
    <col width="9" customWidth="1" min="13" max="13"/>
    <col width="9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n"/>
      <c r="C5" s="314" t="n"/>
      <c r="D5" s="313" t="n"/>
      <c r="E5" s="315" t="n"/>
      <c r="F5" s="316" t="n"/>
      <c r="G5" s="324" t="n"/>
      <c r="H5" s="316" t="n"/>
      <c r="I5" s="324" t="n"/>
      <c r="J5" s="339">
        <f>IF(AND(L5="Закрыт",ISNUMBER(F5),ISNUMBER(H5)),ROUND(H5-F5,8),"")</f>
        <v/>
      </c>
      <c r="K5" s="340">
        <f>IF(AND(L5="Закрыт",ISNUMBER(G5),ISNUMBER(I5)),ROUND(I5-G5,8),"")</f>
        <v/>
      </c>
      <c r="L5" s="325" t="n"/>
      <c r="M5" s="316" t="n"/>
      <c r="N5" s="324" t="n"/>
    </row>
    <row r="6" ht="22" customHeight="1">
      <c r="B6" s="326" t="n"/>
      <c r="C6" s="319" t="n"/>
      <c r="D6" s="318" t="n"/>
      <c r="E6" s="320" t="n"/>
      <c r="F6" s="321" t="n"/>
      <c r="G6" s="327" t="n"/>
      <c r="H6" s="321" t="n"/>
      <c r="I6" s="327" t="n"/>
      <c r="J6" s="341">
        <f>IF(AND(L6="Закрыт",ISNUMBER(F6),ISNUMBER(H6)),ROUND(H6-F6,8),"")</f>
        <v/>
      </c>
      <c r="K6" s="342">
        <f>IF(AND(L6="Закрыт",ISNUMBER(G6),ISNUMBER(I6)),ROUND(I6-G6,8),"")</f>
        <v/>
      </c>
      <c r="L6" s="328" t="n"/>
      <c r="M6" s="321" t="n"/>
      <c r="N6" s="327" t="n"/>
    </row>
    <row r="7" ht="22" customHeight="1">
      <c r="B7" s="323" t="n"/>
      <c r="C7" s="314" t="n"/>
      <c r="D7" s="313" t="n"/>
      <c r="E7" s="315" t="n"/>
      <c r="F7" s="316" t="n"/>
      <c r="G7" s="324" t="n"/>
      <c r="H7" s="316" t="n"/>
      <c r="I7" s="324" t="n"/>
      <c r="J7" s="339">
        <f>IF(AND(L7="Закрыт",ISNUMBER(F7),ISNUMBER(H7)),ROUND(H7-F7,8),"")</f>
        <v/>
      </c>
      <c r="K7" s="340">
        <f>IF(AND(L7="Закрыт",ISNUMBER(G7),ISNUMBER(I7)),ROUND(I7-G7,8),"")</f>
        <v/>
      </c>
      <c r="L7" s="325" t="n"/>
      <c r="M7" s="316" t="n"/>
      <c r="N7" s="324" t="n"/>
    </row>
    <row r="8" ht="22" customHeight="1">
      <c r="B8" s="326" t="n"/>
      <c r="C8" s="319" t="n"/>
      <c r="D8" s="318" t="n"/>
      <c r="E8" s="320" t="n"/>
      <c r="F8" s="321" t="n"/>
      <c r="G8" s="327" t="n"/>
      <c r="H8" s="321" t="n"/>
      <c r="I8" s="327" t="n"/>
      <c r="J8" s="341">
        <f>IF(AND(L8="Закрыт",ISNUMBER(F8),ISNUMBER(H8)),ROUND(H8-F8,8),"")</f>
        <v/>
      </c>
      <c r="K8" s="342">
        <f>IF(AND(L8="Закрыт",ISNUMBER(G8),ISNUMBER(I8)),ROUND(I8-G8,8),"")</f>
        <v/>
      </c>
      <c r="L8" s="328" t="n"/>
      <c r="M8" s="321" t="n"/>
      <c r="N8" s="327" t="n"/>
    </row>
    <row r="9" ht="22" customHeight="1">
      <c r="B9" s="323" t="n"/>
      <c r="C9" s="314" t="n"/>
      <c r="D9" s="313" t="n"/>
      <c r="E9" s="315" t="n"/>
      <c r="F9" s="316" t="n"/>
      <c r="G9" s="324" t="n"/>
      <c r="H9" s="316" t="n"/>
      <c r="I9" s="324" t="n"/>
      <c r="J9" s="339">
        <f>IF(AND(L9="Закрыт",ISNUMBER(F9),ISNUMBER(H9)),ROUND(H9-F9,8),"")</f>
        <v/>
      </c>
      <c r="K9" s="340">
        <f>IF(AND(L9="Закрыт",ISNUMBER(G9),ISNUMBER(I9)),ROUND(I9-G9,8),"")</f>
        <v/>
      </c>
      <c r="L9" s="325" t="n"/>
      <c r="M9" s="316" t="n"/>
      <c r="N9" s="324" t="n"/>
    </row>
    <row r="10" ht="22" customHeight="1">
      <c r="B10" s="326" t="n"/>
      <c r="C10" s="319" t="n"/>
      <c r="D10" s="318" t="n"/>
      <c r="E10" s="320" t="n"/>
      <c r="F10" s="321" t="n"/>
      <c r="G10" s="327" t="n"/>
      <c r="H10" s="321" t="n"/>
      <c r="I10" s="327" t="n"/>
      <c r="J10" s="341">
        <f>IF(AND(L10="Закрыт",ISNUMBER(F10),ISNUMBER(H10)),ROUND(H10-F10,8),"")</f>
        <v/>
      </c>
      <c r="K10" s="342">
        <f>IF(AND(L10="Закрыт",ISNUMBER(G10),ISNUMBER(I10)),ROUND(I10-G10,8),"")</f>
        <v/>
      </c>
      <c r="L10" s="328" t="n"/>
      <c r="M10" s="321" t="n"/>
      <c r="N10" s="327" t="n"/>
    </row>
    <row r="11" ht="22" customHeight="1">
      <c r="B11" s="323" t="n"/>
      <c r="C11" s="314" t="n"/>
      <c r="D11" s="313" t="n"/>
      <c r="E11" s="315" t="n"/>
      <c r="F11" s="316" t="n"/>
      <c r="G11" s="324" t="n"/>
      <c r="H11" s="316" t="n"/>
      <c r="I11" s="324" t="n"/>
      <c r="J11" s="339">
        <f>IF(AND(L11="Закрыт",ISNUMBER(F11),ISNUMBER(H11)),ROUND(H11-F11,8),"")</f>
        <v/>
      </c>
      <c r="K11" s="340">
        <f>IF(AND(L11="Закрыт",ISNUMBER(G11),ISNUMBER(I11)),ROUND(I11-G11,8),"")</f>
        <v/>
      </c>
      <c r="L11" s="325" t="n"/>
      <c r="M11" s="316" t="n"/>
      <c r="N11" s="324" t="n"/>
    </row>
    <row r="12" ht="22" customHeight="1">
      <c r="B12" s="326" t="n"/>
      <c r="C12" s="319" t="n"/>
      <c r="D12" s="318" t="n"/>
      <c r="E12" s="320" t="n"/>
      <c r="F12" s="321" t="n"/>
      <c r="G12" s="327" t="n"/>
      <c r="H12" s="321" t="n"/>
      <c r="I12" s="327" t="n"/>
      <c r="J12" s="341">
        <f>IF(AND(L12="Закрыт",ISNUMBER(F12),ISNUMBER(H12)),ROUND(H12-F12,8),"")</f>
        <v/>
      </c>
      <c r="K12" s="342">
        <f>IF(AND(L12="Закрыт",ISNUMBER(G12),ISNUMBER(I12)),ROUND(I12-G12,8),"")</f>
        <v/>
      </c>
      <c r="L12" s="328" t="n"/>
      <c r="M12" s="321" t="n"/>
      <c r="N12" s="327" t="n"/>
    </row>
    <row r="13" ht="22" customHeight="1">
      <c r="B13" s="323" t="n"/>
      <c r="C13" s="314" t="n"/>
      <c r="D13" s="313" t="n"/>
      <c r="E13" s="315" t="n"/>
      <c r="F13" s="316" t="n"/>
      <c r="G13" s="324" t="n"/>
      <c r="H13" s="316" t="n"/>
      <c r="I13" s="324" t="n"/>
      <c r="J13" s="339">
        <f>IF(AND(L13="Закрыт",ISNUMBER(F13),ISNUMBER(H13)),ROUND(H13-F13,8),"")</f>
        <v/>
      </c>
      <c r="K13" s="340">
        <f>IF(AND(L13="Закрыт",ISNUMBER(G13),ISNUMBER(I13)),ROUND(I13-G13,8),"")</f>
        <v/>
      </c>
      <c r="L13" s="325" t="n"/>
      <c r="M13" s="316" t="n"/>
      <c r="N13" s="324" t="n"/>
    </row>
    <row r="14" ht="22" customHeight="1">
      <c r="B14" s="326" t="n"/>
      <c r="C14" s="319" t="n"/>
      <c r="D14" s="318" t="n"/>
      <c r="E14" s="320" t="n"/>
      <c r="F14" s="321" t="n"/>
      <c r="G14" s="327" t="n"/>
      <c r="H14" s="321" t="n"/>
      <c r="I14" s="327" t="n"/>
      <c r="J14" s="341">
        <f>IF(AND(L14="Закрыт",ISNUMBER(F14),ISNUMBER(H14)),ROUND(H14-F14,8),"")</f>
        <v/>
      </c>
      <c r="K14" s="342">
        <f>IF(AND(L14="Закрыт",ISNUMBER(G14),ISNUMBER(I14)),ROUND(I14-G14,8),"")</f>
        <v/>
      </c>
      <c r="L14" s="328" t="n"/>
      <c r="M14" s="321" t="n"/>
      <c r="N14" s="327" t="n"/>
    </row>
    <row r="15" ht="22" customHeight="1">
      <c r="B15" s="323" t="n"/>
      <c r="C15" s="314" t="n"/>
      <c r="D15" s="313" t="n"/>
      <c r="E15" s="315" t="n"/>
      <c r="F15" s="316" t="n"/>
      <c r="G15" s="324" t="n"/>
      <c r="H15" s="316" t="n"/>
      <c r="I15" s="324" t="n"/>
      <c r="J15" s="339">
        <f>IF(AND(L15="Закрыт",ISNUMBER(F15),ISNUMBER(H15)),ROUND(H15-F15,8),"")</f>
        <v/>
      </c>
      <c r="K15" s="340">
        <f>IF(AND(L15="Закрыт",ISNUMBER(G15),ISNUMBER(I15)),ROUND(I15-G15,8),"")</f>
        <v/>
      </c>
      <c r="L15" s="325" t="n"/>
      <c r="M15" s="316" t="n"/>
      <c r="N15" s="324" t="n"/>
    </row>
    <row r="16" ht="22" customHeight="1">
      <c r="B16" s="326" t="n"/>
      <c r="C16" s="319" t="n"/>
      <c r="D16" s="318" t="n"/>
      <c r="E16" s="320" t="n"/>
      <c r="F16" s="321" t="n"/>
      <c r="G16" s="327" t="n"/>
      <c r="H16" s="321" t="n"/>
      <c r="I16" s="327" t="n"/>
      <c r="J16" s="341">
        <f>IF(AND(L16="Закрыт",ISNUMBER(F16),ISNUMBER(H16)),ROUND(H16-F16,8),"")</f>
        <v/>
      </c>
      <c r="K16" s="342">
        <f>IF(AND(L16="Закрыт",ISNUMBER(G16),ISNUMBER(I16)),ROUND(I16-G16,8),"")</f>
        <v/>
      </c>
      <c r="L16" s="328" t="n"/>
      <c r="M16" s="321" t="n"/>
      <c r="N16" s="327" t="n"/>
    </row>
    <row r="17" ht="22" customHeight="1">
      <c r="B17" s="323" t="n"/>
      <c r="C17" s="314" t="n"/>
      <c r="D17" s="313" t="n"/>
      <c r="E17" s="315" t="n"/>
      <c r="F17" s="316" t="n"/>
      <c r="G17" s="324" t="n"/>
      <c r="H17" s="316" t="n"/>
      <c r="I17" s="324" t="n"/>
      <c r="J17" s="339">
        <f>IF(AND(L17="Закрыт",ISNUMBER(F17),ISNUMBER(H17)),ROUND(H17-F17,8),"")</f>
        <v/>
      </c>
      <c r="K17" s="340">
        <f>IF(AND(L17="Закрыт",ISNUMBER(G17),ISNUMBER(I17)),ROUND(I17-G17,8),"")</f>
        <v/>
      </c>
      <c r="L17" s="325" t="n"/>
      <c r="M17" s="316" t="n"/>
      <c r="N17" s="324" t="n"/>
    </row>
    <row r="18" ht="22" customHeight="1">
      <c r="B18" s="326" t="n"/>
      <c r="C18" s="319" t="n"/>
      <c r="D18" s="318" t="n"/>
      <c r="E18" s="320" t="n"/>
      <c r="F18" s="321" t="n"/>
      <c r="G18" s="327" t="n"/>
      <c r="H18" s="321" t="n"/>
      <c r="I18" s="327" t="n"/>
      <c r="J18" s="341">
        <f>IF(AND(L18="Закрыт",ISNUMBER(F18),ISNUMBER(H18)),ROUND(H18-F18,8),"")</f>
        <v/>
      </c>
      <c r="K18" s="342">
        <f>IF(AND(L18="Закрыт",ISNUMBER(G18),ISNUMBER(I18)),ROUND(I18-G18,8),"")</f>
        <v/>
      </c>
      <c r="L18" s="328" t="n"/>
      <c r="M18" s="321" t="n"/>
      <c r="N18" s="327" t="n"/>
    </row>
    <row r="19" ht="22" customHeight="1">
      <c r="B19" s="323" t="n"/>
      <c r="C19" s="314" t="n"/>
      <c r="D19" s="313" t="n"/>
      <c r="E19" s="315" t="n"/>
      <c r="F19" s="316" t="n"/>
      <c r="G19" s="324" t="n"/>
      <c r="H19" s="316" t="n"/>
      <c r="I19" s="324" t="n"/>
      <c r="J19" s="339">
        <f>IF(AND(L19="Закрыт",ISNUMBER(F19),ISNUMBER(H19)),ROUND(H19-F19,8),"")</f>
        <v/>
      </c>
      <c r="K19" s="340">
        <f>IF(AND(L19="Закрыт",ISNUMBER(G19),ISNUMBER(I19)),ROUND(I19-G19,8),"")</f>
        <v/>
      </c>
      <c r="L19" s="325" t="n"/>
      <c r="M19" s="316" t="n"/>
      <c r="N19" s="324" t="n"/>
    </row>
    <row r="20" ht="22" customHeight="1">
      <c r="B20" s="326" t="n"/>
      <c r="C20" s="319" t="n"/>
      <c r="D20" s="318" t="n"/>
      <c r="E20" s="320" t="n"/>
      <c r="F20" s="321" t="n"/>
      <c r="G20" s="327" t="n"/>
      <c r="H20" s="321" t="n"/>
      <c r="I20" s="327" t="n"/>
      <c r="J20" s="341">
        <f>IF(AND(L20="Закрыт",ISNUMBER(F20),ISNUMBER(H20)),ROUND(H20-F20,8),"")</f>
        <v/>
      </c>
      <c r="K20" s="342">
        <f>IF(AND(L20="Закрыт",ISNUMBER(G20),ISNUMBER(I20)),ROUND(I20-G20,8),"")</f>
        <v/>
      </c>
      <c r="L20" s="328" t="n"/>
      <c r="M20" s="321" t="n"/>
      <c r="N20" s="327" t="n"/>
    </row>
    <row r="21" ht="22" customHeight="1">
      <c r="B21" s="323" t="n"/>
      <c r="C21" s="314" t="n"/>
      <c r="D21" s="313" t="n"/>
      <c r="E21" s="315" t="n"/>
      <c r="F21" s="316" t="n"/>
      <c r="G21" s="324" t="n"/>
      <c r="H21" s="316" t="n"/>
      <c r="I21" s="324" t="n"/>
      <c r="J21" s="339">
        <f>IF(AND(L21="Закрыт",ISNUMBER(F21),ISNUMBER(H21)),ROUND(H21-F21,8),"")</f>
        <v/>
      </c>
      <c r="K21" s="340">
        <f>IF(AND(L21="Закрыт",ISNUMBER(G21),ISNUMBER(I21)),ROUND(I21-G21,8),"")</f>
        <v/>
      </c>
      <c r="L21" s="325" t="n"/>
      <c r="M21" s="316" t="n"/>
      <c r="N21" s="324" t="n"/>
    </row>
    <row r="22" ht="22" customHeight="1">
      <c r="B22" s="326" t="n"/>
      <c r="C22" s="319" t="n"/>
      <c r="D22" s="318" t="n"/>
      <c r="E22" s="320" t="n"/>
      <c r="F22" s="321" t="n"/>
      <c r="G22" s="327" t="n"/>
      <c r="H22" s="321" t="n"/>
      <c r="I22" s="327" t="n"/>
      <c r="J22" s="341">
        <f>IF(AND(L22="Закрыт",ISNUMBER(F22),ISNUMBER(H22)),ROUND(H22-F22,8),"")</f>
        <v/>
      </c>
      <c r="K22" s="342">
        <f>IF(AND(L22="Закрыт",ISNUMBER(G22),ISNUMBER(I22)),ROUND(I22-G22,8),"")</f>
        <v/>
      </c>
      <c r="L22" s="328" t="n"/>
      <c r="M22" s="321" t="n"/>
      <c r="N22" s="327" t="n"/>
    </row>
    <row r="23" ht="22" customHeight="1">
      <c r="B23" s="323" t="n"/>
      <c r="C23" s="314" t="n"/>
      <c r="D23" s="313" t="n"/>
      <c r="E23" s="315" t="n"/>
      <c r="F23" s="316" t="n"/>
      <c r="G23" s="324" t="n"/>
      <c r="H23" s="316" t="n"/>
      <c r="I23" s="324" t="n"/>
      <c r="J23" s="339">
        <f>IF(AND(L23="Закрыт",ISNUMBER(F23),ISNUMBER(H23)),ROUND(H23-F23,8),"")</f>
        <v/>
      </c>
      <c r="K23" s="340">
        <f>IF(AND(L23="Закрыт",ISNUMBER(G23),ISNUMBER(I23)),ROUND(I23-G23,8),"")</f>
        <v/>
      </c>
      <c r="L23" s="325" t="n"/>
      <c r="M23" s="316" t="n"/>
      <c r="N23" s="324" t="n"/>
    </row>
    <row r="24" ht="22" customHeight="1">
      <c r="B24" s="326" t="n"/>
      <c r="C24" s="319" t="n"/>
      <c r="D24" s="318" t="n"/>
      <c r="E24" s="320" t="n"/>
      <c r="F24" s="321" t="n"/>
      <c r="G24" s="327" t="n"/>
      <c r="H24" s="321" t="n"/>
      <c r="I24" s="327" t="n"/>
      <c r="J24" s="341">
        <f>IF(AND(L24="Закрыт",ISNUMBER(F24),ISNUMBER(H24)),ROUND(H24-F24,8),"")</f>
        <v/>
      </c>
      <c r="K24" s="342">
        <f>IF(AND(L24="Закрыт",ISNUMBER(G24),ISNUMBER(I24)),ROUND(I24-G24,8),"")</f>
        <v/>
      </c>
      <c r="L24" s="328" t="n"/>
      <c r="M24" s="321" t="n"/>
      <c r="N24" s="327" t="n"/>
    </row>
    <row r="25" ht="22" customHeight="1">
      <c r="B25" s="323" t="n"/>
      <c r="C25" s="314" t="n"/>
      <c r="D25" s="313" t="n"/>
      <c r="E25" s="315" t="n"/>
      <c r="F25" s="316" t="n"/>
      <c r="G25" s="324" t="n"/>
      <c r="H25" s="316" t="n"/>
      <c r="I25" s="324" t="n"/>
      <c r="J25" s="339">
        <f>IF(AND(L25="Закрыт",ISNUMBER(F25),ISNUMBER(H25)),ROUND(H25-F25,8),"")</f>
        <v/>
      </c>
      <c r="K25" s="340">
        <f>IF(AND(L25="Закрыт",ISNUMBER(G25),ISNUMBER(I25)),ROUND(I25-G25,8),"")</f>
        <v/>
      </c>
      <c r="L25" s="325" t="n"/>
      <c r="M25" s="316" t="n"/>
      <c r="N25" s="324" t="n"/>
    </row>
    <row r="26" ht="22" customHeight="1">
      <c r="B26" s="326" t="n"/>
      <c r="C26" s="319" t="n"/>
      <c r="D26" s="318" t="n"/>
      <c r="E26" s="320" t="n"/>
      <c r="F26" s="321" t="n"/>
      <c r="G26" s="327" t="n"/>
      <c r="H26" s="321" t="n"/>
      <c r="I26" s="327" t="n"/>
      <c r="J26" s="341">
        <f>IF(AND(L26="Закрыт",ISNUMBER(F26),ISNUMBER(H26)),ROUND(H26-F26,8),"")</f>
        <v/>
      </c>
      <c r="K26" s="342">
        <f>IF(AND(L26="Закрыт",ISNUMBER(G26),ISNUMBER(I26)),ROUND(I26-G26,8),"")</f>
        <v/>
      </c>
      <c r="L26" s="328" t="n"/>
      <c r="M26" s="321" t="n"/>
      <c r="N26" s="327" t="n"/>
    </row>
    <row r="27" ht="22" customHeight="1">
      <c r="B27" s="323" t="n"/>
      <c r="C27" s="314" t="n"/>
      <c r="D27" s="313" t="n"/>
      <c r="E27" s="315" t="n"/>
      <c r="F27" s="316" t="n"/>
      <c r="G27" s="324" t="n"/>
      <c r="H27" s="316" t="n"/>
      <c r="I27" s="324" t="n"/>
      <c r="J27" s="339">
        <f>IF(AND(L27="Закрыт",ISNUMBER(F27),ISNUMBER(H27)),ROUND(H27-F27,8),"")</f>
        <v/>
      </c>
      <c r="K27" s="340">
        <f>IF(AND(L27="Закрыт",ISNUMBER(G27),ISNUMBER(I27)),ROUND(I27-G27,8),"")</f>
        <v/>
      </c>
      <c r="L27" s="325" t="n"/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341">
        <f>IF(AND(L28="Закрыт",ISNUMBER(F28),ISNUMBER(H28)),ROUND(H28-F28,8),"")</f>
        <v/>
      </c>
      <c r="K28" s="342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339">
        <f>IF(AND(L29="Закрыт",ISNUMBER(F29),ISNUMBER(H29)),ROUND(H29-F29,8),"")</f>
        <v/>
      </c>
      <c r="K29" s="340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341">
        <f>IF(AND(L30="Закрыт",ISNUMBER(F30),ISNUMBER(H30)),ROUND(H30-F30,8),"")</f>
        <v/>
      </c>
      <c r="K30" s="342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339">
        <f>IF(AND(L31="Закрыт",ISNUMBER(F31),ISNUMBER(H31)),ROUND(H31-F31,8),"")</f>
        <v/>
      </c>
      <c r="K31" s="340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341">
        <f>IF(AND(L32="Закрыт",ISNUMBER(F32),ISNUMBER(H32)),ROUND(H32-F32,8),"")</f>
        <v/>
      </c>
      <c r="K32" s="342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339">
        <f>IF(AND(L33="Закрыт",ISNUMBER(F33),ISNUMBER(H33)),ROUND(H33-F33,8),"")</f>
        <v/>
      </c>
      <c r="K33" s="340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341">
        <f>IF(AND(L34="Закрыт",ISNUMBER(F34),ISNUMBER(H34)),ROUND(H34-F34,8),"")</f>
        <v/>
      </c>
      <c r="K34" s="342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339">
        <f>IF(AND(L35="Закрыт",ISNUMBER(F35),ISNUMBER(H35)),ROUND(H35-F35,8),"")</f>
        <v/>
      </c>
      <c r="K35" s="340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341">
        <f>IF(AND(L36="Закрыт",ISNUMBER(F36),ISNUMBER(H36)),ROUND(H36-F36,8),"")</f>
        <v/>
      </c>
      <c r="K36" s="342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339">
        <f>IF(AND(L37="Закрыт",ISNUMBER(F37),ISNUMBER(H37)),ROUND(H37-F37,8),"")</f>
        <v/>
      </c>
      <c r="K37" s="340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341">
        <f>IF(AND(L38="Закрыт",ISNUMBER(F38),ISNUMBER(H38)),ROUND(H38-F38,8),"")</f>
        <v/>
      </c>
      <c r="K38" s="342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339">
        <f>IF(AND(L39="Закрыт",ISNUMBER(F39),ISNUMBER(H39)),ROUND(H39-F39,8),"")</f>
        <v/>
      </c>
      <c r="K39" s="340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341">
        <f>IF(AND(L40="Закрыт",ISNUMBER(F40),ISNUMBER(H40)),ROUND(H40-F40,8),"")</f>
        <v/>
      </c>
      <c r="K40" s="342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339">
        <f>IF(AND(L41="Закрыт",ISNUMBER(F41),ISNUMBER(H41)),ROUND(H41-F41,8),"")</f>
        <v/>
      </c>
      <c r="K41" s="340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341">
        <f>IF(AND(L42="Закрыт",ISNUMBER(F42),ISNUMBER(H42)),ROUND(H42-F42,8),"")</f>
        <v/>
      </c>
      <c r="K42" s="342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339">
        <f>IF(AND(L43="Закрыт",ISNUMBER(F43),ISNUMBER(H43)),ROUND(H43-F43,8),"")</f>
        <v/>
      </c>
      <c r="K43" s="340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341">
        <f>IF(AND(L44="Закрыт",ISNUMBER(F44),ISNUMBER(H44)),ROUND(H44-F44,8),"")</f>
        <v/>
      </c>
      <c r="K44" s="342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339">
        <f>IF(AND(L45="Закрыт",ISNUMBER(F45),ISNUMBER(H45)),ROUND(H45-F45,8),"")</f>
        <v/>
      </c>
      <c r="K45" s="340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341">
        <f>IF(AND(L46="Закрыт",ISNUMBER(F46),ISNUMBER(H46)),ROUND(H46-F46,8),"")</f>
        <v/>
      </c>
      <c r="K46" s="342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339">
        <f>IF(AND(L47="Закрыт",ISNUMBER(F47),ISNUMBER(H47)),ROUND(H47-F47,8),"")</f>
        <v/>
      </c>
      <c r="K47" s="340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341">
        <f>IF(AND(L48="Закрыт",ISNUMBER(F48),ISNUMBER(H48)),ROUND(H48-F48,8),"")</f>
        <v/>
      </c>
      <c r="K48" s="342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339">
        <f>IF(AND(L49="Закрыт",ISNUMBER(F49),ISNUMBER(H49)),ROUND(H49-F49,8),"")</f>
        <v/>
      </c>
      <c r="K49" s="340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341">
        <f>IF(AND(L50="Закрыт",ISNUMBER(F50),ISNUMBER(H50)),ROUND(H50-F50,8),"")</f>
        <v/>
      </c>
      <c r="K50" s="342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339">
        <f>IF(AND(L51="Закрыт",ISNUMBER(F51),ISNUMBER(H51)),ROUND(H51-F51,8),"")</f>
        <v/>
      </c>
      <c r="K51" s="340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341">
        <f>IF(AND(L52="Закрыт",ISNUMBER(F52),ISNUMBER(H52)),ROUND(H52-F52,8),"")</f>
        <v/>
      </c>
      <c r="K52" s="342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339">
        <f>IF(AND(L53="Закрыт",ISNUMBER(F53),ISNUMBER(H53)),ROUND(H53-F53,8),"")</f>
        <v/>
      </c>
      <c r="K53" s="340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341">
        <f>IF(AND(L54="Закрыт",ISNUMBER(F54),ISNUMBER(H54)),ROUND(H54-F54,8),"")</f>
        <v/>
      </c>
      <c r="K54" s="342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339">
        <f>IF(AND(L55="Закрыт",ISNUMBER(F55),ISNUMBER(H55)),ROUND(H55-F55,8),"")</f>
        <v/>
      </c>
      <c r="K55" s="340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341">
        <f>IF(AND(L56="Закрыт",ISNUMBER(F56),ISNUMBER(H56)),ROUND(H56-F56,8),"")</f>
        <v/>
      </c>
      <c r="K56" s="342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339">
        <f>IF(AND(L57="Закрыт",ISNUMBER(F57),ISNUMBER(H57)),ROUND(H57-F57,8),"")</f>
        <v/>
      </c>
      <c r="K57" s="340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341">
        <f>IF(AND(L58="Закрыт",ISNUMBER(F58),ISNUMBER(H58)),ROUND(H58-F58,8),"")</f>
        <v/>
      </c>
      <c r="K58" s="342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339">
        <f>IF(AND(L59="Закрыт",ISNUMBER(F59),ISNUMBER(H59)),ROUND(H59-F59,8),"")</f>
        <v/>
      </c>
      <c r="K59" s="340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341">
        <f>IF(AND(L60="Закрыт",ISNUMBER(F60),ISNUMBER(H60)),ROUND(H60-F60,8),"")</f>
        <v/>
      </c>
      <c r="K60" s="342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339">
        <f>IF(AND(L61="Закрыт",ISNUMBER(F61),ISNUMBER(H61)),ROUND(H61-F61,8),"")</f>
        <v/>
      </c>
      <c r="K61" s="340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341">
        <f>IF(AND(L62="Закрыт",ISNUMBER(F62),ISNUMBER(H62)),ROUND(H62-F62,8),"")</f>
        <v/>
      </c>
      <c r="K62" s="342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339">
        <f>IF(AND(L63="Закрыт",ISNUMBER(F63),ISNUMBER(H63)),ROUND(H63-F63,8),"")</f>
        <v/>
      </c>
      <c r="K63" s="340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341">
        <f>IF(AND(L64="Закрыт",ISNUMBER(F64),ISNUMBER(H64)),ROUND(H64-F64,8),"")</f>
        <v/>
      </c>
      <c r="K64" s="342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339">
        <f>IF(AND(L65="Закрыт",ISNUMBER(F65),ISNUMBER(H65)),ROUND(H65-F65,8),"")</f>
        <v/>
      </c>
      <c r="K65" s="340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341">
        <f>IF(AND(L66="Закрыт",ISNUMBER(F66),ISNUMBER(H66)),ROUND(H66-F66,8),"")</f>
        <v/>
      </c>
      <c r="K66" s="342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339">
        <f>IF(AND(L67="Закрыт",ISNUMBER(F67),ISNUMBER(H67)),ROUND(H67-F67,8),"")</f>
        <v/>
      </c>
      <c r="K67" s="340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341">
        <f>IF(AND(L68="Закрыт",ISNUMBER(F68),ISNUMBER(H68)),ROUND(H68-F68,8),"")</f>
        <v/>
      </c>
      <c r="K68" s="342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339">
        <f>IF(AND(L69="Закрыт",ISNUMBER(F69),ISNUMBER(H69)),ROUND(H69-F69,8),"")</f>
        <v/>
      </c>
      <c r="K69" s="340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341">
        <f>IF(AND(L70="Закрыт",ISNUMBER(F70),ISNUMBER(H70)),ROUND(H70-F70,8),"")</f>
        <v/>
      </c>
      <c r="K70" s="342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339">
        <f>IF(AND(L71="Закрыт",ISNUMBER(F71),ISNUMBER(H71)),ROUND(H71-F71,8),"")</f>
        <v/>
      </c>
      <c r="K71" s="340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341">
        <f>IF(AND(L72="Закрыт",ISNUMBER(F72),ISNUMBER(H72)),ROUND(H72-F72,8),"")</f>
        <v/>
      </c>
      <c r="K72" s="342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339">
        <f>IF(AND(L73="Закрыт",ISNUMBER(F73),ISNUMBER(H73)),ROUND(H73-F73,8),"")</f>
        <v/>
      </c>
      <c r="K73" s="340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341">
        <f>IF(AND(L74="Закрыт",ISNUMBER(F74),ISNUMBER(H74)),ROUND(H74-F74,8),"")</f>
        <v/>
      </c>
      <c r="K74" s="342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339">
        <f>IF(AND(L75="Закрыт",ISNUMBER(F75),ISNUMBER(H75)),ROUND(H75-F75,8),"")</f>
        <v/>
      </c>
      <c r="K75" s="340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341">
        <f>IF(AND(L76="Закрыт",ISNUMBER(F76),ISNUMBER(H76)),ROUND(H76-F76,8),"")</f>
        <v/>
      </c>
      <c r="K76" s="342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339">
        <f>IF(AND(L77="Закрыт",ISNUMBER(F77),ISNUMBER(H77)),ROUND(H77-F77,8),"")</f>
        <v/>
      </c>
      <c r="K77" s="340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341">
        <f>IF(AND(L78="Закрыт",ISNUMBER(F78),ISNUMBER(H78)),ROUND(H78-F78,8),"")</f>
        <v/>
      </c>
      <c r="K78" s="342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339">
        <f>IF(AND(L79="Закрыт",ISNUMBER(F79),ISNUMBER(H79)),ROUND(H79-F79,8),"")</f>
        <v/>
      </c>
      <c r="K79" s="340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341">
        <f>IF(AND(L80="Закрыт",ISNUMBER(F80),ISNUMBER(H80)),ROUND(H80-F80,8),"")</f>
        <v/>
      </c>
      <c r="K80" s="342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339">
        <f>IF(AND(L81="Закрыт",ISNUMBER(F81),ISNUMBER(H81)),ROUND(H81-F81,8),"")</f>
        <v/>
      </c>
      <c r="K81" s="340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341">
        <f>IF(AND(L82="Закрыт",ISNUMBER(F82),ISNUMBER(H82)),ROUND(H82-F82,8),"")</f>
        <v/>
      </c>
      <c r="K82" s="342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339">
        <f>IF(AND(L83="Закрыт",ISNUMBER(F83),ISNUMBER(H83)),ROUND(H83-F83,8),"")</f>
        <v/>
      </c>
      <c r="K83" s="340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341">
        <f>IF(AND(L84="Закрыт",ISNUMBER(F84),ISNUMBER(H84)),ROUND(H84-F84,8),"")</f>
        <v/>
      </c>
      <c r="K84" s="342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339">
        <f>IF(AND(L85="Закрыт",ISNUMBER(F85),ISNUMBER(H85)),ROUND(H85-F85,8),"")</f>
        <v/>
      </c>
      <c r="K85" s="340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341">
        <f>IF(AND(L86="Закрыт",ISNUMBER(F86),ISNUMBER(H86)),ROUND(H86-F86,8),"")</f>
        <v/>
      </c>
      <c r="K86" s="342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339">
        <f>IF(AND(L87="Закрыт",ISNUMBER(F87),ISNUMBER(H87)),ROUND(H87-F87,8),"")</f>
        <v/>
      </c>
      <c r="K87" s="340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341">
        <f>IF(AND(L88="Закрыт",ISNUMBER(F88),ISNUMBER(H88)),ROUND(H88-F88,8),"")</f>
        <v/>
      </c>
      <c r="K88" s="342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339">
        <f>IF(AND(L89="Закрыт",ISNUMBER(F89),ISNUMBER(H89)),ROUND(H89-F89,8),"")</f>
        <v/>
      </c>
      <c r="K89" s="340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341">
        <f>IF(AND(L90="Закрыт",ISNUMBER(F90),ISNUMBER(H90)),ROUND(H90-F90,8),"")</f>
        <v/>
      </c>
      <c r="K90" s="342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339">
        <f>IF(AND(L91="Закрыт",ISNUMBER(F91),ISNUMBER(H91)),ROUND(H91-F91,8),"")</f>
        <v/>
      </c>
      <c r="K91" s="340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341">
        <f>IF(AND(L92="Закрыт",ISNUMBER(F92),ISNUMBER(H92)),ROUND(H92-F92,8),"")</f>
        <v/>
      </c>
      <c r="K92" s="342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339">
        <f>IF(AND(L93="Закрыт",ISNUMBER(F93),ISNUMBER(H93)),ROUND(H93-F93,8),"")</f>
        <v/>
      </c>
      <c r="K93" s="340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341">
        <f>IF(AND(L94="Закрыт",ISNUMBER(F94),ISNUMBER(H94)),ROUND(H94-F94,8),"")</f>
        <v/>
      </c>
      <c r="K94" s="342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339">
        <f>IF(AND(L95="Закрыт",ISNUMBER(F95),ISNUMBER(H95)),ROUND(H95-F95,8),"")</f>
        <v/>
      </c>
      <c r="K95" s="340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341">
        <f>IF(AND(L96="Закрыт",ISNUMBER(F96),ISNUMBER(H96)),ROUND(H96-F96,8),"")</f>
        <v/>
      </c>
      <c r="K96" s="342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339">
        <f>IF(AND(L97="Закрыт",ISNUMBER(F97),ISNUMBER(H97)),ROUND(H97-F97,8),"")</f>
        <v/>
      </c>
      <c r="K97" s="340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341">
        <f>IF(AND(L98="Закрыт",ISNUMBER(F98),ISNUMBER(H98)),ROUND(H98-F98,8),"")</f>
        <v/>
      </c>
      <c r="K98" s="342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339">
        <f>IF(AND(L99="Закрыт",ISNUMBER(F99),ISNUMBER(H99)),ROUND(H99-F99,8),"")</f>
        <v/>
      </c>
      <c r="K99" s="340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341">
        <f>IF(AND(L100="Закрыт",ISNUMBER(F100),ISNUMBER(H100)),ROUND(H100-F100,8),"")</f>
        <v/>
      </c>
      <c r="K100" s="342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339">
        <f>IF(AND(L101="Закрыт",ISNUMBER(F101),ISNUMBER(H101)),ROUND(H101-F101,8),"")</f>
        <v/>
      </c>
      <c r="K101" s="340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341">
        <f>IF(AND(L102="Закрыт",ISNUMBER(F102),ISNUMBER(H102)),ROUND(H102-F102,8),"")</f>
        <v/>
      </c>
      <c r="K102" s="342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339">
        <f>IF(AND(L103="Закрыт",ISNUMBER(F103),ISNUMBER(H103)),ROUND(H103-F103,8),"")</f>
        <v/>
      </c>
      <c r="K103" s="340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341">
        <f>IF(AND(L104="Закрыт",ISNUMBER(F104),ISNUMBER(H104)),ROUND(H104-F104,8),"")</f>
        <v/>
      </c>
      <c r="K104" s="342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339">
        <f>IF(AND(L105="Закрыт",ISNUMBER(F105),ISNUMBER(H105)),ROUND(H105-F105,8),"")</f>
        <v/>
      </c>
      <c r="K105" s="340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341">
        <f>IF(AND(L106="Закрыт",ISNUMBER(F106),ISNUMBER(H106)),ROUND(H106-F106,8),"")</f>
        <v/>
      </c>
      <c r="K106" s="342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339">
        <f>IF(AND(L107="Закрыт",ISNUMBER(F107),ISNUMBER(H107)),ROUND(H107-F107,8),"")</f>
        <v/>
      </c>
      <c r="K107" s="340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341">
        <f>IF(AND(L108="Закрыт",ISNUMBER(F108),ISNUMBER(H108)),ROUND(H108-F108,8),"")</f>
        <v/>
      </c>
      <c r="K108" s="342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339">
        <f>IF(AND(L109="Закрыт",ISNUMBER(F109),ISNUMBER(H109)),ROUND(H109-F109,8),"")</f>
        <v/>
      </c>
      <c r="K109" s="340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341">
        <f>IF(AND(L110="Закрыт",ISNUMBER(F110),ISNUMBER(H110)),ROUND(H110-F110,8),"")</f>
        <v/>
      </c>
      <c r="K110" s="342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339">
        <f>IF(AND(L111="Закрыт",ISNUMBER(F111),ISNUMBER(H111)),ROUND(H111-F111,8),"")</f>
        <v/>
      </c>
      <c r="K111" s="340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341">
        <f>IF(AND(L112="Закрыт",ISNUMBER(F112),ISNUMBER(H112)),ROUND(H112-F112,8),"")</f>
        <v/>
      </c>
      <c r="K112" s="342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339">
        <f>IF(AND(L113="Закрыт",ISNUMBER(F113),ISNUMBER(H113)),ROUND(H113-F113,8),"")</f>
        <v/>
      </c>
      <c r="K113" s="340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341">
        <f>IF(AND(L114="Закрыт",ISNUMBER(F114),ISNUMBER(H114)),ROUND(H114-F114,8),"")</f>
        <v/>
      </c>
      <c r="K114" s="342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339">
        <f>IF(AND(L115="Закрыт",ISNUMBER(F115),ISNUMBER(H115)),ROUND(H115-F115,8),"")</f>
        <v/>
      </c>
      <c r="K115" s="340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341">
        <f>IF(AND(L116="Закрыт",ISNUMBER(F116),ISNUMBER(H116)),ROUND(H116-F116,8),"")</f>
        <v/>
      </c>
      <c r="K116" s="342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339">
        <f>IF(AND(L117="Закрыт",ISNUMBER(F117),ISNUMBER(H117)),ROUND(H117-F117,8),"")</f>
        <v/>
      </c>
      <c r="K117" s="340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341">
        <f>IF(AND(L118="Закрыт",ISNUMBER(F118),ISNUMBER(H118)),ROUND(H118-F118,8),"")</f>
        <v/>
      </c>
      <c r="K118" s="342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339">
        <f>IF(AND(L119="Закрыт",ISNUMBER(F119),ISNUMBER(H119)),ROUND(H119-F119,8),"")</f>
        <v/>
      </c>
      <c r="K119" s="340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341">
        <f>IF(AND(L120="Закрыт",ISNUMBER(F120),ISNUMBER(H120)),ROUND(H120-F120,8),"")</f>
        <v/>
      </c>
      <c r="K120" s="342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339">
        <f>IF(AND(L121="Закрыт",ISNUMBER(F121),ISNUMBER(H121)),ROUND(H121-F121,8),"")</f>
        <v/>
      </c>
      <c r="K121" s="340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341">
        <f>IF(AND(L122="Закрыт",ISNUMBER(F122),ISNUMBER(H122)),ROUND(H122-F122,8),"")</f>
        <v/>
      </c>
      <c r="K122" s="342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339">
        <f>IF(AND(L123="Закрыт",ISNUMBER(F123),ISNUMBER(H123)),ROUND(H123-F123,8),"")</f>
        <v/>
      </c>
      <c r="K123" s="340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341">
        <f>IF(AND(L124="Закрыт",ISNUMBER(F124),ISNUMBER(H124)),ROUND(H124-F124,8),"")</f>
        <v/>
      </c>
      <c r="K124" s="342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339">
        <f>IF(AND(L125="Закрыт",ISNUMBER(F125),ISNUMBER(H125)),ROUND(H125-F125,8),"")</f>
        <v/>
      </c>
      <c r="K125" s="340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341">
        <f>IF(AND(L126="Закрыт",ISNUMBER(F126),ISNUMBER(H126)),ROUND(H126-F126,8),"")</f>
        <v/>
      </c>
      <c r="K126" s="342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339">
        <f>IF(AND(L127="Закрыт",ISNUMBER(F127),ISNUMBER(H127)),ROUND(H127-F127,8),"")</f>
        <v/>
      </c>
      <c r="K127" s="340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341">
        <f>IF(AND(L128="Закрыт",ISNUMBER(F128),ISNUMBER(H128)),ROUND(H128-F128,8),"")</f>
        <v/>
      </c>
      <c r="K128" s="342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339">
        <f>IF(AND(L129="Закрыт",ISNUMBER(F129),ISNUMBER(H129)),ROUND(H129-F129,8),"")</f>
        <v/>
      </c>
      <c r="K129" s="340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341">
        <f>IF(AND(L130="Закрыт",ISNUMBER(F130),ISNUMBER(H130)),ROUND(H130-F130,8),"")</f>
        <v/>
      </c>
      <c r="K130" s="342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339">
        <f>IF(AND(L131="Закрыт",ISNUMBER(F131),ISNUMBER(H131)),ROUND(H131-F131,8),"")</f>
        <v/>
      </c>
      <c r="K131" s="340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341">
        <f>IF(AND(L132="Закрыт",ISNUMBER(F132),ISNUMBER(H132)),ROUND(H132-F132,8),"")</f>
        <v/>
      </c>
      <c r="K132" s="342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339">
        <f>IF(AND(L133="Закрыт",ISNUMBER(F133),ISNUMBER(H133)),ROUND(H133-F133,8),"")</f>
        <v/>
      </c>
      <c r="K133" s="340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341">
        <f>IF(AND(L134="Закрыт",ISNUMBER(F134),ISNUMBER(H134)),ROUND(H134-F134,8),"")</f>
        <v/>
      </c>
      <c r="K134" s="342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339">
        <f>IF(AND(L135="Закрыт",ISNUMBER(F135),ISNUMBER(H135)),ROUND(H135-F135,8),"")</f>
        <v/>
      </c>
      <c r="K135" s="340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341">
        <f>IF(AND(L136="Закрыт",ISNUMBER(F136),ISNUMBER(H136)),ROUND(H136-F136,8),"")</f>
        <v/>
      </c>
      <c r="K136" s="342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339">
        <f>IF(AND(L137="Закрыт",ISNUMBER(F137),ISNUMBER(H137)),ROUND(H137-F137,8),"")</f>
        <v/>
      </c>
      <c r="K137" s="340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341">
        <f>IF(AND(L138="Закрыт",ISNUMBER(F138),ISNUMBER(H138)),ROUND(H138-F138,8),"")</f>
        <v/>
      </c>
      <c r="K138" s="342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339">
        <f>IF(AND(L139="Закрыт",ISNUMBER(F139),ISNUMBER(H139)),ROUND(H139-F139,8),"")</f>
        <v/>
      </c>
      <c r="K139" s="340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341">
        <f>IF(AND(L140="Закрыт",ISNUMBER(F140),ISNUMBER(H140)),ROUND(H140-F140,8),"")</f>
        <v/>
      </c>
      <c r="K140" s="342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339">
        <f>IF(AND(L141="Закрыт",ISNUMBER(F141),ISNUMBER(H141)),ROUND(H141-F141,8),"")</f>
        <v/>
      </c>
      <c r="K141" s="340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341">
        <f>IF(AND(L142="Закрыт",ISNUMBER(F142),ISNUMBER(H142)),ROUND(H142-F142,8),"")</f>
        <v/>
      </c>
      <c r="K142" s="342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339">
        <f>IF(AND(L143="Закрыт",ISNUMBER(F143),ISNUMBER(H143)),ROUND(H143-F143,8),"")</f>
        <v/>
      </c>
      <c r="K143" s="340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341">
        <f>IF(AND(L144="Закрыт",ISNUMBER(F144),ISNUMBER(H144)),ROUND(H144-F144,8),"")</f>
        <v/>
      </c>
      <c r="K144" s="342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339">
        <f>IF(AND(L145="Закрыт",ISNUMBER(F145),ISNUMBER(H145)),ROUND(H145-F145,8),"")</f>
        <v/>
      </c>
      <c r="K145" s="340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341">
        <f>IF(AND(L146="Закрыт",ISNUMBER(F146),ISNUMBER(H146)),ROUND(H146-F146,8),"")</f>
        <v/>
      </c>
      <c r="K146" s="342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339">
        <f>IF(AND(L147="Закрыт",ISNUMBER(F147),ISNUMBER(H147)),ROUND(H147-F147,8),"")</f>
        <v/>
      </c>
      <c r="K147" s="340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341">
        <f>IF(AND(L148="Закрыт",ISNUMBER(F148),ISNUMBER(H148)),ROUND(H148-F148,8),"")</f>
        <v/>
      </c>
      <c r="K148" s="342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339">
        <f>IF(AND(L149="Закрыт",ISNUMBER(F149),ISNUMBER(H149)),ROUND(H149-F149,8),"")</f>
        <v/>
      </c>
      <c r="K149" s="340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341">
        <f>IF(AND(L150="Закрыт",ISNUMBER(F150),ISNUMBER(H150)),ROUND(H150-F150,8),"")</f>
        <v/>
      </c>
      <c r="K150" s="342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339">
        <f>IF(AND(L151="Закрыт",ISNUMBER(F151),ISNUMBER(H151)),ROUND(H151-F151,8),"")</f>
        <v/>
      </c>
      <c r="K151" s="340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341">
        <f>IF(AND(L152="Закрыт",ISNUMBER(F152),ISNUMBER(H152)),ROUND(H152-F152,8),"")</f>
        <v/>
      </c>
      <c r="K152" s="342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339">
        <f>IF(AND(L153="Закрыт",ISNUMBER(F153),ISNUMBER(H153)),ROUND(H153-F153,8),"")</f>
        <v/>
      </c>
      <c r="K153" s="340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341">
        <f>IF(AND(L154="Закрыт",ISNUMBER(F154),ISNUMBER(H154)),ROUND(H154-F154,8),"")</f>
        <v/>
      </c>
      <c r="K154" s="342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339">
        <f>IF(AND(L155="Закрыт",ISNUMBER(F155),ISNUMBER(H155)),ROUND(H155-F155,8),"")</f>
        <v/>
      </c>
      <c r="K155" s="340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341">
        <f>IF(AND(L156="Закрыт",ISNUMBER(F156),ISNUMBER(H156)),ROUND(H156-F156,8),"")</f>
        <v/>
      </c>
      <c r="K156" s="342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339">
        <f>IF(AND(L157="Закрыт",ISNUMBER(F157),ISNUMBER(H157)),ROUND(H157-F157,8),"")</f>
        <v/>
      </c>
      <c r="K157" s="340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341">
        <f>IF(AND(L158="Закрыт",ISNUMBER(F158),ISNUMBER(H158)),ROUND(H158-F158,8),"")</f>
        <v/>
      </c>
      <c r="K158" s="342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339">
        <f>IF(AND(L159="Закрыт",ISNUMBER(F159),ISNUMBER(H159)),ROUND(H159-F159,8),"")</f>
        <v/>
      </c>
      <c r="K159" s="340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341">
        <f>IF(AND(L160="Закрыт",ISNUMBER(F160),ISNUMBER(H160)),ROUND(H160-F160,8),"")</f>
        <v/>
      </c>
      <c r="K160" s="342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339">
        <f>IF(AND(L161="Закрыт",ISNUMBER(F161),ISNUMBER(H161)),ROUND(H161-F161,8),"")</f>
        <v/>
      </c>
      <c r="K161" s="340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341">
        <f>IF(AND(L162="Закрыт",ISNUMBER(F162),ISNUMBER(H162)),ROUND(H162-F162,8),"")</f>
        <v/>
      </c>
      <c r="K162" s="342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339">
        <f>IF(AND(L163="Закрыт",ISNUMBER(F163),ISNUMBER(H163)),ROUND(H163-F163,8),"")</f>
        <v/>
      </c>
      <c r="K163" s="340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341">
        <f>IF(AND(L164="Закрыт",ISNUMBER(F164),ISNUMBER(H164)),ROUND(H164-F164,8),"")</f>
        <v/>
      </c>
      <c r="K164" s="342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339">
        <f>IF(AND(L165="Закрыт",ISNUMBER(F165),ISNUMBER(H165)),ROUND(H165-F165,8),"")</f>
        <v/>
      </c>
      <c r="K165" s="340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341">
        <f>IF(AND(L166="Закрыт",ISNUMBER(F166),ISNUMBER(H166)),ROUND(H166-F166,8),"")</f>
        <v/>
      </c>
      <c r="K166" s="342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339">
        <f>IF(AND(L167="Закрыт",ISNUMBER(F167),ISNUMBER(H167)),ROUND(H167-F167,8),"")</f>
        <v/>
      </c>
      <c r="K167" s="340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341">
        <f>IF(AND(L168="Закрыт",ISNUMBER(F168),ISNUMBER(H168)),ROUND(H168-F168,8),"")</f>
        <v/>
      </c>
      <c r="K168" s="342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339">
        <f>IF(AND(L169="Закрыт",ISNUMBER(F169),ISNUMBER(H169)),ROUND(H169-F169,8),"")</f>
        <v/>
      </c>
      <c r="K169" s="340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341">
        <f>IF(AND(L170="Закрыт",ISNUMBER(F170),ISNUMBER(H170)),ROUND(H170-F170,8),"")</f>
        <v/>
      </c>
      <c r="K170" s="342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339">
        <f>IF(AND(L171="Закрыт",ISNUMBER(F171),ISNUMBER(H171)),ROUND(H171-F171,8),"")</f>
        <v/>
      </c>
      <c r="K171" s="340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341">
        <f>IF(AND(L172="Закрыт",ISNUMBER(F172),ISNUMBER(H172)),ROUND(H172-F172,8),"")</f>
        <v/>
      </c>
      <c r="K172" s="342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339">
        <f>IF(AND(L173="Закрыт",ISNUMBER(F173),ISNUMBER(H173)),ROUND(H173-F173,8),"")</f>
        <v/>
      </c>
      <c r="K173" s="340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341">
        <f>IF(AND(L174="Закрыт",ISNUMBER(F174),ISNUMBER(H174)),ROUND(H174-F174,8),"")</f>
        <v/>
      </c>
      <c r="K174" s="342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339">
        <f>IF(AND(L175="Закрыт",ISNUMBER(F175),ISNUMBER(H175)),ROUND(H175-F175,8),"")</f>
        <v/>
      </c>
      <c r="K175" s="340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341">
        <f>IF(AND(L176="Закрыт",ISNUMBER(F176),ISNUMBER(H176)),ROUND(H176-F176,8),"")</f>
        <v/>
      </c>
      <c r="K176" s="342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339">
        <f>IF(AND(L177="Закрыт",ISNUMBER(F177),ISNUMBER(H177)),ROUND(H177-F177,8),"")</f>
        <v/>
      </c>
      <c r="K177" s="340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341">
        <f>IF(AND(L178="Закрыт",ISNUMBER(F178),ISNUMBER(H178)),ROUND(H178-F178,8),"")</f>
        <v/>
      </c>
      <c r="K178" s="342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339">
        <f>IF(AND(L179="Закрыт",ISNUMBER(F179),ISNUMBER(H179)),ROUND(H179-F179,8),"")</f>
        <v/>
      </c>
      <c r="K179" s="340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341">
        <f>IF(AND(L180="Закрыт",ISNUMBER(F180),ISNUMBER(H180)),ROUND(H180-F180,8),"")</f>
        <v/>
      </c>
      <c r="K180" s="342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339">
        <f>IF(AND(L181="Закрыт",ISNUMBER(F181),ISNUMBER(H181)),ROUND(H181-F181,8),"")</f>
        <v/>
      </c>
      <c r="K181" s="340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341">
        <f>IF(AND(L182="Закрыт",ISNUMBER(F182),ISNUMBER(H182)),ROUND(H182-F182,8),"")</f>
        <v/>
      </c>
      <c r="K182" s="342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339">
        <f>IF(AND(L183="Закрыт",ISNUMBER(F183),ISNUMBER(H183)),ROUND(H183-F183,8),"")</f>
        <v/>
      </c>
      <c r="K183" s="340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341">
        <f>IF(AND(L184="Закрыт",ISNUMBER(F184),ISNUMBER(H184)),ROUND(H184-F184,8),"")</f>
        <v/>
      </c>
      <c r="K184" s="342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339">
        <f>IF(AND(L185="Закрыт",ISNUMBER(F185),ISNUMBER(H185)),ROUND(H185-F185,8),"")</f>
        <v/>
      </c>
      <c r="K185" s="340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341">
        <f>IF(AND(L186="Закрыт",ISNUMBER(F186),ISNUMBER(H186)),ROUND(H186-F186,8),"")</f>
        <v/>
      </c>
      <c r="K186" s="342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339">
        <f>IF(AND(L187="Закрыт",ISNUMBER(F187),ISNUMBER(H187)),ROUND(H187-F187,8),"")</f>
        <v/>
      </c>
      <c r="K187" s="340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341">
        <f>IF(AND(L188="Закрыт",ISNUMBER(F188),ISNUMBER(H188)),ROUND(H188-F188,8),"")</f>
        <v/>
      </c>
      <c r="K188" s="342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339">
        <f>IF(AND(L189="Закрыт",ISNUMBER(F189),ISNUMBER(H189)),ROUND(H189-F189,8),"")</f>
        <v/>
      </c>
      <c r="K189" s="340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341">
        <f>IF(AND(L190="Закрыт",ISNUMBER(F190),ISNUMBER(H190)),ROUND(H190-F190,8),"")</f>
        <v/>
      </c>
      <c r="K190" s="342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339">
        <f>IF(AND(L191="Закрыт",ISNUMBER(F191),ISNUMBER(H191)),ROUND(H191-F191,8),"")</f>
        <v/>
      </c>
      <c r="K191" s="340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341">
        <f>IF(AND(L192="Закрыт",ISNUMBER(F192),ISNUMBER(H192)),ROUND(H192-F192,8),"")</f>
        <v/>
      </c>
      <c r="K192" s="342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339">
        <f>IF(AND(L193="Закрыт",ISNUMBER(F193),ISNUMBER(H193)),ROUND(H193-F193,8),"")</f>
        <v/>
      </c>
      <c r="K193" s="340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341">
        <f>IF(AND(L194="Закрыт",ISNUMBER(F194),ISNUMBER(H194)),ROUND(H194-F194,8),"")</f>
        <v/>
      </c>
      <c r="K194" s="342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339">
        <f>IF(AND(L195="Закрыт",ISNUMBER(F195),ISNUMBER(H195)),ROUND(H195-F195,8),"")</f>
        <v/>
      </c>
      <c r="K195" s="340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341">
        <f>IF(AND(L196="Закрыт",ISNUMBER(F196),ISNUMBER(H196)),ROUND(H196-F196,8),"")</f>
        <v/>
      </c>
      <c r="K196" s="342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339">
        <f>IF(AND(L197="Закрыт",ISNUMBER(F197),ISNUMBER(H197)),ROUND(H197-F197,8),"")</f>
        <v/>
      </c>
      <c r="K197" s="340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341">
        <f>IF(AND(L198="Закрыт",ISNUMBER(F198),ISNUMBER(H198)),ROUND(H198-F198,8),"")</f>
        <v/>
      </c>
      <c r="K198" s="342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339">
        <f>IF(AND(L199="Закрыт",ISNUMBER(F199),ISNUMBER(H199)),ROUND(H199-F199,8),"")</f>
        <v/>
      </c>
      <c r="K199" s="340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341">
        <f>IF(AND(L200="Закрыт",ISNUMBER(F200),ISNUMBER(H200)),ROUND(H200-F200,8),"")</f>
        <v/>
      </c>
      <c r="K200" s="342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339">
        <f>IF(AND(L201="Закрыт",ISNUMBER(F201),ISNUMBER(H201)),ROUND(H201-F201,8),"")</f>
        <v/>
      </c>
      <c r="K201" s="340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341">
        <f>IF(AND(L202="Закрыт",ISNUMBER(F202),ISNUMBER(H202)),ROUND(H202-F202,8),"")</f>
        <v/>
      </c>
      <c r="K202" s="342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339">
        <f>IF(AND(L203="Закрыт",ISNUMBER(F203),ISNUMBER(H203)),ROUND(H203-F203,8),"")</f>
        <v/>
      </c>
      <c r="K203" s="340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341">
        <f>IF(AND(L204="Закрыт",ISNUMBER(F204),ISNUMBER(H204)),ROUND(H204-F204,8),"")</f>
        <v/>
      </c>
      <c r="K204" s="342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339">
        <f>IF(AND(L205="Закрыт",ISNUMBER(F205),ISNUMBER(H205)),ROUND(H205-F205,8),"")</f>
        <v/>
      </c>
      <c r="K205" s="340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341">
        <f>IF(AND(L206="Закрыт",ISNUMBER(F206),ISNUMBER(H206)),ROUND(H206-F206,8),"")</f>
        <v/>
      </c>
      <c r="K206" s="342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339">
        <f>IF(AND(L207="Закрыт",ISNUMBER(F207),ISNUMBER(H207)),ROUND(H207-F207,8),"")</f>
        <v/>
      </c>
      <c r="K207" s="340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341">
        <f>IF(AND(L208="Закрыт",ISNUMBER(F208),ISNUMBER(H208)),ROUND(H208-F208,8),"")</f>
        <v/>
      </c>
      <c r="K208" s="342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339">
        <f>IF(AND(L209="Закрыт",ISNUMBER(F209),ISNUMBER(H209)),ROUND(H209-F209,8),"")</f>
        <v/>
      </c>
      <c r="K209" s="340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341">
        <f>IF(AND(L210="Закрыт",ISNUMBER(F210),ISNUMBER(H210)),ROUND(H210-F210,8),"")</f>
        <v/>
      </c>
      <c r="K210" s="342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339">
        <f>IF(AND(L211="Закрыт",ISNUMBER(F211),ISNUMBER(H211)),ROUND(H211-F211,8),"")</f>
        <v/>
      </c>
      <c r="K211" s="340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341">
        <f>IF(AND(L212="Закрыт",ISNUMBER(F212),ISNUMBER(H212)),ROUND(H212-F212,8),"")</f>
        <v/>
      </c>
      <c r="K212" s="342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339">
        <f>IF(AND(L213="Закрыт",ISNUMBER(F213),ISNUMBER(H213)),ROUND(H213-F213,8),"")</f>
        <v/>
      </c>
      <c r="K213" s="340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341">
        <f>IF(AND(L214="Закрыт",ISNUMBER(F214),ISNUMBER(H214)),ROUND(H214-F214,8),"")</f>
        <v/>
      </c>
      <c r="K214" s="342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339">
        <f>IF(AND(L215="Закрыт",ISNUMBER(F215),ISNUMBER(H215)),ROUND(H215-F215,8),"")</f>
        <v/>
      </c>
      <c r="K215" s="340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341">
        <f>IF(AND(L216="Закрыт",ISNUMBER(F216),ISNUMBER(H216)),ROUND(H216-F216,8),"")</f>
        <v/>
      </c>
      <c r="K216" s="342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339">
        <f>IF(AND(L217="Закрыт",ISNUMBER(F217),ISNUMBER(H217)),ROUND(H217-F217,8),"")</f>
        <v/>
      </c>
      <c r="K217" s="340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341">
        <f>IF(AND(L218="Закрыт",ISNUMBER(F218),ISNUMBER(H218)),ROUND(H218-F218,8),"")</f>
        <v/>
      </c>
      <c r="K218" s="342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339">
        <f>IF(AND(L219="Закрыт",ISNUMBER(F219),ISNUMBER(H219)),ROUND(H219-F219,8),"")</f>
        <v/>
      </c>
      <c r="K219" s="340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341">
        <f>IF(AND(L220="Закрыт",ISNUMBER(F220),ISNUMBER(H220)),ROUND(H220-F220,8),"")</f>
        <v/>
      </c>
      <c r="K220" s="342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339">
        <f>IF(AND(L221="Закрыт",ISNUMBER(F221),ISNUMBER(H221)),ROUND(H221-F221,8),"")</f>
        <v/>
      </c>
      <c r="K221" s="340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341">
        <f>IF(AND(L222="Закрыт",ISNUMBER(F222),ISNUMBER(H222)),ROUND(H222-F222,8),"")</f>
        <v/>
      </c>
      <c r="K222" s="342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339">
        <f>IF(AND(L223="Закрыт",ISNUMBER(F223),ISNUMBER(H223)),ROUND(H223-F223,8),"")</f>
        <v/>
      </c>
      <c r="K223" s="340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341">
        <f>IF(AND(L224="Закрыт",ISNUMBER(F224),ISNUMBER(H224)),ROUND(H224-F224,8),"")</f>
        <v/>
      </c>
      <c r="K224" s="342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339">
        <f>IF(AND(L225="Закрыт",ISNUMBER(F225),ISNUMBER(H225)),ROUND(H225-F225,8),"")</f>
        <v/>
      </c>
      <c r="K225" s="340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341">
        <f>IF(AND(L226="Закрыт",ISNUMBER(F226),ISNUMBER(H226)),ROUND(H226-F226,8),"")</f>
        <v/>
      </c>
      <c r="K226" s="342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339">
        <f>IF(AND(L227="Закрыт",ISNUMBER(F227),ISNUMBER(H227)),ROUND(H227-F227,8),"")</f>
        <v/>
      </c>
      <c r="K227" s="340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341">
        <f>IF(AND(L228="Закрыт",ISNUMBER(F228),ISNUMBER(H228)),ROUND(H228-F228,8),"")</f>
        <v/>
      </c>
      <c r="K228" s="342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339">
        <f>IF(AND(L229="Закрыт",ISNUMBER(F229),ISNUMBER(H229)),ROUND(H229-F229,8),"")</f>
        <v/>
      </c>
      <c r="K229" s="340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341">
        <f>IF(AND(L230="Закрыт",ISNUMBER(F230),ISNUMBER(H230)),ROUND(H230-F230,8),"")</f>
        <v/>
      </c>
      <c r="K230" s="342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339">
        <f>IF(AND(L231="Закрыт",ISNUMBER(F231),ISNUMBER(H231)),ROUND(H231-F231,8),"")</f>
        <v/>
      </c>
      <c r="K231" s="340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341">
        <f>IF(AND(L232="Закрыт",ISNUMBER(F232),ISNUMBER(H232)),ROUND(H232-F232,8),"")</f>
        <v/>
      </c>
      <c r="K232" s="342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339">
        <f>IF(AND(L233="Закрыт",ISNUMBER(F233),ISNUMBER(H233)),ROUND(H233-F233,8),"")</f>
        <v/>
      </c>
      <c r="K233" s="340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341">
        <f>IF(AND(L234="Закрыт",ISNUMBER(F234),ISNUMBER(H234)),ROUND(H234-F234,8),"")</f>
        <v/>
      </c>
      <c r="K234" s="342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339">
        <f>IF(AND(L235="Закрыт",ISNUMBER(F235),ISNUMBER(H235)),ROUND(H235-F235,8),"")</f>
        <v/>
      </c>
      <c r="K235" s="340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341">
        <f>IF(AND(L236="Закрыт",ISNUMBER(F236),ISNUMBER(H236)),ROUND(H236-F236,8),"")</f>
        <v/>
      </c>
      <c r="K236" s="342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339">
        <f>IF(AND(L237="Закрыт",ISNUMBER(F237),ISNUMBER(H237)),ROUND(H237-F237,8),"")</f>
        <v/>
      </c>
      <c r="K237" s="340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341">
        <f>IF(AND(L238="Закрыт",ISNUMBER(F238),ISNUMBER(H238)),ROUND(H238-F238,8),"")</f>
        <v/>
      </c>
      <c r="K238" s="342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339">
        <f>IF(AND(L239="Закрыт",ISNUMBER(F239),ISNUMBER(H239)),ROUND(H239-F239,8),"")</f>
        <v/>
      </c>
      <c r="K239" s="340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341">
        <f>IF(AND(L240="Закрыт",ISNUMBER(F240),ISNUMBER(H240)),ROUND(H240-F240,8),"")</f>
        <v/>
      </c>
      <c r="K240" s="342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339">
        <f>IF(AND(L241="Закрыт",ISNUMBER(F241),ISNUMBER(H241)),ROUND(H241-F241,8),"")</f>
        <v/>
      </c>
      <c r="K241" s="340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341">
        <f>IF(AND(L242="Закрыт",ISNUMBER(F242),ISNUMBER(H242)),ROUND(H242-F242,8),"")</f>
        <v/>
      </c>
      <c r="K242" s="342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339">
        <f>IF(AND(L243="Закрыт",ISNUMBER(F243),ISNUMBER(H243)),ROUND(H243-F243,8),"")</f>
        <v/>
      </c>
      <c r="K243" s="340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341">
        <f>IF(AND(L244="Закрыт",ISNUMBER(F244),ISNUMBER(H244)),ROUND(H244-F244,8),"")</f>
        <v/>
      </c>
      <c r="K244" s="342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339">
        <f>IF(AND(L245="Закрыт",ISNUMBER(F245),ISNUMBER(H245)),ROUND(H245-F245,8),"")</f>
        <v/>
      </c>
      <c r="K245" s="340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341">
        <f>IF(AND(L246="Закрыт",ISNUMBER(F246),ISNUMBER(H246)),ROUND(H246-F246,8),"")</f>
        <v/>
      </c>
      <c r="K246" s="342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339">
        <f>IF(AND(L247="Закрыт",ISNUMBER(F247),ISNUMBER(H247)),ROUND(H247-F247,8),"")</f>
        <v/>
      </c>
      <c r="K247" s="340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341">
        <f>IF(AND(L248="Закрыт",ISNUMBER(F248),ISNUMBER(H248)),ROUND(H248-F248,8),"")</f>
        <v/>
      </c>
      <c r="K248" s="342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339">
        <f>IF(AND(L249="Закрыт",ISNUMBER(F249),ISNUMBER(H249)),ROUND(H249-F249,8),"")</f>
        <v/>
      </c>
      <c r="K249" s="340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341">
        <f>IF(AND(L250="Закрыт",ISNUMBER(F250),ISNUMBER(H250)),ROUND(H250-F250,8),"")</f>
        <v/>
      </c>
      <c r="K250" s="342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339">
        <f>IF(AND(L251="Закрыт",ISNUMBER(F251),ISNUMBER(H251)),ROUND(H251-F251,8),"")</f>
        <v/>
      </c>
      <c r="K251" s="340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341">
        <f>IF(AND(L252="Закрыт",ISNUMBER(F252),ISNUMBER(H252)),ROUND(H252-F252,8),"")</f>
        <v/>
      </c>
      <c r="K252" s="342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339">
        <f>IF(AND(L253="Закрыт",ISNUMBER(F253),ISNUMBER(H253)),ROUND(H253-F253,8),"")</f>
        <v/>
      </c>
      <c r="K253" s="340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341">
        <f>IF(AND(L254="Закрыт",ISNUMBER(F254),ISNUMBER(H254)),ROUND(H254-F254,8),"")</f>
        <v/>
      </c>
      <c r="K254" s="342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339">
        <f>IF(AND(L255="Закрыт",ISNUMBER(F255),ISNUMBER(H255)),ROUND(H255-F255,8),"")</f>
        <v/>
      </c>
      <c r="K255" s="340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341">
        <f>IF(AND(L256="Закрыт",ISNUMBER(F256),ISNUMBER(H256)),ROUND(H256-F256,8),"")</f>
        <v/>
      </c>
      <c r="K256" s="342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339">
        <f>IF(AND(L257="Закрыт",ISNUMBER(F257),ISNUMBER(H257)),ROUND(H257-F257,8),"")</f>
        <v/>
      </c>
      <c r="K257" s="340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341">
        <f>IF(AND(L258="Закрыт",ISNUMBER(F258),ISNUMBER(H258)),ROUND(H258-F258,8),"")</f>
        <v/>
      </c>
      <c r="K258" s="342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339">
        <f>IF(AND(L259="Закрыт",ISNUMBER(F259),ISNUMBER(H259)),ROUND(H259-F259,8),"")</f>
        <v/>
      </c>
      <c r="K259" s="340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341">
        <f>IF(AND(L260="Закрыт",ISNUMBER(F260),ISNUMBER(H260)),ROUND(H260-F260,8),"")</f>
        <v/>
      </c>
      <c r="K260" s="342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339">
        <f>IF(AND(L261="Закрыт",ISNUMBER(F261),ISNUMBER(H261)),ROUND(H261-F261,8),"")</f>
        <v/>
      </c>
      <c r="K261" s="340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341">
        <f>IF(AND(L262="Закрыт",ISNUMBER(F262),ISNUMBER(H262)),ROUND(H262-F262,8),"")</f>
        <v/>
      </c>
      <c r="K262" s="342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339">
        <f>IF(AND(L263="Закрыт",ISNUMBER(F263),ISNUMBER(H263)),ROUND(H263-F263,8),"")</f>
        <v/>
      </c>
      <c r="K263" s="340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341">
        <f>IF(AND(L264="Закрыт",ISNUMBER(F264),ISNUMBER(H264)),ROUND(H264-F264,8),"")</f>
        <v/>
      </c>
      <c r="K264" s="342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339">
        <f>IF(AND(L265="Закрыт",ISNUMBER(F265),ISNUMBER(H265)),ROUND(H265-F265,8),"")</f>
        <v/>
      </c>
      <c r="K265" s="340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341">
        <f>IF(AND(L266="Закрыт",ISNUMBER(F266),ISNUMBER(H266)),ROUND(H266-F266,8),"")</f>
        <v/>
      </c>
      <c r="K266" s="342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339">
        <f>IF(AND(L267="Закрыт",ISNUMBER(F267),ISNUMBER(H267)),ROUND(H267-F267,8),"")</f>
        <v/>
      </c>
      <c r="K267" s="340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341">
        <f>IF(AND(L268="Закрыт",ISNUMBER(F268),ISNUMBER(H268)),ROUND(H268-F268,8),"")</f>
        <v/>
      </c>
      <c r="K268" s="342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339">
        <f>IF(AND(L269="Закрыт",ISNUMBER(F269),ISNUMBER(H269)),ROUND(H269-F269,8),"")</f>
        <v/>
      </c>
      <c r="K269" s="340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341">
        <f>IF(AND(L270="Закрыт",ISNUMBER(F270),ISNUMBER(H270)),ROUND(H270-F270,8),"")</f>
        <v/>
      </c>
      <c r="K270" s="342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339">
        <f>IF(AND(L271="Закрыт",ISNUMBER(F271),ISNUMBER(H271)),ROUND(H271-F271,8),"")</f>
        <v/>
      </c>
      <c r="K271" s="340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341">
        <f>IF(AND(L272="Закрыт",ISNUMBER(F272),ISNUMBER(H272)),ROUND(H272-F272,8),"")</f>
        <v/>
      </c>
      <c r="K272" s="342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339">
        <f>IF(AND(L273="Закрыт",ISNUMBER(F273),ISNUMBER(H273)),ROUND(H273-F273,8),"")</f>
        <v/>
      </c>
      <c r="K273" s="340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341">
        <f>IF(AND(L274="Закрыт",ISNUMBER(F274),ISNUMBER(H274)),ROUND(H274-F274,8),"")</f>
        <v/>
      </c>
      <c r="K274" s="342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339">
        <f>IF(AND(L275="Закрыт",ISNUMBER(F275),ISNUMBER(H275)),ROUND(H275-F275,8),"")</f>
        <v/>
      </c>
      <c r="K275" s="340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341">
        <f>IF(AND(L276="Закрыт",ISNUMBER(F276),ISNUMBER(H276)),ROUND(H276-F276,8),"")</f>
        <v/>
      </c>
      <c r="K276" s="342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339">
        <f>IF(AND(L277="Закрыт",ISNUMBER(F277),ISNUMBER(H277)),ROUND(H277-F277,8),"")</f>
        <v/>
      </c>
      <c r="K277" s="340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341">
        <f>IF(AND(L278="Закрыт",ISNUMBER(F278),ISNUMBER(H278)),ROUND(H278-F278,8),"")</f>
        <v/>
      </c>
      <c r="K278" s="342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339">
        <f>IF(AND(L279="Закрыт",ISNUMBER(F279),ISNUMBER(H279)),ROUND(H279-F279,8),"")</f>
        <v/>
      </c>
      <c r="K279" s="340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341">
        <f>IF(AND(L280="Закрыт",ISNUMBER(F280),ISNUMBER(H280)),ROUND(H280-F280,8),"")</f>
        <v/>
      </c>
      <c r="K280" s="342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339">
        <f>IF(AND(L281="Закрыт",ISNUMBER(F281),ISNUMBER(H281)),ROUND(H281-F281,8),"")</f>
        <v/>
      </c>
      <c r="K281" s="340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341">
        <f>IF(AND(L282="Закрыт",ISNUMBER(F282),ISNUMBER(H282)),ROUND(H282-F282,8),"")</f>
        <v/>
      </c>
      <c r="K282" s="342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339">
        <f>IF(AND(L283="Закрыт",ISNUMBER(F283),ISNUMBER(H283)),ROUND(H283-F283,8),"")</f>
        <v/>
      </c>
      <c r="K283" s="340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341">
        <f>IF(AND(L284="Закрыт",ISNUMBER(F284),ISNUMBER(H284)),ROUND(H284-F284,8),"")</f>
        <v/>
      </c>
      <c r="K284" s="342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339">
        <f>IF(AND(L285="Закрыт",ISNUMBER(F285),ISNUMBER(H285)),ROUND(H285-F285,8),"")</f>
        <v/>
      </c>
      <c r="K285" s="340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341">
        <f>IF(AND(L286="Закрыт",ISNUMBER(F286),ISNUMBER(H286)),ROUND(H286-F286,8),"")</f>
        <v/>
      </c>
      <c r="K286" s="342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339">
        <f>IF(AND(L287="Закрыт",ISNUMBER(F287),ISNUMBER(H287)),ROUND(H287-F287,8),"")</f>
        <v/>
      </c>
      <c r="K287" s="340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341">
        <f>IF(AND(L288="Закрыт",ISNUMBER(F288),ISNUMBER(H288)),ROUND(H288-F288,8),"")</f>
        <v/>
      </c>
      <c r="K288" s="342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339">
        <f>IF(AND(L289="Закрыт",ISNUMBER(F289),ISNUMBER(H289)),ROUND(H289-F289,8),"")</f>
        <v/>
      </c>
      <c r="K289" s="340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341">
        <f>IF(AND(L290="Закрыт",ISNUMBER(F290),ISNUMBER(H290)),ROUND(H290-F290,8),"")</f>
        <v/>
      </c>
      <c r="K290" s="342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339">
        <f>IF(AND(L291="Закрыт",ISNUMBER(F291),ISNUMBER(H291)),ROUND(H291-F291,8),"")</f>
        <v/>
      </c>
      <c r="K291" s="340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341">
        <f>IF(AND(L292="Закрыт",ISNUMBER(F292),ISNUMBER(H292)),ROUND(H292-F292,8),"")</f>
        <v/>
      </c>
      <c r="K292" s="342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339">
        <f>IF(AND(L293="Закрыт",ISNUMBER(F293),ISNUMBER(H293)),ROUND(H293-F293,8),"")</f>
        <v/>
      </c>
      <c r="K293" s="340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341">
        <f>IF(AND(L294="Закрыт",ISNUMBER(F294),ISNUMBER(H294)),ROUND(H294-F294,8),"")</f>
        <v/>
      </c>
      <c r="K294" s="342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339">
        <f>IF(AND(L295="Закрыт",ISNUMBER(F295),ISNUMBER(H295)),ROUND(H295-F295,8),"")</f>
        <v/>
      </c>
      <c r="K295" s="340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341">
        <f>IF(AND(L296="Закрыт",ISNUMBER(F296),ISNUMBER(H296)),ROUND(H296-F296,8),"")</f>
        <v/>
      </c>
      <c r="K296" s="342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339">
        <f>IF(AND(L297="Закрыт",ISNUMBER(F297),ISNUMBER(H297)),ROUND(H297-F297,8),"")</f>
        <v/>
      </c>
      <c r="K297" s="340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341">
        <f>IF(AND(L298="Закрыт",ISNUMBER(F298),ISNUMBER(H298)),ROUND(H298-F298,8),"")</f>
        <v/>
      </c>
      <c r="K298" s="342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339">
        <f>IF(AND(L299="Закрыт",ISNUMBER(F299),ISNUMBER(H299)),ROUND(H299-F299,8),"")</f>
        <v/>
      </c>
      <c r="K299" s="340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341">
        <f>IF(AND(L300="Закрыт",ISNUMBER(F300),ISNUMBER(H300)),ROUND(H300-F300,8),"")</f>
        <v/>
      </c>
      <c r="K300" s="342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9" customWidth="1" min="2" max="2"/>
    <col width="11.7" customWidth="1" min="3" max="3"/>
    <col width="11.7" customWidth="1" min="4" max="4"/>
    <col width="11.7" customWidth="1" min="5" max="5"/>
    <col width="11.7" customWidth="1" min="6" max="6"/>
    <col width="12.9" customWidth="1" min="7" max="7"/>
    <col width="12.9" customWidth="1" min="8" max="8"/>
    <col width="12.9" customWidth="1" min="9" max="9"/>
    <col width="10.5" customWidth="1" min="10" max="10"/>
    <col width="9" customWidth="1" min="11" max="11"/>
    <col width="9.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n"/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339">
        <f>IF($B5="","",IF(COUNTIFS(Пул!$E$5:$E$300,$B5,Пул!$L$5:$L$300,"Закрыт")=0,"",ROUND(SUMIFS(Пул!$J$5:$J$300,Пул!$E$5:$E$300,$B5,Пул!$L$5:$L$300,"Закрыт"),8)))</f>
        <v/>
      </c>
      <c r="H5" s="340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n"/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341">
        <f>IF($B6="","",IF(COUNTIFS(Пул!$E$5:$E$300,$B6,Пул!$L$5:$L$300,"Закрыт")=0,"",ROUND(SUMIFS(Пул!$J$5:$J$300,Пул!$E$5:$E$300,$B6,Пул!$L$5:$L$300,"Закрыт"),8)))</f>
        <v/>
      </c>
      <c r="H6" s="342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n"/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339">
        <f>IF($B7="","",IF(COUNTIFS(Пул!$E$5:$E$300,$B7,Пул!$L$5:$L$300,"Закрыт")=0,"",ROUND(SUMIFS(Пул!$J$5:$J$300,Пул!$E$5:$E$300,$B7,Пул!$L$5:$L$300,"Закрыт"),8)))</f>
        <v/>
      </c>
      <c r="H7" s="340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n"/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341">
        <f>IF($B8="","",IF(COUNTIFS(Пул!$E$5:$E$300,$B8,Пул!$L$5:$L$300,"Закрыт")=0,"",ROUND(SUMIFS(Пул!$J$5:$J$300,Пул!$E$5:$E$300,$B8,Пул!$L$5:$L$300,"Закрыт"),8)))</f>
        <v/>
      </c>
      <c r="H8" s="342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n"/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339">
        <f>IF($B9="","",IF(COUNTIFS(Пул!$E$5:$E$300,$B9,Пул!$L$5:$L$300,"Закрыт")=0,"",ROUND(SUMIFS(Пул!$J$5:$J$300,Пул!$E$5:$E$300,$B9,Пул!$L$5:$L$300,"Закрыт"),8)))</f>
        <v/>
      </c>
      <c r="H9" s="340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n"/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341">
        <f>IF($B10="","",IF(COUNTIFS(Пул!$E$5:$E$300,$B10,Пул!$L$5:$L$300,"Закрыт")=0,"",ROUND(SUMIFS(Пул!$J$5:$J$300,Пул!$E$5:$E$300,$B10,Пул!$L$5:$L$300,"Закрыт"),8)))</f>
        <v/>
      </c>
      <c r="H10" s="342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n"/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339">
        <f>IF($B11="","",IF(COUNTIFS(Пул!$E$5:$E$300,$B11,Пул!$L$5:$L$300,"Закрыт")=0,"",ROUND(SUMIFS(Пул!$J$5:$J$300,Пул!$E$5:$E$300,$B11,Пул!$L$5:$L$300,"Закрыт"),8)))</f>
        <v/>
      </c>
      <c r="H11" s="340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n"/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341">
        <f>IF($B12="","",IF(COUNTIFS(Пул!$E$5:$E$300,$B12,Пул!$L$5:$L$300,"Закрыт")=0,"",ROUND(SUMIFS(Пул!$J$5:$J$300,Пул!$E$5:$E$300,$B12,Пул!$L$5:$L$300,"Закрыт"),8)))</f>
        <v/>
      </c>
      <c r="H12" s="342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n"/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339">
        <f>IF($B13="","",IF(COUNTIFS(Пул!$E$5:$E$300,$B13,Пул!$L$5:$L$300,"Закрыт")=0,"",ROUND(SUMIFS(Пул!$J$5:$J$300,Пул!$E$5:$E$300,$B13,Пул!$L$5:$L$300,"Закрыт"),8)))</f>
        <v/>
      </c>
      <c r="H13" s="340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n"/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341">
        <f>IF($B14="","",IF(COUNTIFS(Пул!$E$5:$E$300,$B14,Пул!$L$5:$L$300,"Закрыт")=0,"",ROUND(SUMIFS(Пул!$J$5:$J$300,Пул!$E$5:$E$300,$B14,Пул!$L$5:$L$300,"Закрыт"),8)))</f>
        <v/>
      </c>
      <c r="H14" s="342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n"/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339">
        <f>IF($B15="","",IF(COUNTIFS(Пул!$E$5:$E$300,$B15,Пул!$L$5:$L$300,"Закрыт")=0,"",ROUND(SUMIFS(Пул!$J$5:$J$300,Пул!$E$5:$E$300,$B15,Пул!$L$5:$L$300,"Закрыт"),8)))</f>
        <v/>
      </c>
      <c r="H15" s="340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n"/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341">
        <f>IF($B16="","",IF(COUNTIFS(Пул!$E$5:$E$300,$B16,Пул!$L$5:$L$300,"Закрыт")=0,"",ROUND(SUMIFS(Пул!$J$5:$J$300,Пул!$E$5:$E$300,$B16,Пул!$L$5:$L$300,"Закрыт"),8)))</f>
        <v/>
      </c>
      <c r="H16" s="342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339">
        <f>IF($B17="","",IF(COUNTIFS(Пул!$E$5:$E$300,$B17,Пул!$L$5:$L$300,"Закрыт")=0,"",ROUND(SUMIFS(Пул!$J$5:$J$300,Пул!$E$5:$E$300,$B17,Пул!$L$5:$L$300,"Закрыт"),8)))</f>
        <v/>
      </c>
      <c r="H17" s="340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341">
        <f>IF($B18="","",IF(COUNTIFS(Пул!$E$5:$E$300,$B18,Пул!$L$5:$L$300,"Закрыт")=0,"",ROUND(SUMIFS(Пул!$J$5:$J$300,Пул!$E$5:$E$300,$B18,Пул!$L$5:$L$300,"Закрыт"),8)))</f>
        <v/>
      </c>
      <c r="H18" s="342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339">
        <f>IF($B19="","",IF(COUNTIFS(Пул!$E$5:$E$300,$B19,Пул!$L$5:$L$300,"Закрыт")=0,"",ROUND(SUMIFS(Пул!$J$5:$J$300,Пул!$E$5:$E$300,$B19,Пул!$L$5:$L$300,"Закрыт"),8)))</f>
        <v/>
      </c>
      <c r="H19" s="340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341">
        <f>IF($B20="","",IF(COUNTIFS(Пул!$E$5:$E$300,$B20,Пул!$L$5:$L$300,"Закрыт")=0,"",ROUND(SUMIFS(Пул!$J$5:$J$300,Пул!$E$5:$E$300,$B20,Пул!$L$5:$L$300,"Закрыт"),8)))</f>
        <v/>
      </c>
      <c r="H20" s="342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339">
        <f>IF($B21="","",IF(COUNTIFS(Пул!$E$5:$E$300,$B21,Пул!$L$5:$L$300,"Закрыт")=0,"",ROUND(SUMIFS(Пул!$J$5:$J$300,Пул!$E$5:$E$300,$B21,Пул!$L$5:$L$300,"Закрыт"),8)))</f>
        <v/>
      </c>
      <c r="H21" s="340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341">
        <f>IF($B22="","",IF(COUNTIFS(Пул!$E$5:$E$300,$B22,Пул!$L$5:$L$300,"Закрыт")=0,"",ROUND(SUMIFS(Пул!$J$5:$J$300,Пул!$E$5:$E$300,$B22,Пул!$L$5:$L$300,"Закрыт"),8)))</f>
        <v/>
      </c>
      <c r="H22" s="342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339">
        <f>IF($B23="","",IF(COUNTIFS(Пул!$E$5:$E$300,$B23,Пул!$L$5:$L$300,"Закрыт")=0,"",ROUND(SUMIFS(Пул!$J$5:$J$300,Пул!$E$5:$E$300,$B23,Пул!$L$5:$L$300,"Закрыт"),8)))</f>
        <v/>
      </c>
      <c r="H23" s="340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341">
        <f>IF($B24="","",IF(COUNTIFS(Пул!$E$5:$E$300,$B24,Пул!$L$5:$L$300,"Закрыт")=0,"",ROUND(SUMIFS(Пул!$J$5:$J$300,Пул!$E$5:$E$300,$B24,Пул!$L$5:$L$300,"Закрыт"),8)))</f>
        <v/>
      </c>
      <c r="H24" s="342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339">
        <f>IF($B25="","",IF(COUNTIFS(Пул!$E$5:$E$300,$B25,Пул!$L$5:$L$300,"Закрыт")=0,"",ROUND(SUMIFS(Пул!$J$5:$J$300,Пул!$E$5:$E$300,$B25,Пул!$L$5:$L$300,"Закрыт"),8)))</f>
        <v/>
      </c>
      <c r="H25" s="340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341">
        <f>IF($B26="","",IF(COUNTIFS(Пул!$E$5:$E$300,$B26,Пул!$L$5:$L$300,"Закрыт")=0,"",ROUND(SUMIFS(Пул!$J$5:$J$300,Пул!$E$5:$E$300,$B26,Пул!$L$5:$L$300,"Закрыт"),8)))</f>
        <v/>
      </c>
      <c r="H26" s="342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339">
        <f>IF($B27="","",IF(COUNTIFS(Пул!$E$5:$E$300,$B27,Пул!$L$5:$L$300,"Закрыт")=0,"",ROUND(SUMIFS(Пул!$J$5:$J$300,Пул!$E$5:$E$300,$B27,Пул!$L$5:$L$300,"Закрыт"),8)))</f>
        <v/>
      </c>
      <c r="H27" s="340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341">
        <f>IF($B28="","",IF(COUNTIFS(Пул!$E$5:$E$300,$B28,Пул!$L$5:$L$300,"Закрыт")=0,"",ROUND(SUMIFS(Пул!$J$5:$J$300,Пул!$E$5:$E$300,$B28,Пул!$L$5:$L$300,"Закрыт"),8)))</f>
        <v/>
      </c>
      <c r="H28" s="342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339">
        <f>IF($B29="","",IF(COUNTIFS(Пул!$E$5:$E$300,$B29,Пул!$L$5:$L$300,"Закрыт")=0,"",ROUND(SUMIFS(Пул!$J$5:$J$300,Пул!$E$5:$E$300,$B29,Пул!$L$5:$L$300,"Закрыт"),8)))</f>
        <v/>
      </c>
      <c r="H29" s="340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341">
        <f>IF($B30="","",IF(COUNTIFS(Пул!$E$5:$E$300,$B30,Пул!$L$5:$L$300,"Закрыт")=0,"",ROUND(SUMIFS(Пул!$J$5:$J$300,Пул!$E$5:$E$300,$B30,Пул!$L$5:$L$300,"Закрыт"),8)))</f>
        <v/>
      </c>
      <c r="H30" s="342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339">
        <f>IF($B31="","",IF(COUNTIFS(Пул!$E$5:$E$300,$B31,Пул!$L$5:$L$300,"Закрыт")=0,"",ROUND(SUMIFS(Пул!$J$5:$J$300,Пул!$E$5:$E$300,$B31,Пул!$L$5:$L$300,"Закрыт"),8)))</f>
        <v/>
      </c>
      <c r="H31" s="340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341">
        <f>IF($B32="","",IF(COUNTIFS(Пул!$E$5:$E$300,$B32,Пул!$L$5:$L$300,"Закрыт")=0,"",ROUND(SUMIFS(Пул!$J$5:$J$300,Пул!$E$5:$E$300,$B32,Пул!$L$5:$L$300,"Закрыт"),8)))</f>
        <v/>
      </c>
      <c r="H32" s="342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339">
        <f>IF($B33="","",IF(COUNTIFS(Пул!$E$5:$E$300,$B33,Пул!$L$5:$L$300,"Закрыт")=0,"",ROUND(SUMIFS(Пул!$J$5:$J$300,Пул!$E$5:$E$300,$B33,Пул!$L$5:$L$300,"Закрыт"),8)))</f>
        <v/>
      </c>
      <c r="H33" s="340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341">
        <f>IF($B34="","",IF(COUNTIFS(Пул!$E$5:$E$300,$B34,Пул!$L$5:$L$300,"Закрыт")=0,"",ROUND(SUMIFS(Пул!$J$5:$J$300,Пул!$E$5:$E$300,$B34,Пул!$L$5:$L$300,"Закрыт"),8)))</f>
        <v/>
      </c>
      <c r="H34" s="342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339">
        <f>IF($B35="","",IF(COUNTIFS(Пул!$E$5:$E$300,$B35,Пул!$L$5:$L$300,"Закрыт")=0,"",ROUND(SUMIFS(Пул!$J$5:$J$300,Пул!$E$5:$E$300,$B35,Пул!$L$5:$L$300,"Закрыт"),8)))</f>
        <v/>
      </c>
      <c r="H35" s="340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341">
        <f>IF($B36="","",IF(COUNTIFS(Пул!$E$5:$E$300,$B36,Пул!$L$5:$L$300,"Закрыт")=0,"",ROUND(SUMIFS(Пул!$J$5:$J$300,Пул!$E$5:$E$300,$B36,Пул!$L$5:$L$300,"Закрыт"),8)))</f>
        <v/>
      </c>
      <c r="H36" s="342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339">
        <f>IF($B37="","",IF(COUNTIFS(Пул!$E$5:$E$300,$B37,Пул!$L$5:$L$300,"Закрыт")=0,"",ROUND(SUMIFS(Пул!$J$5:$J$300,Пул!$E$5:$E$300,$B37,Пул!$L$5:$L$300,"Закрыт"),8)))</f>
        <v/>
      </c>
      <c r="H37" s="340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341">
        <f>IF($B38="","",IF(COUNTIFS(Пул!$E$5:$E$300,$B38,Пул!$L$5:$L$300,"Закрыт")=0,"",ROUND(SUMIFS(Пул!$J$5:$J$300,Пул!$E$5:$E$300,$B38,Пул!$L$5:$L$300,"Закрыт"),8)))</f>
        <v/>
      </c>
      <c r="H38" s="342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339">
        <f>IF($B39="","",IF(COUNTIFS(Пул!$E$5:$E$300,$B39,Пул!$L$5:$L$300,"Закрыт")=0,"",ROUND(SUMIFS(Пул!$J$5:$J$300,Пул!$E$5:$E$300,$B39,Пул!$L$5:$L$300,"Закрыт"),8)))</f>
        <v/>
      </c>
      <c r="H39" s="340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341">
        <f>IF($B40="","",IF(COUNTIFS(Пул!$E$5:$E$300,$B40,Пул!$L$5:$L$300,"Закрыт")=0,"",ROUND(SUMIFS(Пул!$J$5:$J$300,Пул!$E$5:$E$300,$B40,Пул!$L$5:$L$300,"Закрыт"),8)))</f>
        <v/>
      </c>
      <c r="H40" s="342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339">
        <f>IF($B41="","",IF(COUNTIFS(Пул!$E$5:$E$300,$B41,Пул!$L$5:$L$300,"Закрыт")=0,"",ROUND(SUMIFS(Пул!$J$5:$J$300,Пул!$E$5:$E$300,$B41,Пул!$L$5:$L$300,"Закрыт"),8)))</f>
        <v/>
      </c>
      <c r="H41" s="340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341">
        <f>IF($B42="","",IF(COUNTIFS(Пул!$E$5:$E$300,$B42,Пул!$L$5:$L$300,"Закрыт")=0,"",ROUND(SUMIFS(Пул!$J$5:$J$300,Пул!$E$5:$E$300,$B42,Пул!$L$5:$L$300,"Закрыт"),8)))</f>
        <v/>
      </c>
      <c r="H42" s="342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339">
        <f>IF($B43="","",IF(COUNTIFS(Пул!$E$5:$E$300,$B43,Пул!$L$5:$L$300,"Закрыт")=0,"",ROUND(SUMIFS(Пул!$J$5:$J$300,Пул!$E$5:$E$300,$B43,Пул!$L$5:$L$300,"Закрыт"),8)))</f>
        <v/>
      </c>
      <c r="H43" s="340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341">
        <f>IF($B44="","",IF(COUNTIFS(Пул!$E$5:$E$300,$B44,Пул!$L$5:$L$300,"Закрыт")=0,"",ROUND(SUMIFS(Пул!$J$5:$J$300,Пул!$E$5:$E$300,$B44,Пул!$L$5:$L$300,"Закрыт"),8)))</f>
        <v/>
      </c>
      <c r="H44" s="342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339">
        <f>IF($B45="","",IF(COUNTIFS(Пул!$E$5:$E$300,$B45,Пул!$L$5:$L$300,"Закрыт")=0,"",ROUND(SUMIFS(Пул!$J$5:$J$300,Пул!$E$5:$E$300,$B45,Пул!$L$5:$L$300,"Закрыт"),8)))</f>
        <v/>
      </c>
      <c r="H45" s="340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341">
        <f>IF($B46="","",IF(COUNTIFS(Пул!$E$5:$E$300,$B46,Пул!$L$5:$L$300,"Закрыт")=0,"",ROUND(SUMIFS(Пул!$J$5:$J$300,Пул!$E$5:$E$300,$B46,Пул!$L$5:$L$300,"Закрыт"),8)))</f>
        <v/>
      </c>
      <c r="H46" s="342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339">
        <f>IF($B47="","",IF(COUNTIFS(Пул!$E$5:$E$300,$B47,Пул!$L$5:$L$300,"Закрыт")=0,"",ROUND(SUMIFS(Пул!$J$5:$J$300,Пул!$E$5:$E$300,$B47,Пул!$L$5:$L$300,"Закрыт"),8)))</f>
        <v/>
      </c>
      <c r="H47" s="340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341">
        <f>IF($B48="","",IF(COUNTIFS(Пул!$E$5:$E$300,$B48,Пул!$L$5:$L$300,"Закрыт")=0,"",ROUND(SUMIFS(Пул!$J$5:$J$300,Пул!$E$5:$E$300,$B48,Пул!$L$5:$L$300,"Закрыт"),8)))</f>
        <v/>
      </c>
      <c r="H48" s="342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339">
        <f>IF($B49="","",IF(COUNTIFS(Пул!$E$5:$E$300,$B49,Пул!$L$5:$L$300,"Закрыт")=0,"",ROUND(SUMIFS(Пул!$J$5:$J$300,Пул!$E$5:$E$300,$B49,Пул!$L$5:$L$300,"Закрыт"),8)))</f>
        <v/>
      </c>
      <c r="H49" s="340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341">
        <f>IF($B50="","",IF(COUNTIFS(Пул!$E$5:$E$300,$B50,Пул!$L$5:$L$300,"Закрыт")=0,"",ROUND(SUMIFS(Пул!$J$5:$J$300,Пул!$E$5:$E$300,$B50,Пул!$L$5:$L$300,"Закрыт"),8)))</f>
        <v/>
      </c>
      <c r="H50" s="342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339">
        <f>IF($B51="","",IF(COUNTIFS(Пул!$E$5:$E$300,$B51,Пул!$L$5:$L$300,"Закрыт")=0,"",ROUND(SUMIFS(Пул!$J$5:$J$300,Пул!$E$5:$E$300,$B51,Пул!$L$5:$L$300,"Закрыт"),8)))</f>
        <v/>
      </c>
      <c r="H51" s="340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341">
        <f>IF($B52="","",IF(COUNTIFS(Пул!$E$5:$E$300,$B52,Пул!$L$5:$L$300,"Закрыт")=0,"",ROUND(SUMIFS(Пул!$J$5:$J$300,Пул!$E$5:$E$300,$B52,Пул!$L$5:$L$300,"Закрыт"),8)))</f>
        <v/>
      </c>
      <c r="H52" s="342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339">
        <f>IF($B53="","",IF(COUNTIFS(Пул!$E$5:$E$300,$B53,Пул!$L$5:$L$300,"Закрыт")=0,"",ROUND(SUMIFS(Пул!$J$5:$J$300,Пул!$E$5:$E$300,$B53,Пул!$L$5:$L$300,"Закрыт"),8)))</f>
        <v/>
      </c>
      <c r="H53" s="340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341">
        <f>IF($B54="","",IF(COUNTIFS(Пул!$E$5:$E$300,$B54,Пул!$L$5:$L$300,"Закрыт")=0,"",ROUND(SUMIFS(Пул!$J$5:$J$300,Пул!$E$5:$E$300,$B54,Пул!$L$5:$L$300,"Закрыт"),8)))</f>
        <v/>
      </c>
      <c r="H54" s="342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339">
        <f>IF($B55="","",IF(COUNTIFS(Пул!$E$5:$E$300,$B55,Пул!$L$5:$L$300,"Закрыт")=0,"",ROUND(SUMIFS(Пул!$J$5:$J$300,Пул!$E$5:$E$300,$B55,Пул!$L$5:$L$300,"Закрыт"),8)))</f>
        <v/>
      </c>
      <c r="H55" s="340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341">
        <f>IF($B56="","",IF(COUNTIFS(Пул!$E$5:$E$300,$B56,Пул!$L$5:$L$300,"Закрыт")=0,"",ROUND(SUMIFS(Пул!$J$5:$J$300,Пул!$E$5:$E$300,$B56,Пул!$L$5:$L$300,"Закрыт"),8)))</f>
        <v/>
      </c>
      <c r="H56" s="342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339">
        <f>IF($B57="","",IF(COUNTIFS(Пул!$E$5:$E$300,$B57,Пул!$L$5:$L$300,"Закрыт")=0,"",ROUND(SUMIFS(Пул!$J$5:$J$300,Пул!$E$5:$E$300,$B57,Пул!$L$5:$L$300,"Закрыт"),8)))</f>
        <v/>
      </c>
      <c r="H57" s="340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341">
        <f>IF($B58="","",IF(COUNTIFS(Пул!$E$5:$E$300,$B58,Пул!$L$5:$L$300,"Закрыт")=0,"",ROUND(SUMIFS(Пул!$J$5:$J$300,Пул!$E$5:$E$300,$B58,Пул!$L$5:$L$300,"Закрыт"),8)))</f>
        <v/>
      </c>
      <c r="H58" s="342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339">
        <f>IF($B59="","",IF(COUNTIFS(Пул!$E$5:$E$300,$B59,Пул!$L$5:$L$300,"Закрыт")=0,"",ROUND(SUMIFS(Пул!$J$5:$J$300,Пул!$E$5:$E$300,$B59,Пул!$L$5:$L$300,"Закрыт"),8)))</f>
        <v/>
      </c>
      <c r="H59" s="340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341">
        <f>IF($B60="","",IF(COUNTIFS(Пул!$E$5:$E$300,$B60,Пул!$L$5:$L$300,"Закрыт")=0,"",ROUND(SUMIFS(Пул!$J$5:$J$300,Пул!$E$5:$E$300,$B60,Пул!$L$5:$L$300,"Закрыт"),8)))</f>
        <v/>
      </c>
      <c r="H60" s="342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339">
        <f>IF($B61="","",IF(COUNTIFS(Пул!$E$5:$E$300,$B61,Пул!$L$5:$L$300,"Закрыт")=0,"",ROUND(SUMIFS(Пул!$J$5:$J$300,Пул!$E$5:$E$300,$B61,Пул!$L$5:$L$300,"Закрыт"),8)))</f>
        <v/>
      </c>
      <c r="H61" s="340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341">
        <f>IF($B62="","",IF(COUNTIFS(Пул!$E$5:$E$300,$B62,Пул!$L$5:$L$300,"Закрыт")=0,"",ROUND(SUMIFS(Пул!$J$5:$J$300,Пул!$E$5:$E$300,$B62,Пул!$L$5:$L$300,"Закрыт"),8)))</f>
        <v/>
      </c>
      <c r="H62" s="342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339">
        <f>IF($B63="","",IF(COUNTIFS(Пул!$E$5:$E$300,$B63,Пул!$L$5:$L$300,"Закрыт")=0,"",ROUND(SUMIFS(Пул!$J$5:$J$300,Пул!$E$5:$E$300,$B63,Пул!$L$5:$L$300,"Закрыт"),8)))</f>
        <v/>
      </c>
      <c r="H63" s="340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341">
        <f>IF($B64="","",IF(COUNTIFS(Пул!$E$5:$E$300,$B64,Пул!$L$5:$L$300,"Закрыт")=0,"",ROUND(SUMIFS(Пул!$J$5:$J$300,Пул!$E$5:$E$300,$B64,Пул!$L$5:$L$300,"Закрыт"),8)))</f>
        <v/>
      </c>
      <c r="H64" s="342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339">
        <f>IF($B65="","",IF(COUNTIFS(Пул!$E$5:$E$300,$B65,Пул!$L$5:$L$300,"Закрыт")=0,"",ROUND(SUMIFS(Пул!$J$5:$J$300,Пул!$E$5:$E$300,$B65,Пул!$L$5:$L$300,"Закрыт"),8)))</f>
        <v/>
      </c>
      <c r="H65" s="340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341">
        <f>IF($B66="","",IF(COUNTIFS(Пул!$E$5:$E$300,$B66,Пул!$L$5:$L$300,"Закрыт")=0,"",ROUND(SUMIFS(Пул!$J$5:$J$300,Пул!$E$5:$E$300,$B66,Пул!$L$5:$L$300,"Закрыт"),8)))</f>
        <v/>
      </c>
      <c r="H66" s="342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339">
        <f>IF($B67="","",IF(COUNTIFS(Пул!$E$5:$E$300,$B67,Пул!$L$5:$L$300,"Закрыт")=0,"",ROUND(SUMIFS(Пул!$J$5:$J$300,Пул!$E$5:$E$300,$B67,Пул!$L$5:$L$300,"Закрыт"),8)))</f>
        <v/>
      </c>
      <c r="H67" s="340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341">
        <f>IF($B68="","",IF(COUNTIFS(Пул!$E$5:$E$300,$B68,Пул!$L$5:$L$300,"Закрыт")=0,"",ROUND(SUMIFS(Пул!$J$5:$J$300,Пул!$E$5:$E$300,$B68,Пул!$L$5:$L$300,"Закрыт"),8)))</f>
        <v/>
      </c>
      <c r="H68" s="342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339">
        <f>IF($B69="","",IF(COUNTIFS(Пул!$E$5:$E$300,$B69,Пул!$L$5:$L$300,"Закрыт")=0,"",ROUND(SUMIFS(Пул!$J$5:$J$300,Пул!$E$5:$E$300,$B69,Пул!$L$5:$L$300,"Закрыт"),8)))</f>
        <v/>
      </c>
      <c r="H69" s="340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341">
        <f>IF($B70="","",IF(COUNTIFS(Пул!$E$5:$E$300,$B70,Пул!$L$5:$L$300,"Закрыт")=0,"",ROUND(SUMIFS(Пул!$J$5:$J$300,Пул!$E$5:$E$300,$B70,Пул!$L$5:$L$300,"Закрыт"),8)))</f>
        <v/>
      </c>
      <c r="H70" s="342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339">
        <f>IF($B71="","",IF(COUNTIFS(Пул!$E$5:$E$300,$B71,Пул!$L$5:$L$300,"Закрыт")=0,"",ROUND(SUMIFS(Пул!$J$5:$J$300,Пул!$E$5:$E$300,$B71,Пул!$L$5:$L$300,"Закрыт"),8)))</f>
        <v/>
      </c>
      <c r="H71" s="340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341">
        <f>IF($B72="","",IF(COUNTIFS(Пул!$E$5:$E$300,$B72,Пул!$L$5:$L$300,"Закрыт")=0,"",ROUND(SUMIFS(Пул!$J$5:$J$300,Пул!$E$5:$E$300,$B72,Пул!$L$5:$L$300,"Закрыт"),8)))</f>
        <v/>
      </c>
      <c r="H72" s="342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339">
        <f>IF($B73="","",IF(COUNTIFS(Пул!$E$5:$E$300,$B73,Пул!$L$5:$L$300,"Закрыт")=0,"",ROUND(SUMIFS(Пул!$J$5:$J$300,Пул!$E$5:$E$300,$B73,Пул!$L$5:$L$300,"Закрыт"),8)))</f>
        <v/>
      </c>
      <c r="H73" s="340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341">
        <f>IF($B74="","",IF(COUNTIFS(Пул!$E$5:$E$300,$B74,Пул!$L$5:$L$300,"Закрыт")=0,"",ROUND(SUMIFS(Пул!$J$5:$J$300,Пул!$E$5:$E$300,$B74,Пул!$L$5:$L$300,"Закрыт"),8)))</f>
        <v/>
      </c>
      <c r="H74" s="342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339">
        <f>IF($B75="","",IF(COUNTIFS(Пул!$E$5:$E$300,$B75,Пул!$L$5:$L$300,"Закрыт")=0,"",ROUND(SUMIFS(Пул!$J$5:$J$300,Пул!$E$5:$E$300,$B75,Пул!$L$5:$L$300,"Закрыт"),8)))</f>
        <v/>
      </c>
      <c r="H75" s="340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341">
        <f>IF($B76="","",IF(COUNTIFS(Пул!$E$5:$E$300,$B76,Пул!$L$5:$L$300,"Закрыт")=0,"",ROUND(SUMIFS(Пул!$J$5:$J$300,Пул!$E$5:$E$300,$B76,Пул!$L$5:$L$300,"Закрыт"),8)))</f>
        <v/>
      </c>
      <c r="H76" s="342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339">
        <f>IF($B77="","",IF(COUNTIFS(Пул!$E$5:$E$300,$B77,Пул!$L$5:$L$300,"Закрыт")=0,"",ROUND(SUMIFS(Пул!$J$5:$J$300,Пул!$E$5:$E$300,$B77,Пул!$L$5:$L$300,"Закрыт"),8)))</f>
        <v/>
      </c>
      <c r="H77" s="340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341">
        <f>IF($B78="","",IF(COUNTIFS(Пул!$E$5:$E$300,$B78,Пул!$L$5:$L$300,"Закрыт")=0,"",ROUND(SUMIFS(Пул!$J$5:$J$300,Пул!$E$5:$E$300,$B78,Пул!$L$5:$L$300,"Закрыт"),8)))</f>
        <v/>
      </c>
      <c r="H78" s="342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339">
        <f>IF($B79="","",IF(COUNTIFS(Пул!$E$5:$E$300,$B79,Пул!$L$5:$L$300,"Закрыт")=0,"",ROUND(SUMIFS(Пул!$J$5:$J$300,Пул!$E$5:$E$300,$B79,Пул!$L$5:$L$300,"Закрыт"),8)))</f>
        <v/>
      </c>
      <c r="H79" s="340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341">
        <f>IF($B80="","",IF(COUNTIFS(Пул!$E$5:$E$300,$B80,Пул!$L$5:$L$300,"Закрыт")=0,"",ROUND(SUMIFS(Пул!$J$5:$J$300,Пул!$E$5:$E$300,$B80,Пул!$L$5:$L$300,"Закрыт"),8)))</f>
        <v/>
      </c>
      <c r="H80" s="342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339">
        <f>IF($B81="","",IF(COUNTIFS(Пул!$E$5:$E$300,$B81,Пул!$L$5:$L$300,"Закрыт")=0,"",ROUND(SUMIFS(Пул!$J$5:$J$300,Пул!$E$5:$E$300,$B81,Пул!$L$5:$L$300,"Закрыт"),8)))</f>
        <v/>
      </c>
      <c r="H81" s="340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341">
        <f>IF($B82="","",IF(COUNTIFS(Пул!$E$5:$E$300,$B82,Пул!$L$5:$L$300,"Закрыт")=0,"",ROUND(SUMIFS(Пул!$J$5:$J$300,Пул!$E$5:$E$300,$B82,Пул!$L$5:$L$300,"Закрыт"),8)))</f>
        <v/>
      </c>
      <c r="H82" s="342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339">
        <f>IF($B83="","",IF(COUNTIFS(Пул!$E$5:$E$300,$B83,Пул!$L$5:$L$300,"Закрыт")=0,"",ROUND(SUMIFS(Пул!$J$5:$J$300,Пул!$E$5:$E$300,$B83,Пул!$L$5:$L$300,"Закрыт"),8)))</f>
        <v/>
      </c>
      <c r="H83" s="340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341">
        <f>IF($B84="","",IF(COUNTIFS(Пул!$E$5:$E$300,$B84,Пул!$L$5:$L$300,"Закрыт")=0,"",ROUND(SUMIFS(Пул!$J$5:$J$300,Пул!$E$5:$E$300,$B84,Пул!$L$5:$L$300,"Закрыт"),8)))</f>
        <v/>
      </c>
      <c r="H84" s="342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339">
        <f>IF($B85="","",IF(COUNTIFS(Пул!$E$5:$E$300,$B85,Пул!$L$5:$L$300,"Закрыт")=0,"",ROUND(SUMIFS(Пул!$J$5:$J$300,Пул!$E$5:$E$300,$B85,Пул!$L$5:$L$300,"Закрыт"),8)))</f>
        <v/>
      </c>
      <c r="H85" s="340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341">
        <f>IF($B86="","",IF(COUNTIFS(Пул!$E$5:$E$300,$B86,Пул!$L$5:$L$300,"Закрыт")=0,"",ROUND(SUMIFS(Пул!$J$5:$J$300,Пул!$E$5:$E$300,$B86,Пул!$L$5:$L$300,"Закрыт"),8)))</f>
        <v/>
      </c>
      <c r="H86" s="342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339">
        <f>IF($B87="","",IF(COUNTIFS(Пул!$E$5:$E$300,$B87,Пул!$L$5:$L$300,"Закрыт")=0,"",ROUND(SUMIFS(Пул!$J$5:$J$300,Пул!$E$5:$E$300,$B87,Пул!$L$5:$L$300,"Закрыт"),8)))</f>
        <v/>
      </c>
      <c r="H87" s="340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341">
        <f>IF($B88="","",IF(COUNTIFS(Пул!$E$5:$E$300,$B88,Пул!$L$5:$L$300,"Закрыт")=0,"",ROUND(SUMIFS(Пул!$J$5:$J$300,Пул!$E$5:$E$300,$B88,Пул!$L$5:$L$300,"Закрыт"),8)))</f>
        <v/>
      </c>
      <c r="H88" s="342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339">
        <f>IF($B89="","",IF(COUNTIFS(Пул!$E$5:$E$300,$B89,Пул!$L$5:$L$300,"Закрыт")=0,"",ROUND(SUMIFS(Пул!$J$5:$J$300,Пул!$E$5:$E$300,$B89,Пул!$L$5:$L$300,"Закрыт"),8)))</f>
        <v/>
      </c>
      <c r="H89" s="340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341">
        <f>IF($B90="","",IF(COUNTIFS(Пул!$E$5:$E$300,$B90,Пул!$L$5:$L$300,"Закрыт")=0,"",ROUND(SUMIFS(Пул!$J$5:$J$300,Пул!$E$5:$E$300,$B90,Пул!$L$5:$L$300,"Закрыт"),8)))</f>
        <v/>
      </c>
      <c r="H90" s="342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339">
        <f>IF($B91="","",IF(COUNTIFS(Пул!$E$5:$E$300,$B91,Пул!$L$5:$L$300,"Закрыт")=0,"",ROUND(SUMIFS(Пул!$J$5:$J$300,Пул!$E$5:$E$300,$B91,Пул!$L$5:$L$300,"Закрыт"),8)))</f>
        <v/>
      </c>
      <c r="H91" s="340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341">
        <f>IF($B92="","",IF(COUNTIFS(Пул!$E$5:$E$300,$B92,Пул!$L$5:$L$300,"Закрыт")=0,"",ROUND(SUMIFS(Пул!$J$5:$J$300,Пул!$E$5:$E$300,$B92,Пул!$L$5:$L$300,"Закрыт"),8)))</f>
        <v/>
      </c>
      <c r="H92" s="342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339">
        <f>IF($B93="","",IF(COUNTIFS(Пул!$E$5:$E$300,$B93,Пул!$L$5:$L$300,"Закрыт")=0,"",ROUND(SUMIFS(Пул!$J$5:$J$300,Пул!$E$5:$E$300,$B93,Пул!$L$5:$L$300,"Закрыт"),8)))</f>
        <v/>
      </c>
      <c r="H93" s="340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341">
        <f>IF($B94="","",IF(COUNTIFS(Пул!$E$5:$E$300,$B94,Пул!$L$5:$L$300,"Закрыт")=0,"",ROUND(SUMIFS(Пул!$J$5:$J$300,Пул!$E$5:$E$300,$B94,Пул!$L$5:$L$300,"Закрыт"),8)))</f>
        <v/>
      </c>
      <c r="H94" s="342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339">
        <f>IF($B95="","",IF(COUNTIFS(Пул!$E$5:$E$300,$B95,Пул!$L$5:$L$300,"Закрыт")=0,"",ROUND(SUMIFS(Пул!$J$5:$J$300,Пул!$E$5:$E$300,$B95,Пул!$L$5:$L$300,"Закрыт"),8)))</f>
        <v/>
      </c>
      <c r="H95" s="340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341">
        <f>IF($B96="","",IF(COUNTIFS(Пул!$E$5:$E$300,$B96,Пул!$L$5:$L$300,"Закрыт")=0,"",ROUND(SUMIFS(Пул!$J$5:$J$300,Пул!$E$5:$E$300,$B96,Пул!$L$5:$L$300,"Закрыт"),8)))</f>
        <v/>
      </c>
      <c r="H96" s="342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339">
        <f>IF($B97="","",IF(COUNTIFS(Пул!$E$5:$E$300,$B97,Пул!$L$5:$L$300,"Закрыт")=0,"",ROUND(SUMIFS(Пул!$J$5:$J$300,Пул!$E$5:$E$300,$B97,Пул!$L$5:$L$300,"Закрыт"),8)))</f>
        <v/>
      </c>
      <c r="H97" s="340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341">
        <f>IF($B98="","",IF(COUNTIFS(Пул!$E$5:$E$300,$B98,Пул!$L$5:$L$300,"Закрыт")=0,"",ROUND(SUMIFS(Пул!$J$5:$J$300,Пул!$E$5:$E$300,$B98,Пул!$L$5:$L$300,"Закрыт"),8)))</f>
        <v/>
      </c>
      <c r="H98" s="342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339">
        <f>IF($B99="","",IF(COUNTIFS(Пул!$E$5:$E$300,$B99,Пул!$L$5:$L$300,"Закрыт")=0,"",ROUND(SUMIFS(Пул!$J$5:$J$300,Пул!$E$5:$E$300,$B99,Пул!$L$5:$L$300,"Закрыт"),8)))</f>
        <v/>
      </c>
      <c r="H99" s="340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341">
        <f>IF($B100="","",IF(COUNTIFS(Пул!$E$5:$E$300,$B100,Пул!$L$5:$L$300,"Закрыт")=0,"",ROUND(SUMIFS(Пул!$J$5:$J$300,Пул!$E$5:$E$300,$B100,Пул!$L$5:$L$300,"Закрыт"),8)))</f>
        <v/>
      </c>
      <c r="H100" s="342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339">
        <f>IF($B101="","",IF(COUNTIFS(Пул!$E$5:$E$300,$B101,Пул!$L$5:$L$300,"Закрыт")=0,"",ROUND(SUMIFS(Пул!$J$5:$J$300,Пул!$E$5:$E$300,$B101,Пул!$L$5:$L$300,"Закрыт"),8)))</f>
        <v/>
      </c>
      <c r="H101" s="340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341">
        <f>IF($B102="","",IF(COUNTIFS(Пул!$E$5:$E$300,$B102,Пул!$L$5:$L$300,"Закрыт")=0,"",ROUND(SUMIFS(Пул!$J$5:$J$300,Пул!$E$5:$E$300,$B102,Пул!$L$5:$L$300,"Закрыт"),8)))</f>
        <v/>
      </c>
      <c r="H102" s="342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339">
        <f>IF($B103="","",IF(COUNTIFS(Пул!$E$5:$E$300,$B103,Пул!$L$5:$L$300,"Закрыт")=0,"",ROUND(SUMIFS(Пул!$J$5:$J$300,Пул!$E$5:$E$300,$B103,Пул!$L$5:$L$300,"Закрыт"),8)))</f>
        <v/>
      </c>
      <c r="H103" s="340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341">
        <f>IF($B104="","",IF(COUNTIFS(Пул!$E$5:$E$300,$B104,Пул!$L$5:$L$300,"Закрыт")=0,"",ROUND(SUMIFS(Пул!$J$5:$J$300,Пул!$E$5:$E$300,$B104,Пул!$L$5:$L$300,"Закрыт"),8)))</f>
        <v/>
      </c>
      <c r="H104" s="342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339">
        <f>IF($B105="","",IF(COUNTIFS(Пул!$E$5:$E$300,$B105,Пул!$L$5:$L$300,"Закрыт")=0,"",ROUND(SUMIFS(Пул!$J$5:$J$300,Пул!$E$5:$E$300,$B105,Пул!$L$5:$L$300,"Закрыт"),8)))</f>
        <v/>
      </c>
      <c r="H105" s="340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341">
        <f>IF($B106="","",IF(COUNTIFS(Пул!$E$5:$E$300,$B106,Пул!$L$5:$L$300,"Закрыт")=0,"",ROUND(SUMIFS(Пул!$J$5:$J$300,Пул!$E$5:$E$300,$B106,Пул!$L$5:$L$300,"Закрыт"),8)))</f>
        <v/>
      </c>
      <c r="H106" s="342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339">
        <f>IF($B107="","",IF(COUNTIFS(Пул!$E$5:$E$300,$B107,Пул!$L$5:$L$300,"Закрыт")=0,"",ROUND(SUMIFS(Пул!$J$5:$J$300,Пул!$E$5:$E$300,$B107,Пул!$L$5:$L$300,"Закрыт"),8)))</f>
        <v/>
      </c>
      <c r="H107" s="340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341">
        <f>IF($B108="","",IF(COUNTIFS(Пул!$E$5:$E$300,$B108,Пул!$L$5:$L$300,"Закрыт")=0,"",ROUND(SUMIFS(Пул!$J$5:$J$300,Пул!$E$5:$E$300,$B108,Пул!$L$5:$L$300,"Закрыт"),8)))</f>
        <v/>
      </c>
      <c r="H108" s="342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339">
        <f>IF($B109="","",IF(COUNTIFS(Пул!$E$5:$E$300,$B109,Пул!$L$5:$L$300,"Закрыт")=0,"",ROUND(SUMIFS(Пул!$J$5:$J$300,Пул!$E$5:$E$300,$B109,Пул!$L$5:$L$300,"Закрыт"),8)))</f>
        <v/>
      </c>
      <c r="H109" s="340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341">
        <f>IF($B110="","",IF(COUNTIFS(Пул!$E$5:$E$300,$B110,Пул!$L$5:$L$300,"Закрыт")=0,"",ROUND(SUMIFS(Пул!$J$5:$J$300,Пул!$E$5:$E$300,$B110,Пул!$L$5:$L$300,"Закрыт"),8)))</f>
        <v/>
      </c>
      <c r="H110" s="342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339">
        <f>IF($B111="","",IF(COUNTIFS(Пул!$E$5:$E$300,$B111,Пул!$L$5:$L$300,"Закрыт")=0,"",ROUND(SUMIFS(Пул!$J$5:$J$300,Пул!$E$5:$E$300,$B111,Пул!$L$5:$L$300,"Закрыт"),8)))</f>
        <v/>
      </c>
      <c r="H111" s="340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341">
        <f>IF($B112="","",IF(COUNTIFS(Пул!$E$5:$E$300,$B112,Пул!$L$5:$L$300,"Закрыт")=0,"",ROUND(SUMIFS(Пул!$J$5:$J$300,Пул!$E$5:$E$300,$B112,Пул!$L$5:$L$300,"Закрыт"),8)))</f>
        <v/>
      </c>
      <c r="H112" s="342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339">
        <f>IF($B113="","",IF(COUNTIFS(Пул!$E$5:$E$300,$B113,Пул!$L$5:$L$300,"Закрыт")=0,"",ROUND(SUMIFS(Пул!$J$5:$J$300,Пул!$E$5:$E$300,$B113,Пул!$L$5:$L$300,"Закрыт"),8)))</f>
        <v/>
      </c>
      <c r="H113" s="340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341">
        <f>IF($B114="","",IF(COUNTIFS(Пул!$E$5:$E$300,$B114,Пул!$L$5:$L$300,"Закрыт")=0,"",ROUND(SUMIFS(Пул!$J$5:$J$300,Пул!$E$5:$E$300,$B114,Пул!$L$5:$L$300,"Закрыт"),8)))</f>
        <v/>
      </c>
      <c r="H114" s="342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339">
        <f>IF($B115="","",IF(COUNTIFS(Пул!$E$5:$E$300,$B115,Пул!$L$5:$L$300,"Закрыт")=0,"",ROUND(SUMIFS(Пул!$J$5:$J$300,Пул!$E$5:$E$300,$B115,Пул!$L$5:$L$300,"Закрыт"),8)))</f>
        <v/>
      </c>
      <c r="H115" s="340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341">
        <f>IF($B116="","",IF(COUNTIFS(Пул!$E$5:$E$300,$B116,Пул!$L$5:$L$300,"Закрыт")=0,"",ROUND(SUMIFS(Пул!$J$5:$J$300,Пул!$E$5:$E$300,$B116,Пул!$L$5:$L$300,"Закрыт"),8)))</f>
        <v/>
      </c>
      <c r="H116" s="342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339">
        <f>IF($B117="","",IF(COUNTIFS(Пул!$E$5:$E$300,$B117,Пул!$L$5:$L$300,"Закрыт")=0,"",ROUND(SUMIFS(Пул!$J$5:$J$300,Пул!$E$5:$E$300,$B117,Пул!$L$5:$L$300,"Закрыт"),8)))</f>
        <v/>
      </c>
      <c r="H117" s="340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341">
        <f>IF($B118="","",IF(COUNTIFS(Пул!$E$5:$E$300,$B118,Пул!$L$5:$L$300,"Закрыт")=0,"",ROUND(SUMIFS(Пул!$J$5:$J$300,Пул!$E$5:$E$300,$B118,Пул!$L$5:$L$300,"Закрыт"),8)))</f>
        <v/>
      </c>
      <c r="H118" s="342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339">
        <f>IF($B119="","",IF(COUNTIFS(Пул!$E$5:$E$300,$B119,Пул!$L$5:$L$300,"Закрыт")=0,"",ROUND(SUMIFS(Пул!$J$5:$J$300,Пул!$E$5:$E$300,$B119,Пул!$L$5:$L$300,"Закрыт"),8)))</f>
        <v/>
      </c>
      <c r="H119" s="340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341">
        <f>IF($B120="","",IF(COUNTIFS(Пул!$E$5:$E$300,$B120,Пул!$L$5:$L$300,"Закрыт")=0,"",ROUND(SUMIFS(Пул!$J$5:$J$300,Пул!$E$5:$E$300,$B120,Пул!$L$5:$L$300,"Закрыт"),8)))</f>
        <v/>
      </c>
      <c r="H120" s="342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339">
        <f>IF($B121="","",IF(COUNTIFS(Пул!$E$5:$E$300,$B121,Пул!$L$5:$L$300,"Закрыт")=0,"",ROUND(SUMIFS(Пул!$J$5:$J$300,Пул!$E$5:$E$300,$B121,Пул!$L$5:$L$300,"Закрыт"),8)))</f>
        <v/>
      </c>
      <c r="H121" s="340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341">
        <f>IF($B122="","",IF(COUNTIFS(Пул!$E$5:$E$300,$B122,Пул!$L$5:$L$300,"Закрыт")=0,"",ROUND(SUMIFS(Пул!$J$5:$J$300,Пул!$E$5:$E$300,$B122,Пул!$L$5:$L$300,"Закрыт"),8)))</f>
        <v/>
      </c>
      <c r="H122" s="342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339">
        <f>IF($B123="","",IF(COUNTIFS(Пул!$E$5:$E$300,$B123,Пул!$L$5:$L$300,"Закрыт")=0,"",ROUND(SUMIFS(Пул!$J$5:$J$300,Пул!$E$5:$E$300,$B123,Пул!$L$5:$L$300,"Закрыт"),8)))</f>
        <v/>
      </c>
      <c r="H123" s="340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341">
        <f>IF($B124="","",IF(COUNTIFS(Пул!$E$5:$E$300,$B124,Пул!$L$5:$L$300,"Закрыт")=0,"",ROUND(SUMIFS(Пул!$J$5:$J$300,Пул!$E$5:$E$300,$B124,Пул!$L$5:$L$300,"Закрыт"),8)))</f>
        <v/>
      </c>
      <c r="H124" s="342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339">
        <f>IF($B125="","",IF(COUNTIFS(Пул!$E$5:$E$300,$B125,Пул!$L$5:$L$300,"Закрыт")=0,"",ROUND(SUMIFS(Пул!$J$5:$J$300,Пул!$E$5:$E$300,$B125,Пул!$L$5:$L$300,"Закрыт"),8)))</f>
        <v/>
      </c>
      <c r="H125" s="340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341">
        <f>IF($B126="","",IF(COUNTIFS(Пул!$E$5:$E$300,$B126,Пул!$L$5:$L$300,"Закрыт")=0,"",ROUND(SUMIFS(Пул!$J$5:$J$300,Пул!$E$5:$E$300,$B126,Пул!$L$5:$L$300,"Закрыт"),8)))</f>
        <v/>
      </c>
      <c r="H126" s="342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339">
        <f>IF($B127="","",IF(COUNTIFS(Пул!$E$5:$E$300,$B127,Пул!$L$5:$L$300,"Закрыт")=0,"",ROUND(SUMIFS(Пул!$J$5:$J$300,Пул!$E$5:$E$300,$B127,Пул!$L$5:$L$300,"Закрыт"),8)))</f>
        <v/>
      </c>
      <c r="H127" s="340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341">
        <f>IF($B128="","",IF(COUNTIFS(Пул!$E$5:$E$300,$B128,Пул!$L$5:$L$300,"Закрыт")=0,"",ROUND(SUMIFS(Пул!$J$5:$J$300,Пул!$E$5:$E$300,$B128,Пул!$L$5:$L$300,"Закрыт"),8)))</f>
        <v/>
      </c>
      <c r="H128" s="342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339">
        <f>IF($B129="","",IF(COUNTIFS(Пул!$E$5:$E$300,$B129,Пул!$L$5:$L$300,"Закрыт")=0,"",ROUND(SUMIFS(Пул!$J$5:$J$300,Пул!$E$5:$E$300,$B129,Пул!$L$5:$L$300,"Закрыт"),8)))</f>
        <v/>
      </c>
      <c r="H129" s="340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341">
        <f>IF($B130="","",IF(COUNTIFS(Пул!$E$5:$E$300,$B130,Пул!$L$5:$L$300,"Закрыт")=0,"",ROUND(SUMIFS(Пул!$J$5:$J$300,Пул!$E$5:$E$300,$B130,Пул!$L$5:$L$300,"Закрыт"),8)))</f>
        <v/>
      </c>
      <c r="H130" s="342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339">
        <f>IF($B131="","",IF(COUNTIFS(Пул!$E$5:$E$300,$B131,Пул!$L$5:$L$300,"Закрыт")=0,"",ROUND(SUMIFS(Пул!$J$5:$J$300,Пул!$E$5:$E$300,$B131,Пул!$L$5:$L$300,"Закрыт"),8)))</f>
        <v/>
      </c>
      <c r="H131" s="340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341">
        <f>IF($B132="","",IF(COUNTIFS(Пул!$E$5:$E$300,$B132,Пул!$L$5:$L$300,"Закрыт")=0,"",ROUND(SUMIFS(Пул!$J$5:$J$300,Пул!$E$5:$E$300,$B132,Пул!$L$5:$L$300,"Закрыт"),8)))</f>
        <v/>
      </c>
      <c r="H132" s="342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339">
        <f>IF($B133="","",IF(COUNTIFS(Пул!$E$5:$E$300,$B133,Пул!$L$5:$L$300,"Закрыт")=0,"",ROUND(SUMIFS(Пул!$J$5:$J$300,Пул!$E$5:$E$300,$B133,Пул!$L$5:$L$300,"Закрыт"),8)))</f>
        <v/>
      </c>
      <c r="H133" s="340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341">
        <f>IF($B134="","",IF(COUNTIFS(Пул!$E$5:$E$300,$B134,Пул!$L$5:$L$300,"Закрыт")=0,"",ROUND(SUMIFS(Пул!$J$5:$J$300,Пул!$E$5:$E$300,$B134,Пул!$L$5:$L$300,"Закрыт"),8)))</f>
        <v/>
      </c>
      <c r="H134" s="342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339">
        <f>IF($B135="","",IF(COUNTIFS(Пул!$E$5:$E$300,$B135,Пул!$L$5:$L$300,"Закрыт")=0,"",ROUND(SUMIFS(Пул!$J$5:$J$300,Пул!$E$5:$E$300,$B135,Пул!$L$5:$L$300,"Закрыт"),8)))</f>
        <v/>
      </c>
      <c r="H135" s="340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341">
        <f>IF($B136="","",IF(COUNTIFS(Пул!$E$5:$E$300,$B136,Пул!$L$5:$L$300,"Закрыт")=0,"",ROUND(SUMIFS(Пул!$J$5:$J$300,Пул!$E$5:$E$300,$B136,Пул!$L$5:$L$300,"Закрыт"),8)))</f>
        <v/>
      </c>
      <c r="H136" s="342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339">
        <f>IF($B137="","",IF(COUNTIFS(Пул!$E$5:$E$300,$B137,Пул!$L$5:$L$300,"Закрыт")=0,"",ROUND(SUMIFS(Пул!$J$5:$J$300,Пул!$E$5:$E$300,$B137,Пул!$L$5:$L$300,"Закрыт"),8)))</f>
        <v/>
      </c>
      <c r="H137" s="340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341">
        <f>IF($B138="","",IF(COUNTIFS(Пул!$E$5:$E$300,$B138,Пул!$L$5:$L$300,"Закрыт")=0,"",ROUND(SUMIFS(Пул!$J$5:$J$300,Пул!$E$5:$E$300,$B138,Пул!$L$5:$L$300,"Закрыт"),8)))</f>
        <v/>
      </c>
      <c r="H138" s="342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339">
        <f>IF($B139="","",IF(COUNTIFS(Пул!$E$5:$E$300,$B139,Пул!$L$5:$L$300,"Закрыт")=0,"",ROUND(SUMIFS(Пул!$J$5:$J$300,Пул!$E$5:$E$300,$B139,Пул!$L$5:$L$300,"Закрыт"),8)))</f>
        <v/>
      </c>
      <c r="H139" s="340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341">
        <f>IF($B140="","",IF(COUNTIFS(Пул!$E$5:$E$300,$B140,Пул!$L$5:$L$300,"Закрыт")=0,"",ROUND(SUMIFS(Пул!$J$5:$J$300,Пул!$E$5:$E$300,$B140,Пул!$L$5:$L$300,"Закрыт"),8)))</f>
        <v/>
      </c>
      <c r="H140" s="342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339">
        <f>IF($B141="","",IF(COUNTIFS(Пул!$E$5:$E$300,$B141,Пул!$L$5:$L$300,"Закрыт")=0,"",ROUND(SUMIFS(Пул!$J$5:$J$300,Пул!$E$5:$E$300,$B141,Пул!$L$5:$L$300,"Закрыт"),8)))</f>
        <v/>
      </c>
      <c r="H141" s="340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341">
        <f>IF($B142="","",IF(COUNTIFS(Пул!$E$5:$E$300,$B142,Пул!$L$5:$L$300,"Закрыт")=0,"",ROUND(SUMIFS(Пул!$J$5:$J$300,Пул!$E$5:$E$300,$B142,Пул!$L$5:$L$300,"Закрыт"),8)))</f>
        <v/>
      </c>
      <c r="H142" s="342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339">
        <f>IF($B143="","",IF(COUNTIFS(Пул!$E$5:$E$300,$B143,Пул!$L$5:$L$300,"Закрыт")=0,"",ROUND(SUMIFS(Пул!$J$5:$J$300,Пул!$E$5:$E$300,$B143,Пул!$L$5:$L$300,"Закрыт"),8)))</f>
        <v/>
      </c>
      <c r="H143" s="340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341">
        <f>IF($B144="","",IF(COUNTIFS(Пул!$E$5:$E$300,$B144,Пул!$L$5:$L$300,"Закрыт")=0,"",ROUND(SUMIFS(Пул!$J$5:$J$300,Пул!$E$5:$E$300,$B144,Пул!$L$5:$L$300,"Закрыт"),8)))</f>
        <v/>
      </c>
      <c r="H144" s="342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339">
        <f>IF($B145="","",IF(COUNTIFS(Пул!$E$5:$E$300,$B145,Пул!$L$5:$L$300,"Закрыт")=0,"",ROUND(SUMIFS(Пул!$J$5:$J$300,Пул!$E$5:$E$300,$B145,Пул!$L$5:$L$300,"Закрыт"),8)))</f>
        <v/>
      </c>
      <c r="H145" s="340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341">
        <f>IF($B146="","",IF(COUNTIFS(Пул!$E$5:$E$300,$B146,Пул!$L$5:$L$300,"Закрыт")=0,"",ROUND(SUMIFS(Пул!$J$5:$J$300,Пул!$E$5:$E$300,$B146,Пул!$L$5:$L$300,"Закрыт"),8)))</f>
        <v/>
      </c>
      <c r="H146" s="342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339">
        <f>IF($B147="","",IF(COUNTIFS(Пул!$E$5:$E$300,$B147,Пул!$L$5:$L$300,"Закрыт")=0,"",ROUND(SUMIFS(Пул!$J$5:$J$300,Пул!$E$5:$E$300,$B147,Пул!$L$5:$L$300,"Закрыт"),8)))</f>
        <v/>
      </c>
      <c r="H147" s="340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341">
        <f>IF($B148="","",IF(COUNTIFS(Пул!$E$5:$E$300,$B148,Пул!$L$5:$L$300,"Закрыт")=0,"",ROUND(SUMIFS(Пул!$J$5:$J$300,Пул!$E$5:$E$300,$B148,Пул!$L$5:$L$300,"Закрыт"),8)))</f>
        <v/>
      </c>
      <c r="H148" s="342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339">
        <f>IF($B149="","",IF(COUNTIFS(Пул!$E$5:$E$300,$B149,Пул!$L$5:$L$300,"Закрыт")=0,"",ROUND(SUMIFS(Пул!$J$5:$J$300,Пул!$E$5:$E$300,$B149,Пул!$L$5:$L$300,"Закрыт"),8)))</f>
        <v/>
      </c>
      <c r="H149" s="340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341">
        <f>IF($B150="","",IF(COUNTIFS(Пул!$E$5:$E$300,$B150,Пул!$L$5:$L$300,"Закрыт")=0,"",ROUND(SUMIFS(Пул!$J$5:$J$300,Пул!$E$5:$E$300,$B150,Пул!$L$5:$L$300,"Закрыт"),8)))</f>
        <v/>
      </c>
      <c r="H150" s="342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339">
        <f>IF($B151="","",IF(COUNTIFS(Пул!$E$5:$E$300,$B151,Пул!$L$5:$L$300,"Закрыт")=0,"",ROUND(SUMIFS(Пул!$J$5:$J$300,Пул!$E$5:$E$300,$B151,Пул!$L$5:$L$300,"Закрыт"),8)))</f>
        <v/>
      </c>
      <c r="H151" s="340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341">
        <f>IF($B152="","",IF(COUNTIFS(Пул!$E$5:$E$300,$B152,Пул!$L$5:$L$300,"Закрыт")=0,"",ROUND(SUMIFS(Пул!$J$5:$J$300,Пул!$E$5:$E$300,$B152,Пул!$L$5:$L$300,"Закрыт"),8)))</f>
        <v/>
      </c>
      <c r="H152" s="342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339">
        <f>IF($B153="","",IF(COUNTIFS(Пул!$E$5:$E$300,$B153,Пул!$L$5:$L$300,"Закрыт")=0,"",ROUND(SUMIFS(Пул!$J$5:$J$300,Пул!$E$5:$E$300,$B153,Пул!$L$5:$L$300,"Закрыт"),8)))</f>
        <v/>
      </c>
      <c r="H153" s="340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341">
        <f>IF($B154="","",IF(COUNTIFS(Пул!$E$5:$E$300,$B154,Пул!$L$5:$L$300,"Закрыт")=0,"",ROUND(SUMIFS(Пул!$J$5:$J$300,Пул!$E$5:$E$300,$B154,Пул!$L$5:$L$300,"Закрыт"),8)))</f>
        <v/>
      </c>
      <c r="H154" s="342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339">
        <f>IF($B155="","",IF(COUNTIFS(Пул!$E$5:$E$300,$B155,Пул!$L$5:$L$300,"Закрыт")=0,"",ROUND(SUMIFS(Пул!$J$5:$J$300,Пул!$E$5:$E$300,$B155,Пул!$L$5:$L$300,"Закрыт"),8)))</f>
        <v/>
      </c>
      <c r="H155" s="340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341">
        <f>IF($B156="","",IF(COUNTIFS(Пул!$E$5:$E$300,$B156,Пул!$L$5:$L$300,"Закрыт")=0,"",ROUND(SUMIFS(Пул!$J$5:$J$300,Пул!$E$5:$E$300,$B156,Пул!$L$5:$L$300,"Закрыт"),8)))</f>
        <v/>
      </c>
      <c r="H156" s="342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339">
        <f>IF($B157="","",IF(COUNTIFS(Пул!$E$5:$E$300,$B157,Пул!$L$5:$L$300,"Закрыт")=0,"",ROUND(SUMIFS(Пул!$J$5:$J$300,Пул!$E$5:$E$300,$B157,Пул!$L$5:$L$300,"Закрыт"),8)))</f>
        <v/>
      </c>
      <c r="H157" s="340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341">
        <f>IF($B158="","",IF(COUNTIFS(Пул!$E$5:$E$300,$B158,Пул!$L$5:$L$300,"Закрыт")=0,"",ROUND(SUMIFS(Пул!$J$5:$J$300,Пул!$E$5:$E$300,$B158,Пул!$L$5:$L$300,"Закрыт"),8)))</f>
        <v/>
      </c>
      <c r="H158" s="342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339">
        <f>IF($B159="","",IF(COUNTIFS(Пул!$E$5:$E$300,$B159,Пул!$L$5:$L$300,"Закрыт")=0,"",ROUND(SUMIFS(Пул!$J$5:$J$300,Пул!$E$5:$E$300,$B159,Пул!$L$5:$L$300,"Закрыт"),8)))</f>
        <v/>
      </c>
      <c r="H159" s="340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341">
        <f>IF($B160="","",IF(COUNTIFS(Пул!$E$5:$E$300,$B160,Пул!$L$5:$L$300,"Закрыт")=0,"",ROUND(SUMIFS(Пул!$J$5:$J$300,Пул!$E$5:$E$300,$B160,Пул!$L$5:$L$300,"Закрыт"),8)))</f>
        <v/>
      </c>
      <c r="H160" s="342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339">
        <f>IF($B161="","",IF(COUNTIFS(Пул!$E$5:$E$300,$B161,Пул!$L$5:$L$300,"Закрыт")=0,"",ROUND(SUMIFS(Пул!$J$5:$J$300,Пул!$E$5:$E$300,$B161,Пул!$L$5:$L$300,"Закрыт"),8)))</f>
        <v/>
      </c>
      <c r="H161" s="340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341">
        <f>IF($B162="","",IF(COUNTIFS(Пул!$E$5:$E$300,$B162,Пул!$L$5:$L$300,"Закрыт")=0,"",ROUND(SUMIFS(Пул!$J$5:$J$300,Пул!$E$5:$E$300,$B162,Пул!$L$5:$L$300,"Закрыт"),8)))</f>
        <v/>
      </c>
      <c r="H162" s="342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339">
        <f>IF($B163="","",IF(COUNTIFS(Пул!$E$5:$E$300,$B163,Пул!$L$5:$L$300,"Закрыт")=0,"",ROUND(SUMIFS(Пул!$J$5:$J$300,Пул!$E$5:$E$300,$B163,Пул!$L$5:$L$300,"Закрыт"),8)))</f>
        <v/>
      </c>
      <c r="H163" s="340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341">
        <f>IF($B164="","",IF(COUNTIFS(Пул!$E$5:$E$300,$B164,Пул!$L$5:$L$300,"Закрыт")=0,"",ROUND(SUMIFS(Пул!$J$5:$J$300,Пул!$E$5:$E$300,$B164,Пул!$L$5:$L$300,"Закрыт"),8)))</f>
        <v/>
      </c>
      <c r="H164" s="342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339">
        <f>IF($B165="","",IF(COUNTIFS(Пул!$E$5:$E$300,$B165,Пул!$L$5:$L$300,"Закрыт")=0,"",ROUND(SUMIFS(Пул!$J$5:$J$300,Пул!$E$5:$E$300,$B165,Пул!$L$5:$L$300,"Закрыт"),8)))</f>
        <v/>
      </c>
      <c r="H165" s="340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341">
        <f>IF($B166="","",IF(COUNTIFS(Пул!$E$5:$E$300,$B166,Пул!$L$5:$L$300,"Закрыт")=0,"",ROUND(SUMIFS(Пул!$J$5:$J$300,Пул!$E$5:$E$300,$B166,Пул!$L$5:$L$300,"Закрыт"),8)))</f>
        <v/>
      </c>
      <c r="H166" s="342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339">
        <f>IF($B167="","",IF(COUNTIFS(Пул!$E$5:$E$300,$B167,Пул!$L$5:$L$300,"Закрыт")=0,"",ROUND(SUMIFS(Пул!$J$5:$J$300,Пул!$E$5:$E$300,$B167,Пул!$L$5:$L$300,"Закрыт"),8)))</f>
        <v/>
      </c>
      <c r="H167" s="340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341">
        <f>IF($B168="","",IF(COUNTIFS(Пул!$E$5:$E$300,$B168,Пул!$L$5:$L$300,"Закрыт")=0,"",ROUND(SUMIFS(Пул!$J$5:$J$300,Пул!$E$5:$E$300,$B168,Пул!$L$5:$L$300,"Закрыт"),8)))</f>
        <v/>
      </c>
      <c r="H168" s="342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339">
        <f>IF($B169="","",IF(COUNTIFS(Пул!$E$5:$E$300,$B169,Пул!$L$5:$L$300,"Закрыт")=0,"",ROUND(SUMIFS(Пул!$J$5:$J$300,Пул!$E$5:$E$300,$B169,Пул!$L$5:$L$300,"Закрыт"),8)))</f>
        <v/>
      </c>
      <c r="H169" s="340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341">
        <f>IF($B170="","",IF(COUNTIFS(Пул!$E$5:$E$300,$B170,Пул!$L$5:$L$300,"Закрыт")=0,"",ROUND(SUMIFS(Пул!$J$5:$J$300,Пул!$E$5:$E$300,$B170,Пул!$L$5:$L$300,"Закрыт"),8)))</f>
        <v/>
      </c>
      <c r="H170" s="342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339">
        <f>IF($B171="","",IF(COUNTIFS(Пул!$E$5:$E$300,$B171,Пул!$L$5:$L$300,"Закрыт")=0,"",ROUND(SUMIFS(Пул!$J$5:$J$300,Пул!$E$5:$E$300,$B171,Пул!$L$5:$L$300,"Закрыт"),8)))</f>
        <v/>
      </c>
      <c r="H171" s="340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341">
        <f>IF($B172="","",IF(COUNTIFS(Пул!$E$5:$E$300,$B172,Пул!$L$5:$L$300,"Закрыт")=0,"",ROUND(SUMIFS(Пул!$J$5:$J$300,Пул!$E$5:$E$300,$B172,Пул!$L$5:$L$300,"Закрыт"),8)))</f>
        <v/>
      </c>
      <c r="H172" s="342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339">
        <f>IF($B173="","",IF(COUNTIFS(Пул!$E$5:$E$300,$B173,Пул!$L$5:$L$300,"Закрыт")=0,"",ROUND(SUMIFS(Пул!$J$5:$J$300,Пул!$E$5:$E$300,$B173,Пул!$L$5:$L$300,"Закрыт"),8)))</f>
        <v/>
      </c>
      <c r="H173" s="340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341">
        <f>IF($B174="","",IF(COUNTIFS(Пул!$E$5:$E$300,$B174,Пул!$L$5:$L$300,"Закрыт")=0,"",ROUND(SUMIFS(Пул!$J$5:$J$300,Пул!$E$5:$E$300,$B174,Пул!$L$5:$L$300,"Закрыт"),8)))</f>
        <v/>
      </c>
      <c r="H174" s="342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339">
        <f>IF($B175="","",IF(COUNTIFS(Пул!$E$5:$E$300,$B175,Пул!$L$5:$L$300,"Закрыт")=0,"",ROUND(SUMIFS(Пул!$J$5:$J$300,Пул!$E$5:$E$300,$B175,Пул!$L$5:$L$300,"Закрыт"),8)))</f>
        <v/>
      </c>
      <c r="H175" s="340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341">
        <f>IF($B176="","",IF(COUNTIFS(Пул!$E$5:$E$300,$B176,Пул!$L$5:$L$300,"Закрыт")=0,"",ROUND(SUMIFS(Пул!$J$5:$J$300,Пул!$E$5:$E$300,$B176,Пул!$L$5:$L$300,"Закрыт"),8)))</f>
        <v/>
      </c>
      <c r="H176" s="342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339">
        <f>IF($B177="","",IF(COUNTIFS(Пул!$E$5:$E$300,$B177,Пул!$L$5:$L$300,"Закрыт")=0,"",ROUND(SUMIFS(Пул!$J$5:$J$300,Пул!$E$5:$E$300,$B177,Пул!$L$5:$L$300,"Закрыт"),8)))</f>
        <v/>
      </c>
      <c r="H177" s="340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341">
        <f>IF($B178="","",IF(COUNTIFS(Пул!$E$5:$E$300,$B178,Пул!$L$5:$L$300,"Закрыт")=0,"",ROUND(SUMIFS(Пул!$J$5:$J$300,Пул!$E$5:$E$300,$B178,Пул!$L$5:$L$300,"Закрыт"),8)))</f>
        <v/>
      </c>
      <c r="H178" s="342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339">
        <f>IF($B179="","",IF(COUNTIFS(Пул!$E$5:$E$300,$B179,Пул!$L$5:$L$300,"Закрыт")=0,"",ROUND(SUMIFS(Пул!$J$5:$J$300,Пул!$E$5:$E$300,$B179,Пул!$L$5:$L$300,"Закрыт"),8)))</f>
        <v/>
      </c>
      <c r="H179" s="340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341">
        <f>IF($B180="","",IF(COUNTIFS(Пул!$E$5:$E$300,$B180,Пул!$L$5:$L$300,"Закрыт")=0,"",ROUND(SUMIFS(Пул!$J$5:$J$300,Пул!$E$5:$E$300,$B180,Пул!$L$5:$L$300,"Закрыт"),8)))</f>
        <v/>
      </c>
      <c r="H180" s="342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339">
        <f>IF($B181="","",IF(COUNTIFS(Пул!$E$5:$E$300,$B181,Пул!$L$5:$L$300,"Закрыт")=0,"",ROUND(SUMIFS(Пул!$J$5:$J$300,Пул!$E$5:$E$300,$B181,Пул!$L$5:$L$300,"Закрыт"),8)))</f>
        <v/>
      </c>
      <c r="H181" s="340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341">
        <f>IF($B182="","",IF(COUNTIFS(Пул!$E$5:$E$300,$B182,Пул!$L$5:$L$300,"Закрыт")=0,"",ROUND(SUMIFS(Пул!$J$5:$J$300,Пул!$E$5:$E$300,$B182,Пул!$L$5:$L$300,"Закрыт"),8)))</f>
        <v/>
      </c>
      <c r="H182" s="342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339">
        <f>IF($B183="","",IF(COUNTIFS(Пул!$E$5:$E$300,$B183,Пул!$L$5:$L$300,"Закрыт")=0,"",ROUND(SUMIFS(Пул!$J$5:$J$300,Пул!$E$5:$E$300,$B183,Пул!$L$5:$L$300,"Закрыт"),8)))</f>
        <v/>
      </c>
      <c r="H183" s="340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341">
        <f>IF($B184="","",IF(COUNTIFS(Пул!$E$5:$E$300,$B184,Пул!$L$5:$L$300,"Закрыт")=0,"",ROUND(SUMIFS(Пул!$J$5:$J$300,Пул!$E$5:$E$300,$B184,Пул!$L$5:$L$300,"Закрыт"),8)))</f>
        <v/>
      </c>
      <c r="H184" s="342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339">
        <f>IF($B185="","",IF(COUNTIFS(Пул!$E$5:$E$300,$B185,Пул!$L$5:$L$300,"Закрыт")=0,"",ROUND(SUMIFS(Пул!$J$5:$J$300,Пул!$E$5:$E$300,$B185,Пул!$L$5:$L$300,"Закрыт"),8)))</f>
        <v/>
      </c>
      <c r="H185" s="340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341">
        <f>IF($B186="","",IF(COUNTIFS(Пул!$E$5:$E$300,$B186,Пул!$L$5:$L$300,"Закрыт")=0,"",ROUND(SUMIFS(Пул!$J$5:$J$300,Пул!$E$5:$E$300,$B186,Пул!$L$5:$L$300,"Закрыт"),8)))</f>
        <v/>
      </c>
      <c r="H186" s="342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339">
        <f>IF($B187="","",IF(COUNTIFS(Пул!$E$5:$E$300,$B187,Пул!$L$5:$L$300,"Закрыт")=0,"",ROUND(SUMIFS(Пул!$J$5:$J$300,Пул!$E$5:$E$300,$B187,Пул!$L$5:$L$300,"Закрыт"),8)))</f>
        <v/>
      </c>
      <c r="H187" s="340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341">
        <f>IF($B188="","",IF(COUNTIFS(Пул!$E$5:$E$300,$B188,Пул!$L$5:$L$300,"Закрыт")=0,"",ROUND(SUMIFS(Пул!$J$5:$J$300,Пул!$E$5:$E$300,$B188,Пул!$L$5:$L$300,"Закрыт"),8)))</f>
        <v/>
      </c>
      <c r="H188" s="342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339">
        <f>IF($B189="","",IF(COUNTIFS(Пул!$E$5:$E$300,$B189,Пул!$L$5:$L$300,"Закрыт")=0,"",ROUND(SUMIFS(Пул!$J$5:$J$300,Пул!$E$5:$E$300,$B189,Пул!$L$5:$L$300,"Закрыт"),8)))</f>
        <v/>
      </c>
      <c r="H189" s="340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341">
        <f>IF($B190="","",IF(COUNTIFS(Пул!$E$5:$E$300,$B190,Пул!$L$5:$L$300,"Закрыт")=0,"",ROUND(SUMIFS(Пул!$J$5:$J$300,Пул!$E$5:$E$300,$B190,Пул!$L$5:$L$300,"Закрыт"),8)))</f>
        <v/>
      </c>
      <c r="H190" s="342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339">
        <f>IF($B191="","",IF(COUNTIFS(Пул!$E$5:$E$300,$B191,Пул!$L$5:$L$300,"Закрыт")=0,"",ROUND(SUMIFS(Пул!$J$5:$J$300,Пул!$E$5:$E$300,$B191,Пул!$L$5:$L$300,"Закрыт"),8)))</f>
        <v/>
      </c>
      <c r="H191" s="340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341">
        <f>IF($B192="","",IF(COUNTIFS(Пул!$E$5:$E$300,$B192,Пул!$L$5:$L$300,"Закрыт")=0,"",ROUND(SUMIFS(Пул!$J$5:$J$300,Пул!$E$5:$E$300,$B192,Пул!$L$5:$L$300,"Закрыт"),8)))</f>
        <v/>
      </c>
      <c r="H192" s="342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339">
        <f>IF($B193="","",IF(COUNTIFS(Пул!$E$5:$E$300,$B193,Пул!$L$5:$L$300,"Закрыт")=0,"",ROUND(SUMIFS(Пул!$J$5:$J$300,Пул!$E$5:$E$300,$B193,Пул!$L$5:$L$300,"Закрыт"),8)))</f>
        <v/>
      </c>
      <c r="H193" s="340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341">
        <f>IF($B194="","",IF(COUNTIFS(Пул!$E$5:$E$300,$B194,Пул!$L$5:$L$300,"Закрыт")=0,"",ROUND(SUMIFS(Пул!$J$5:$J$300,Пул!$E$5:$E$300,$B194,Пул!$L$5:$L$300,"Закрыт"),8)))</f>
        <v/>
      </c>
      <c r="H194" s="342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339">
        <f>IF($B195="","",IF(COUNTIFS(Пул!$E$5:$E$300,$B195,Пул!$L$5:$L$300,"Закрыт")=0,"",ROUND(SUMIFS(Пул!$J$5:$J$300,Пул!$E$5:$E$300,$B195,Пул!$L$5:$L$300,"Закрыт"),8)))</f>
        <v/>
      </c>
      <c r="H195" s="340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341">
        <f>IF($B196="","",IF(COUNTIFS(Пул!$E$5:$E$300,$B196,Пул!$L$5:$L$300,"Закрыт")=0,"",ROUND(SUMIFS(Пул!$J$5:$J$300,Пул!$E$5:$E$300,$B196,Пул!$L$5:$L$300,"Закрыт"),8)))</f>
        <v/>
      </c>
      <c r="H196" s="342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339">
        <f>IF($B197="","",IF(COUNTIFS(Пул!$E$5:$E$300,$B197,Пул!$L$5:$L$300,"Закрыт")=0,"",ROUND(SUMIFS(Пул!$J$5:$J$300,Пул!$E$5:$E$300,$B197,Пул!$L$5:$L$300,"Закрыт"),8)))</f>
        <v/>
      </c>
      <c r="H197" s="340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341">
        <f>IF($B198="","",IF(COUNTIFS(Пул!$E$5:$E$300,$B198,Пул!$L$5:$L$300,"Закрыт")=0,"",ROUND(SUMIFS(Пул!$J$5:$J$300,Пул!$E$5:$E$300,$B198,Пул!$L$5:$L$300,"Закрыт"),8)))</f>
        <v/>
      </c>
      <c r="H198" s="342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339">
        <f>IF($B199="","",IF(COUNTIFS(Пул!$E$5:$E$300,$B199,Пул!$L$5:$L$300,"Закрыт")=0,"",ROUND(SUMIFS(Пул!$J$5:$J$300,Пул!$E$5:$E$300,$B199,Пул!$L$5:$L$300,"Закрыт"),8)))</f>
        <v/>
      </c>
      <c r="H199" s="340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341">
        <f>IF($B200="","",IF(COUNTIFS(Пул!$E$5:$E$300,$B200,Пул!$L$5:$L$300,"Закрыт")=0,"",ROUND(SUMIFS(Пул!$J$5:$J$300,Пул!$E$5:$E$300,$B200,Пул!$L$5:$L$300,"Закрыт"),8)))</f>
        <v/>
      </c>
      <c r="H200" s="342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339">
        <f>IF($B201="","",IF(COUNTIFS(Пул!$E$5:$E$300,$B201,Пул!$L$5:$L$300,"Закрыт")=0,"",ROUND(SUMIFS(Пул!$J$5:$J$300,Пул!$E$5:$E$300,$B201,Пул!$L$5:$L$300,"Закрыт"),8)))</f>
        <v/>
      </c>
      <c r="H201" s="340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341">
        <f>IF($B202="","",IF(COUNTIFS(Пул!$E$5:$E$300,$B202,Пул!$L$5:$L$300,"Закрыт")=0,"",ROUND(SUMIFS(Пул!$J$5:$J$300,Пул!$E$5:$E$300,$B202,Пул!$L$5:$L$300,"Закрыт"),8)))</f>
        <v/>
      </c>
      <c r="H202" s="342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339">
        <f>IF($B203="","",IF(COUNTIFS(Пул!$E$5:$E$300,$B203,Пул!$L$5:$L$300,"Закрыт")=0,"",ROUND(SUMIFS(Пул!$J$5:$J$300,Пул!$E$5:$E$300,$B203,Пул!$L$5:$L$300,"Закрыт"),8)))</f>
        <v/>
      </c>
      <c r="H203" s="340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341">
        <f>IF($B204="","",IF(COUNTIFS(Пул!$E$5:$E$300,$B204,Пул!$L$5:$L$300,"Закрыт")=0,"",ROUND(SUMIFS(Пул!$J$5:$J$300,Пул!$E$5:$E$300,$B204,Пул!$L$5:$L$300,"Закрыт"),8)))</f>
        <v/>
      </c>
      <c r="H204" s="342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339">
        <f>IF($B205="","",IF(COUNTIFS(Пул!$E$5:$E$300,$B205,Пул!$L$5:$L$300,"Закрыт")=0,"",ROUND(SUMIFS(Пул!$J$5:$J$300,Пул!$E$5:$E$300,$B205,Пул!$L$5:$L$300,"Закрыт"),8)))</f>
        <v/>
      </c>
      <c r="H205" s="340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341">
        <f>IF($B206="","",IF(COUNTIFS(Пул!$E$5:$E$300,$B206,Пул!$L$5:$L$300,"Закрыт")=0,"",ROUND(SUMIFS(Пул!$J$5:$J$300,Пул!$E$5:$E$300,$B206,Пул!$L$5:$L$300,"Закрыт"),8)))</f>
        <v/>
      </c>
      <c r="H206" s="342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339">
        <f>IF($B207="","",IF(COUNTIFS(Пул!$E$5:$E$300,$B207,Пул!$L$5:$L$300,"Закрыт")=0,"",ROUND(SUMIFS(Пул!$J$5:$J$300,Пул!$E$5:$E$300,$B207,Пул!$L$5:$L$300,"Закрыт"),8)))</f>
        <v/>
      </c>
      <c r="H207" s="340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341">
        <f>IF($B208="","",IF(COUNTIFS(Пул!$E$5:$E$300,$B208,Пул!$L$5:$L$300,"Закрыт")=0,"",ROUND(SUMIFS(Пул!$J$5:$J$300,Пул!$E$5:$E$300,$B208,Пул!$L$5:$L$300,"Закрыт"),8)))</f>
        <v/>
      </c>
      <c r="H208" s="342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339">
        <f>IF($B209="","",IF(COUNTIFS(Пул!$E$5:$E$300,$B209,Пул!$L$5:$L$300,"Закрыт")=0,"",ROUND(SUMIFS(Пул!$J$5:$J$300,Пул!$E$5:$E$300,$B209,Пул!$L$5:$L$300,"Закрыт"),8)))</f>
        <v/>
      </c>
      <c r="H209" s="340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341">
        <f>IF($B210="","",IF(COUNTIFS(Пул!$E$5:$E$300,$B210,Пул!$L$5:$L$300,"Закрыт")=0,"",ROUND(SUMIFS(Пул!$J$5:$J$300,Пул!$E$5:$E$300,$B210,Пул!$L$5:$L$300,"Закрыт"),8)))</f>
        <v/>
      </c>
      <c r="H210" s="342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339">
        <f>IF($B211="","",IF(COUNTIFS(Пул!$E$5:$E$300,$B211,Пул!$L$5:$L$300,"Закрыт")=0,"",ROUND(SUMIFS(Пул!$J$5:$J$300,Пул!$E$5:$E$300,$B211,Пул!$L$5:$L$300,"Закрыт"),8)))</f>
        <v/>
      </c>
      <c r="H211" s="340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341">
        <f>IF($B212="","",IF(COUNTIFS(Пул!$E$5:$E$300,$B212,Пул!$L$5:$L$300,"Закрыт")=0,"",ROUND(SUMIFS(Пул!$J$5:$J$300,Пул!$E$5:$E$300,$B212,Пул!$L$5:$L$300,"Закрыт"),8)))</f>
        <v/>
      </c>
      <c r="H212" s="342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339">
        <f>IF($B213="","",IF(COUNTIFS(Пул!$E$5:$E$300,$B213,Пул!$L$5:$L$300,"Закрыт")=0,"",ROUND(SUMIFS(Пул!$J$5:$J$300,Пул!$E$5:$E$300,$B213,Пул!$L$5:$L$300,"Закрыт"),8)))</f>
        <v/>
      </c>
      <c r="H213" s="340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341">
        <f>IF($B214="","",IF(COUNTIFS(Пул!$E$5:$E$300,$B214,Пул!$L$5:$L$300,"Закрыт")=0,"",ROUND(SUMIFS(Пул!$J$5:$J$300,Пул!$E$5:$E$300,$B214,Пул!$L$5:$L$300,"Закрыт"),8)))</f>
        <v/>
      </c>
      <c r="H214" s="342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339">
        <f>IF($B215="","",IF(COUNTIFS(Пул!$E$5:$E$300,$B215,Пул!$L$5:$L$300,"Закрыт")=0,"",ROUND(SUMIFS(Пул!$J$5:$J$300,Пул!$E$5:$E$300,$B215,Пул!$L$5:$L$300,"Закрыт"),8)))</f>
        <v/>
      </c>
      <c r="H215" s="340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341">
        <f>IF($B216="","",IF(COUNTIFS(Пул!$E$5:$E$300,$B216,Пул!$L$5:$L$300,"Закрыт")=0,"",ROUND(SUMIFS(Пул!$J$5:$J$300,Пул!$E$5:$E$300,$B216,Пул!$L$5:$L$300,"Закрыт"),8)))</f>
        <v/>
      </c>
      <c r="H216" s="342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339">
        <f>IF($B217="","",IF(COUNTIFS(Пул!$E$5:$E$300,$B217,Пул!$L$5:$L$300,"Закрыт")=0,"",ROUND(SUMIFS(Пул!$J$5:$J$300,Пул!$E$5:$E$300,$B217,Пул!$L$5:$L$300,"Закрыт"),8)))</f>
        <v/>
      </c>
      <c r="H217" s="340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341">
        <f>IF($B218="","",IF(COUNTIFS(Пул!$E$5:$E$300,$B218,Пул!$L$5:$L$300,"Закрыт")=0,"",ROUND(SUMIFS(Пул!$J$5:$J$300,Пул!$E$5:$E$300,$B218,Пул!$L$5:$L$300,"Закрыт"),8)))</f>
        <v/>
      </c>
      <c r="H218" s="342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339">
        <f>IF($B219="","",IF(COUNTIFS(Пул!$E$5:$E$300,$B219,Пул!$L$5:$L$300,"Закрыт")=0,"",ROUND(SUMIFS(Пул!$J$5:$J$300,Пул!$E$5:$E$300,$B219,Пул!$L$5:$L$300,"Закрыт"),8)))</f>
        <v/>
      </c>
      <c r="H219" s="340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341">
        <f>IF($B220="","",IF(COUNTIFS(Пул!$E$5:$E$300,$B220,Пул!$L$5:$L$300,"Закрыт")=0,"",ROUND(SUMIFS(Пул!$J$5:$J$300,Пул!$E$5:$E$300,$B220,Пул!$L$5:$L$300,"Закрыт"),8)))</f>
        <v/>
      </c>
      <c r="H220" s="342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339">
        <f>IF($B221="","",IF(COUNTIFS(Пул!$E$5:$E$300,$B221,Пул!$L$5:$L$300,"Закрыт")=0,"",ROUND(SUMIFS(Пул!$J$5:$J$300,Пул!$E$5:$E$300,$B221,Пул!$L$5:$L$300,"Закрыт"),8)))</f>
        <v/>
      </c>
      <c r="H221" s="340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341">
        <f>IF($B222="","",IF(COUNTIFS(Пул!$E$5:$E$300,$B222,Пул!$L$5:$L$300,"Закрыт")=0,"",ROUND(SUMIFS(Пул!$J$5:$J$300,Пул!$E$5:$E$300,$B222,Пул!$L$5:$L$300,"Закрыт"),8)))</f>
        <v/>
      </c>
      <c r="H222" s="342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339">
        <f>IF($B223="","",IF(COUNTIFS(Пул!$E$5:$E$300,$B223,Пул!$L$5:$L$300,"Закрыт")=0,"",ROUND(SUMIFS(Пул!$J$5:$J$300,Пул!$E$5:$E$300,$B223,Пул!$L$5:$L$300,"Закрыт"),8)))</f>
        <v/>
      </c>
      <c r="H223" s="340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341">
        <f>IF($B224="","",IF(COUNTIFS(Пул!$E$5:$E$300,$B224,Пул!$L$5:$L$300,"Закрыт")=0,"",ROUND(SUMIFS(Пул!$J$5:$J$300,Пул!$E$5:$E$300,$B224,Пул!$L$5:$L$300,"Закрыт"),8)))</f>
        <v/>
      </c>
      <c r="H224" s="342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339">
        <f>IF($B225="","",IF(COUNTIFS(Пул!$E$5:$E$300,$B225,Пул!$L$5:$L$300,"Закрыт")=0,"",ROUND(SUMIFS(Пул!$J$5:$J$300,Пул!$E$5:$E$300,$B225,Пул!$L$5:$L$300,"Закрыт"),8)))</f>
        <v/>
      </c>
      <c r="H225" s="340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341">
        <f>IF($B226="","",IF(COUNTIFS(Пул!$E$5:$E$300,$B226,Пул!$L$5:$L$300,"Закрыт")=0,"",ROUND(SUMIFS(Пул!$J$5:$J$300,Пул!$E$5:$E$300,$B226,Пул!$L$5:$L$300,"Закрыт"),8)))</f>
        <v/>
      </c>
      <c r="H226" s="342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339">
        <f>IF($B227="","",IF(COUNTIFS(Пул!$E$5:$E$300,$B227,Пул!$L$5:$L$300,"Закрыт")=0,"",ROUND(SUMIFS(Пул!$J$5:$J$300,Пул!$E$5:$E$300,$B227,Пул!$L$5:$L$300,"Закрыт"),8)))</f>
        <v/>
      </c>
      <c r="H227" s="340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341">
        <f>IF($B228="","",IF(COUNTIFS(Пул!$E$5:$E$300,$B228,Пул!$L$5:$L$300,"Закрыт")=0,"",ROUND(SUMIFS(Пул!$J$5:$J$300,Пул!$E$5:$E$300,$B228,Пул!$L$5:$L$300,"Закрыт"),8)))</f>
        <v/>
      </c>
      <c r="H228" s="342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339">
        <f>IF($B229="","",IF(COUNTIFS(Пул!$E$5:$E$300,$B229,Пул!$L$5:$L$300,"Закрыт")=0,"",ROUND(SUMIFS(Пул!$J$5:$J$300,Пул!$E$5:$E$300,$B229,Пул!$L$5:$L$300,"Закрыт"),8)))</f>
        <v/>
      </c>
      <c r="H229" s="340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341">
        <f>IF($B230="","",IF(COUNTIFS(Пул!$E$5:$E$300,$B230,Пул!$L$5:$L$300,"Закрыт")=0,"",ROUND(SUMIFS(Пул!$J$5:$J$300,Пул!$E$5:$E$300,$B230,Пул!$L$5:$L$300,"Закрыт"),8)))</f>
        <v/>
      </c>
      <c r="H230" s="342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339">
        <f>IF($B231="","",IF(COUNTIFS(Пул!$E$5:$E$300,$B231,Пул!$L$5:$L$300,"Закрыт")=0,"",ROUND(SUMIFS(Пул!$J$5:$J$300,Пул!$E$5:$E$300,$B231,Пул!$L$5:$L$300,"Закрыт"),8)))</f>
        <v/>
      </c>
      <c r="H231" s="340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341">
        <f>IF($B232="","",IF(COUNTIFS(Пул!$E$5:$E$300,$B232,Пул!$L$5:$L$300,"Закрыт")=0,"",ROUND(SUMIFS(Пул!$J$5:$J$300,Пул!$E$5:$E$300,$B232,Пул!$L$5:$L$300,"Закрыт"),8)))</f>
        <v/>
      </c>
      <c r="H232" s="342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339">
        <f>IF($B233="","",IF(COUNTIFS(Пул!$E$5:$E$300,$B233,Пул!$L$5:$L$300,"Закрыт")=0,"",ROUND(SUMIFS(Пул!$J$5:$J$300,Пул!$E$5:$E$300,$B233,Пул!$L$5:$L$300,"Закрыт"),8)))</f>
        <v/>
      </c>
      <c r="H233" s="340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341">
        <f>IF($B234="","",IF(COUNTIFS(Пул!$E$5:$E$300,$B234,Пул!$L$5:$L$300,"Закрыт")=0,"",ROUND(SUMIFS(Пул!$J$5:$J$300,Пул!$E$5:$E$300,$B234,Пул!$L$5:$L$300,"Закрыт"),8)))</f>
        <v/>
      </c>
      <c r="H234" s="342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339">
        <f>IF($B235="","",IF(COUNTIFS(Пул!$E$5:$E$300,$B235,Пул!$L$5:$L$300,"Закрыт")=0,"",ROUND(SUMIFS(Пул!$J$5:$J$300,Пул!$E$5:$E$300,$B235,Пул!$L$5:$L$300,"Закрыт"),8)))</f>
        <v/>
      </c>
      <c r="H235" s="340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341">
        <f>IF($B236="","",IF(COUNTIFS(Пул!$E$5:$E$300,$B236,Пул!$L$5:$L$300,"Закрыт")=0,"",ROUND(SUMIFS(Пул!$J$5:$J$300,Пул!$E$5:$E$300,$B236,Пул!$L$5:$L$300,"Закрыт"),8)))</f>
        <v/>
      </c>
      <c r="H236" s="342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339">
        <f>IF($B237="","",IF(COUNTIFS(Пул!$E$5:$E$300,$B237,Пул!$L$5:$L$300,"Закрыт")=0,"",ROUND(SUMIFS(Пул!$J$5:$J$300,Пул!$E$5:$E$300,$B237,Пул!$L$5:$L$300,"Закрыт"),8)))</f>
        <v/>
      </c>
      <c r="H237" s="340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341">
        <f>IF($B238="","",IF(COUNTIFS(Пул!$E$5:$E$300,$B238,Пул!$L$5:$L$300,"Закрыт")=0,"",ROUND(SUMIFS(Пул!$J$5:$J$300,Пул!$E$5:$E$300,$B238,Пул!$L$5:$L$300,"Закрыт"),8)))</f>
        <v/>
      </c>
      <c r="H238" s="342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339">
        <f>IF($B239="","",IF(COUNTIFS(Пул!$E$5:$E$300,$B239,Пул!$L$5:$L$300,"Закрыт")=0,"",ROUND(SUMIFS(Пул!$J$5:$J$300,Пул!$E$5:$E$300,$B239,Пул!$L$5:$L$300,"Закрыт"),8)))</f>
        <v/>
      </c>
      <c r="H239" s="340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341">
        <f>IF($B240="","",IF(COUNTIFS(Пул!$E$5:$E$300,$B240,Пул!$L$5:$L$300,"Закрыт")=0,"",ROUND(SUMIFS(Пул!$J$5:$J$300,Пул!$E$5:$E$300,$B240,Пул!$L$5:$L$300,"Закрыт"),8)))</f>
        <v/>
      </c>
      <c r="H240" s="342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339">
        <f>IF($B241="","",IF(COUNTIFS(Пул!$E$5:$E$300,$B241,Пул!$L$5:$L$300,"Закрыт")=0,"",ROUND(SUMIFS(Пул!$J$5:$J$300,Пул!$E$5:$E$300,$B241,Пул!$L$5:$L$300,"Закрыт"),8)))</f>
        <v/>
      </c>
      <c r="H241" s="340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341">
        <f>IF($B242="","",IF(COUNTIFS(Пул!$E$5:$E$300,$B242,Пул!$L$5:$L$300,"Закрыт")=0,"",ROUND(SUMIFS(Пул!$J$5:$J$300,Пул!$E$5:$E$300,$B242,Пул!$L$5:$L$300,"Закрыт"),8)))</f>
        <v/>
      </c>
      <c r="H242" s="342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339">
        <f>IF($B243="","",IF(COUNTIFS(Пул!$E$5:$E$300,$B243,Пул!$L$5:$L$300,"Закрыт")=0,"",ROUND(SUMIFS(Пул!$J$5:$J$300,Пул!$E$5:$E$300,$B243,Пул!$L$5:$L$300,"Закрыт"),8)))</f>
        <v/>
      </c>
      <c r="H243" s="340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341">
        <f>IF($B244="","",IF(COUNTIFS(Пул!$E$5:$E$300,$B244,Пул!$L$5:$L$300,"Закрыт")=0,"",ROUND(SUMIFS(Пул!$J$5:$J$300,Пул!$E$5:$E$300,$B244,Пул!$L$5:$L$300,"Закрыт"),8)))</f>
        <v/>
      </c>
      <c r="H244" s="342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339">
        <f>IF($B245="","",IF(COUNTIFS(Пул!$E$5:$E$300,$B245,Пул!$L$5:$L$300,"Закрыт")=0,"",ROUND(SUMIFS(Пул!$J$5:$J$300,Пул!$E$5:$E$300,$B245,Пул!$L$5:$L$300,"Закрыт"),8)))</f>
        <v/>
      </c>
      <c r="H245" s="340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341">
        <f>IF($B246="","",IF(COUNTIFS(Пул!$E$5:$E$300,$B246,Пул!$L$5:$L$300,"Закрыт")=0,"",ROUND(SUMIFS(Пул!$J$5:$J$300,Пул!$E$5:$E$300,$B246,Пул!$L$5:$L$300,"Закрыт"),8)))</f>
        <v/>
      </c>
      <c r="H246" s="342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339">
        <f>IF($B247="","",IF(COUNTIFS(Пул!$E$5:$E$300,$B247,Пул!$L$5:$L$300,"Закрыт")=0,"",ROUND(SUMIFS(Пул!$J$5:$J$300,Пул!$E$5:$E$300,$B247,Пул!$L$5:$L$300,"Закрыт"),8)))</f>
        <v/>
      </c>
      <c r="H247" s="340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341">
        <f>IF($B248="","",IF(COUNTIFS(Пул!$E$5:$E$300,$B248,Пул!$L$5:$L$300,"Закрыт")=0,"",ROUND(SUMIFS(Пул!$J$5:$J$300,Пул!$E$5:$E$300,$B248,Пул!$L$5:$L$300,"Закрыт"),8)))</f>
        <v/>
      </c>
      <c r="H248" s="342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339">
        <f>IF($B249="","",IF(COUNTIFS(Пул!$E$5:$E$300,$B249,Пул!$L$5:$L$300,"Закрыт")=0,"",ROUND(SUMIFS(Пул!$J$5:$J$300,Пул!$E$5:$E$300,$B249,Пул!$L$5:$L$300,"Закрыт"),8)))</f>
        <v/>
      </c>
      <c r="H249" s="340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341">
        <f>IF($B250="","",IF(COUNTIFS(Пул!$E$5:$E$300,$B250,Пул!$L$5:$L$300,"Закрыт")=0,"",ROUND(SUMIFS(Пул!$J$5:$J$300,Пул!$E$5:$E$300,$B250,Пул!$L$5:$L$300,"Закрыт"),8)))</f>
        <v/>
      </c>
      <c r="H250" s="342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339">
        <f>IF($B251="","",IF(COUNTIFS(Пул!$E$5:$E$300,$B251,Пул!$L$5:$L$300,"Закрыт")=0,"",ROUND(SUMIFS(Пул!$J$5:$J$300,Пул!$E$5:$E$300,$B251,Пул!$L$5:$L$300,"Закрыт"),8)))</f>
        <v/>
      </c>
      <c r="H251" s="340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341">
        <f>IF($B252="","",IF(COUNTIFS(Пул!$E$5:$E$300,$B252,Пул!$L$5:$L$300,"Закрыт")=0,"",ROUND(SUMIFS(Пул!$J$5:$J$300,Пул!$E$5:$E$300,$B252,Пул!$L$5:$L$300,"Закрыт"),8)))</f>
        <v/>
      </c>
      <c r="H252" s="342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339">
        <f>IF($B253="","",IF(COUNTIFS(Пул!$E$5:$E$300,$B253,Пул!$L$5:$L$300,"Закрыт")=0,"",ROUND(SUMIFS(Пул!$J$5:$J$300,Пул!$E$5:$E$300,$B253,Пул!$L$5:$L$300,"Закрыт"),8)))</f>
        <v/>
      </c>
      <c r="H253" s="340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341">
        <f>IF($B254="","",IF(COUNTIFS(Пул!$E$5:$E$300,$B254,Пул!$L$5:$L$300,"Закрыт")=0,"",ROUND(SUMIFS(Пул!$J$5:$J$300,Пул!$E$5:$E$300,$B254,Пул!$L$5:$L$300,"Закрыт"),8)))</f>
        <v/>
      </c>
      <c r="H254" s="342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339">
        <f>IF($B255="","",IF(COUNTIFS(Пул!$E$5:$E$300,$B255,Пул!$L$5:$L$300,"Закрыт")=0,"",ROUND(SUMIFS(Пул!$J$5:$J$300,Пул!$E$5:$E$300,$B255,Пул!$L$5:$L$300,"Закрыт"),8)))</f>
        <v/>
      </c>
      <c r="H255" s="340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341">
        <f>IF($B256="","",IF(COUNTIFS(Пул!$E$5:$E$300,$B256,Пул!$L$5:$L$300,"Закрыт")=0,"",ROUND(SUMIFS(Пул!$J$5:$J$300,Пул!$E$5:$E$300,$B256,Пул!$L$5:$L$300,"Закрыт"),8)))</f>
        <v/>
      </c>
      <c r="H256" s="342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339">
        <f>IF($B257="","",IF(COUNTIFS(Пул!$E$5:$E$300,$B257,Пул!$L$5:$L$300,"Закрыт")=0,"",ROUND(SUMIFS(Пул!$J$5:$J$300,Пул!$E$5:$E$300,$B257,Пул!$L$5:$L$300,"Закрыт"),8)))</f>
        <v/>
      </c>
      <c r="H257" s="340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341">
        <f>IF($B258="","",IF(COUNTIFS(Пул!$E$5:$E$300,$B258,Пул!$L$5:$L$300,"Закрыт")=0,"",ROUND(SUMIFS(Пул!$J$5:$J$300,Пул!$E$5:$E$300,$B258,Пул!$L$5:$L$300,"Закрыт"),8)))</f>
        <v/>
      </c>
      <c r="H258" s="342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339">
        <f>IF($B259="","",IF(COUNTIFS(Пул!$E$5:$E$300,$B259,Пул!$L$5:$L$300,"Закрыт")=0,"",ROUND(SUMIFS(Пул!$J$5:$J$300,Пул!$E$5:$E$300,$B259,Пул!$L$5:$L$300,"Закрыт"),8)))</f>
        <v/>
      </c>
      <c r="H259" s="340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341">
        <f>IF($B260="","",IF(COUNTIFS(Пул!$E$5:$E$300,$B260,Пул!$L$5:$L$300,"Закрыт")=0,"",ROUND(SUMIFS(Пул!$J$5:$J$300,Пул!$E$5:$E$300,$B260,Пул!$L$5:$L$300,"Закрыт"),8)))</f>
        <v/>
      </c>
      <c r="H260" s="342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339">
        <f>IF($B261="","",IF(COUNTIFS(Пул!$E$5:$E$300,$B261,Пул!$L$5:$L$300,"Закрыт")=0,"",ROUND(SUMIFS(Пул!$J$5:$J$300,Пул!$E$5:$E$300,$B261,Пул!$L$5:$L$300,"Закрыт"),8)))</f>
        <v/>
      </c>
      <c r="H261" s="340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341">
        <f>IF($B262="","",IF(COUNTIFS(Пул!$E$5:$E$300,$B262,Пул!$L$5:$L$300,"Закрыт")=0,"",ROUND(SUMIFS(Пул!$J$5:$J$300,Пул!$E$5:$E$300,$B262,Пул!$L$5:$L$300,"Закрыт"),8)))</f>
        <v/>
      </c>
      <c r="H262" s="342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339">
        <f>IF($B263="","",IF(COUNTIFS(Пул!$E$5:$E$300,$B263,Пул!$L$5:$L$300,"Закрыт")=0,"",ROUND(SUMIFS(Пул!$J$5:$J$300,Пул!$E$5:$E$300,$B263,Пул!$L$5:$L$300,"Закрыт"),8)))</f>
        <v/>
      </c>
      <c r="H263" s="340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341">
        <f>IF($B264="","",IF(COUNTIFS(Пул!$E$5:$E$300,$B264,Пул!$L$5:$L$300,"Закрыт")=0,"",ROUND(SUMIFS(Пул!$J$5:$J$300,Пул!$E$5:$E$300,$B264,Пул!$L$5:$L$300,"Закрыт"),8)))</f>
        <v/>
      </c>
      <c r="H264" s="342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339">
        <f>IF($B265="","",IF(COUNTIFS(Пул!$E$5:$E$300,$B265,Пул!$L$5:$L$300,"Закрыт")=0,"",ROUND(SUMIFS(Пул!$J$5:$J$300,Пул!$E$5:$E$300,$B265,Пул!$L$5:$L$300,"Закрыт"),8)))</f>
        <v/>
      </c>
      <c r="H265" s="340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341">
        <f>IF($B266="","",IF(COUNTIFS(Пул!$E$5:$E$300,$B266,Пул!$L$5:$L$300,"Закрыт")=0,"",ROUND(SUMIFS(Пул!$J$5:$J$300,Пул!$E$5:$E$300,$B266,Пул!$L$5:$L$300,"Закрыт"),8)))</f>
        <v/>
      </c>
      <c r="H266" s="342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339">
        <f>IF($B267="","",IF(COUNTIFS(Пул!$E$5:$E$300,$B267,Пул!$L$5:$L$300,"Закрыт")=0,"",ROUND(SUMIFS(Пул!$J$5:$J$300,Пул!$E$5:$E$300,$B267,Пул!$L$5:$L$300,"Закрыт"),8)))</f>
        <v/>
      </c>
      <c r="H267" s="340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341">
        <f>IF($B268="","",IF(COUNTIFS(Пул!$E$5:$E$300,$B268,Пул!$L$5:$L$300,"Закрыт")=0,"",ROUND(SUMIFS(Пул!$J$5:$J$300,Пул!$E$5:$E$300,$B268,Пул!$L$5:$L$300,"Закрыт"),8)))</f>
        <v/>
      </c>
      <c r="H268" s="342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339">
        <f>IF($B269="","",IF(COUNTIFS(Пул!$E$5:$E$300,$B269,Пул!$L$5:$L$300,"Закрыт")=0,"",ROUND(SUMIFS(Пул!$J$5:$J$300,Пул!$E$5:$E$300,$B269,Пул!$L$5:$L$300,"Закрыт"),8)))</f>
        <v/>
      </c>
      <c r="H269" s="340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341">
        <f>IF($B270="","",IF(COUNTIFS(Пул!$E$5:$E$300,$B270,Пул!$L$5:$L$300,"Закрыт")=0,"",ROUND(SUMIFS(Пул!$J$5:$J$300,Пул!$E$5:$E$300,$B270,Пул!$L$5:$L$300,"Закрыт"),8)))</f>
        <v/>
      </c>
      <c r="H270" s="342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339">
        <f>IF($B271="","",IF(COUNTIFS(Пул!$E$5:$E$300,$B271,Пул!$L$5:$L$300,"Закрыт")=0,"",ROUND(SUMIFS(Пул!$J$5:$J$300,Пул!$E$5:$E$300,$B271,Пул!$L$5:$L$300,"Закрыт"),8)))</f>
        <v/>
      </c>
      <c r="H271" s="340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341">
        <f>IF($B272="","",IF(COUNTIFS(Пул!$E$5:$E$300,$B272,Пул!$L$5:$L$300,"Закрыт")=0,"",ROUND(SUMIFS(Пул!$J$5:$J$300,Пул!$E$5:$E$300,$B272,Пул!$L$5:$L$300,"Закрыт"),8)))</f>
        <v/>
      </c>
      <c r="H272" s="342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339">
        <f>IF($B273="","",IF(COUNTIFS(Пул!$E$5:$E$300,$B273,Пул!$L$5:$L$300,"Закрыт")=0,"",ROUND(SUMIFS(Пул!$J$5:$J$300,Пул!$E$5:$E$300,$B273,Пул!$L$5:$L$300,"Закрыт"),8)))</f>
        <v/>
      </c>
      <c r="H273" s="340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341">
        <f>IF($B274="","",IF(COUNTIFS(Пул!$E$5:$E$300,$B274,Пул!$L$5:$L$300,"Закрыт")=0,"",ROUND(SUMIFS(Пул!$J$5:$J$300,Пул!$E$5:$E$300,$B274,Пул!$L$5:$L$300,"Закрыт"),8)))</f>
        <v/>
      </c>
      <c r="H274" s="342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339">
        <f>IF($B275="","",IF(COUNTIFS(Пул!$E$5:$E$300,$B275,Пул!$L$5:$L$300,"Закрыт")=0,"",ROUND(SUMIFS(Пул!$J$5:$J$300,Пул!$E$5:$E$300,$B275,Пул!$L$5:$L$300,"Закрыт"),8)))</f>
        <v/>
      </c>
      <c r="H275" s="340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341">
        <f>IF($B276="","",IF(COUNTIFS(Пул!$E$5:$E$300,$B276,Пул!$L$5:$L$300,"Закрыт")=0,"",ROUND(SUMIFS(Пул!$J$5:$J$300,Пул!$E$5:$E$300,$B276,Пул!$L$5:$L$300,"Закрыт"),8)))</f>
        <v/>
      </c>
      <c r="H276" s="342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339">
        <f>IF($B277="","",IF(COUNTIFS(Пул!$E$5:$E$300,$B277,Пул!$L$5:$L$300,"Закрыт")=0,"",ROUND(SUMIFS(Пул!$J$5:$J$300,Пул!$E$5:$E$300,$B277,Пул!$L$5:$L$300,"Закрыт"),8)))</f>
        <v/>
      </c>
      <c r="H277" s="340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341">
        <f>IF($B278="","",IF(COUNTIFS(Пул!$E$5:$E$300,$B278,Пул!$L$5:$L$300,"Закрыт")=0,"",ROUND(SUMIFS(Пул!$J$5:$J$300,Пул!$E$5:$E$300,$B278,Пул!$L$5:$L$300,"Закрыт"),8)))</f>
        <v/>
      </c>
      <c r="H278" s="342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339">
        <f>IF($B279="","",IF(COUNTIFS(Пул!$E$5:$E$300,$B279,Пул!$L$5:$L$300,"Закрыт")=0,"",ROUND(SUMIFS(Пул!$J$5:$J$300,Пул!$E$5:$E$300,$B279,Пул!$L$5:$L$300,"Закрыт"),8)))</f>
        <v/>
      </c>
      <c r="H279" s="340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341">
        <f>IF($B280="","",IF(COUNTIFS(Пул!$E$5:$E$300,$B280,Пул!$L$5:$L$300,"Закрыт")=0,"",ROUND(SUMIFS(Пул!$J$5:$J$300,Пул!$E$5:$E$300,$B280,Пул!$L$5:$L$300,"Закрыт"),8)))</f>
        <v/>
      </c>
      <c r="H280" s="342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339">
        <f>IF($B281="","",IF(COUNTIFS(Пул!$E$5:$E$300,$B281,Пул!$L$5:$L$300,"Закрыт")=0,"",ROUND(SUMIFS(Пул!$J$5:$J$300,Пул!$E$5:$E$300,$B281,Пул!$L$5:$L$300,"Закрыт"),8)))</f>
        <v/>
      </c>
      <c r="H281" s="340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341">
        <f>IF($B282="","",IF(COUNTIFS(Пул!$E$5:$E$300,$B282,Пул!$L$5:$L$300,"Закрыт")=0,"",ROUND(SUMIFS(Пул!$J$5:$J$300,Пул!$E$5:$E$300,$B282,Пул!$L$5:$L$300,"Закрыт"),8)))</f>
        <v/>
      </c>
      <c r="H282" s="342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339">
        <f>IF($B283="","",IF(COUNTIFS(Пул!$E$5:$E$300,$B283,Пул!$L$5:$L$300,"Закрыт")=0,"",ROUND(SUMIFS(Пул!$J$5:$J$300,Пул!$E$5:$E$300,$B283,Пул!$L$5:$L$300,"Закрыт"),8)))</f>
        <v/>
      </c>
      <c r="H283" s="340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341">
        <f>IF($B284="","",IF(COUNTIFS(Пул!$E$5:$E$300,$B284,Пул!$L$5:$L$300,"Закрыт")=0,"",ROUND(SUMIFS(Пул!$J$5:$J$300,Пул!$E$5:$E$300,$B284,Пул!$L$5:$L$300,"Закрыт"),8)))</f>
        <v/>
      </c>
      <c r="H284" s="342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339">
        <f>IF($B285="","",IF(COUNTIFS(Пул!$E$5:$E$300,$B285,Пул!$L$5:$L$300,"Закрыт")=0,"",ROUND(SUMIFS(Пул!$J$5:$J$300,Пул!$E$5:$E$300,$B285,Пул!$L$5:$L$300,"Закрыт"),8)))</f>
        <v/>
      </c>
      <c r="H285" s="340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341">
        <f>IF($B286="","",IF(COUNTIFS(Пул!$E$5:$E$300,$B286,Пул!$L$5:$L$300,"Закрыт")=0,"",ROUND(SUMIFS(Пул!$J$5:$J$300,Пул!$E$5:$E$300,$B286,Пул!$L$5:$L$300,"Закрыт"),8)))</f>
        <v/>
      </c>
      <c r="H286" s="342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339">
        <f>IF($B287="","",IF(COUNTIFS(Пул!$E$5:$E$300,$B287,Пул!$L$5:$L$300,"Закрыт")=0,"",ROUND(SUMIFS(Пул!$J$5:$J$300,Пул!$E$5:$E$300,$B287,Пул!$L$5:$L$300,"Закрыт"),8)))</f>
        <v/>
      </c>
      <c r="H287" s="340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341">
        <f>IF($B288="","",IF(COUNTIFS(Пул!$E$5:$E$300,$B288,Пул!$L$5:$L$300,"Закрыт")=0,"",ROUND(SUMIFS(Пул!$J$5:$J$300,Пул!$E$5:$E$300,$B288,Пул!$L$5:$L$300,"Закрыт"),8)))</f>
        <v/>
      </c>
      <c r="H288" s="342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339">
        <f>IF($B289="","",IF(COUNTIFS(Пул!$E$5:$E$300,$B289,Пул!$L$5:$L$300,"Закрыт")=0,"",ROUND(SUMIFS(Пул!$J$5:$J$300,Пул!$E$5:$E$300,$B289,Пул!$L$5:$L$300,"Закрыт"),8)))</f>
        <v/>
      </c>
      <c r="H289" s="340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341">
        <f>IF($B290="","",IF(COUNTIFS(Пул!$E$5:$E$300,$B290,Пул!$L$5:$L$300,"Закрыт")=0,"",ROUND(SUMIFS(Пул!$J$5:$J$300,Пул!$E$5:$E$300,$B290,Пул!$L$5:$L$300,"Закрыт"),8)))</f>
        <v/>
      </c>
      <c r="H290" s="342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339">
        <f>IF($B291="","",IF(COUNTIFS(Пул!$E$5:$E$300,$B291,Пул!$L$5:$L$300,"Закрыт")=0,"",ROUND(SUMIFS(Пул!$J$5:$J$300,Пул!$E$5:$E$300,$B291,Пул!$L$5:$L$300,"Закрыт"),8)))</f>
        <v/>
      </c>
      <c r="H291" s="340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341">
        <f>IF($B292="","",IF(COUNTIFS(Пул!$E$5:$E$300,$B292,Пул!$L$5:$L$300,"Закрыт")=0,"",ROUND(SUMIFS(Пул!$J$5:$J$300,Пул!$E$5:$E$300,$B292,Пул!$L$5:$L$300,"Закрыт"),8)))</f>
        <v/>
      </c>
      <c r="H292" s="342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339">
        <f>IF($B293="","",IF(COUNTIFS(Пул!$E$5:$E$300,$B293,Пул!$L$5:$L$300,"Закрыт")=0,"",ROUND(SUMIFS(Пул!$J$5:$J$300,Пул!$E$5:$E$300,$B293,Пул!$L$5:$L$300,"Закрыт"),8)))</f>
        <v/>
      </c>
      <c r="H293" s="340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341">
        <f>IF($B294="","",IF(COUNTIFS(Пул!$E$5:$E$300,$B294,Пул!$L$5:$L$300,"Закрыт")=0,"",ROUND(SUMIFS(Пул!$J$5:$J$300,Пул!$E$5:$E$300,$B294,Пул!$L$5:$L$300,"Закрыт"),8)))</f>
        <v/>
      </c>
      <c r="H294" s="342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339">
        <f>IF($B295="","",IF(COUNTIFS(Пул!$E$5:$E$300,$B295,Пул!$L$5:$L$300,"Закрыт")=0,"",ROUND(SUMIFS(Пул!$J$5:$J$300,Пул!$E$5:$E$300,$B295,Пул!$L$5:$L$300,"Закрыт"),8)))</f>
        <v/>
      </c>
      <c r="H295" s="340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341">
        <f>IF($B296="","",IF(COUNTIFS(Пул!$E$5:$E$300,$B296,Пул!$L$5:$L$300,"Закрыт")=0,"",ROUND(SUMIFS(Пул!$J$5:$J$300,Пул!$E$5:$E$300,$B296,Пул!$L$5:$L$300,"Закрыт"),8)))</f>
        <v/>
      </c>
      <c r="H296" s="342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339">
        <f>IF($B297="","",IF(COUNTIFS(Пул!$E$5:$E$300,$B297,Пул!$L$5:$L$300,"Закрыт")=0,"",ROUND(SUMIFS(Пул!$J$5:$J$300,Пул!$E$5:$E$300,$B297,Пул!$L$5:$L$300,"Закрыт"),8)))</f>
        <v/>
      </c>
      <c r="H297" s="340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341">
        <f>IF($B298="","",IF(COUNTIFS(Пул!$E$5:$E$300,$B298,Пул!$L$5:$L$300,"Закрыт")=0,"",ROUND(SUMIFS(Пул!$J$5:$J$300,Пул!$E$5:$E$300,$B298,Пул!$L$5:$L$300,"Закрыт"),8)))</f>
        <v/>
      </c>
      <c r="H298" s="342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339">
        <f>IF($B299="","",IF(COUNTIFS(Пул!$E$5:$E$300,$B299,Пул!$L$5:$L$300,"Закрыт")=0,"",ROUND(SUMIFS(Пул!$J$5:$J$300,Пул!$E$5:$E$300,$B299,Пул!$L$5:$L$300,"Закрыт"),8)))</f>
        <v/>
      </c>
      <c r="H299" s="340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341">
        <f>IF($B300="","",IF(COUNTIFS(Пул!$E$5:$E$300,$B300,Пул!$L$5:$L$300,"Закрыт")=0,"",ROUND(SUMIFS(Пул!$J$5:$J$300,Пул!$E$5:$E$300,$B300,Пул!$L$5:$L$300,"Закрыт"),8)))</f>
        <v/>
      </c>
      <c r="H300" s="342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0.1" customWidth="1" min="2" max="2"/>
    <col width="14" customWidth="1" min="3" max="3"/>
    <col width="12.9" customWidth="1" min="4" max="4"/>
    <col width="12.3" customWidth="1" min="5" max="5"/>
    <col width="18.2" customWidth="1" min="6" max="6"/>
    <col width="19.2" customWidth="1" min="7" max="7"/>
    <col width="19.2" customWidth="1" min="8" max="8"/>
    <col width="18.2" customWidth="1" min="9" max="9"/>
    <col width="18.2" customWidth="1" min="10" max="10"/>
    <col width="19.2" customWidth="1" min="11" max="11"/>
    <col width="15.8" customWidth="1" min="12" max="12"/>
    <col width="19.2" customWidth="1" min="13" max="13"/>
    <col width="18.2" customWidth="1" min="14" max="14"/>
    <col width="9.800000000000001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inlineStr">
        <is>
          <t>L-0001</t>
        </is>
      </c>
      <c r="C5" s="314" t="n">
        <v>46306</v>
      </c>
      <c r="D5" s="313" t="n"/>
      <c r="E5" s="315" t="inlineStr">
        <is>
          <t>BTC/USD</t>
        </is>
      </c>
      <c r="F5" s="316" t="n">
        <v>0.18835169</v>
      </c>
      <c r="G5" s="317" t="n">
        <v>94999.057998</v>
      </c>
      <c r="H5" s="271">
        <f>IF(AND(ISNUMBER(F5),ISNUMBER(G5)),F5*G5,"")</f>
        <v/>
      </c>
      <c r="I5" s="316" t="n">
        <v>0.18544799</v>
      </c>
      <c r="J5" s="317" t="n">
        <v>98960.04565099999</v>
      </c>
      <c r="K5" s="271">
        <f>IF(AND(ISNUMBER(I5),ISNUMBER(J5)),I5*J5,"")</f>
        <v/>
      </c>
      <c r="L5" s="339">
        <f>IF(COUNT(F5,I5)=0,"",N(F5)-N(I5))</f>
        <v/>
      </c>
      <c r="M5" s="340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inlineStr">
        <is>
          <t>L-0002</t>
        </is>
      </c>
      <c r="C6" s="319" t="n">
        <v>46306</v>
      </c>
      <c r="D6" s="318" t="n"/>
      <c r="E6" s="320" t="inlineStr">
        <is>
          <t>ETH/USD</t>
        </is>
      </c>
      <c r="F6" s="321" t="n">
        <v>3.65098228</v>
      </c>
      <c r="G6" s="322" t="n">
        <v>2711.276197</v>
      </c>
      <c r="H6" s="271">
        <f>IF(AND(ISNUMBER(F6),ISNUMBER(G6)),F6*G6,"")</f>
        <v/>
      </c>
      <c r="I6" s="321" t="n">
        <v>3.56499896</v>
      </c>
      <c r="J6" s="322" t="n">
        <v>2820.416496</v>
      </c>
      <c r="K6" s="271">
        <f>IF(AND(ISNUMBER(I6),ISNUMBER(J6)),I6*J6,"")</f>
        <v/>
      </c>
      <c r="L6" s="341">
        <f>IF(COUNT(F6,I6)=0,"",N(F6)-N(I6))</f>
        <v/>
      </c>
      <c r="M6" s="342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inlineStr">
        <is>
          <t>L-0003</t>
        </is>
      </c>
      <c r="C7" s="314" t="n">
        <v>46306</v>
      </c>
      <c r="D7" s="313" t="n"/>
      <c r="E7" s="315" t="inlineStr">
        <is>
          <t>ETH/BTC</t>
        </is>
      </c>
      <c r="F7" s="316" t="n">
        <v>5.13105912</v>
      </c>
      <c r="G7" s="317" t="n">
        <v>0.028848</v>
      </c>
      <c r="H7" s="271">
        <f>IF(AND(ISNUMBER(F7),ISNUMBER(G7)),F7*G7,"")</f>
        <v/>
      </c>
      <c r="I7" s="316" t="n">
        <v>4.96566038</v>
      </c>
      <c r="J7" s="317" t="n">
        <v>0.030136</v>
      </c>
      <c r="K7" s="271">
        <f>IF(AND(ISNUMBER(I7),ISNUMBER(J7)),I7*J7,"")</f>
        <v/>
      </c>
      <c r="L7" s="339">
        <f>IF(COUNT(F7,I7)=0,"",N(F7)-N(I7))</f>
        <v/>
      </c>
      <c r="M7" s="340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inlineStr">
        <is>
          <t>L-0004</t>
        </is>
      </c>
      <c r="C8" s="319" t="n">
        <v>46306</v>
      </c>
      <c r="D8" s="318" t="n"/>
      <c r="E8" s="320" t="inlineStr">
        <is>
          <t>BNB/USD</t>
        </is>
      </c>
      <c r="F8" s="321" t="n">
        <v>21.96700661</v>
      </c>
      <c r="G8" s="322" t="n">
        <v>829.75941</v>
      </c>
      <c r="H8" s="271">
        <f>IF(AND(ISNUMBER(F8),ISNUMBER(G8)),F8*G8,"")</f>
        <v/>
      </c>
      <c r="I8" s="321" t="n">
        <v>21.54621814</v>
      </c>
      <c r="J8" s="322" t="n">
        <v>854.265616</v>
      </c>
      <c r="K8" s="271">
        <f>IF(AND(ISNUMBER(I8),ISNUMBER(J8)),I8*J8,"")</f>
        <v/>
      </c>
      <c r="L8" s="341">
        <f>IF(COUNT(F8,I8)=0,"",N(F8)-N(I8))</f>
        <v/>
      </c>
      <c r="M8" s="342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inlineStr">
        <is>
          <t>L-0005</t>
        </is>
      </c>
      <c r="C9" s="314" t="n">
        <v>46306</v>
      </c>
      <c r="D9" s="313" t="n"/>
      <c r="E9" s="315" t="inlineStr">
        <is>
          <t>BNB/BTC</t>
        </is>
      </c>
      <c r="F9" s="316" t="n">
        <v>14.3754602</v>
      </c>
      <c r="G9" s="317" t="n">
        <v>0.007827000000000001</v>
      </c>
      <c r="H9" s="271">
        <f>IF(AND(ISNUMBER(F9),ISNUMBER(G9)),F9*G9,"")</f>
        <v/>
      </c>
      <c r="I9" s="316" t="n">
        <v>14.15974765</v>
      </c>
      <c r="J9" s="317" t="n">
        <v>0.008044000000000001</v>
      </c>
      <c r="K9" s="271">
        <f>IF(AND(ISNUMBER(I9),ISNUMBER(J9)),I9*J9,"")</f>
        <v/>
      </c>
      <c r="L9" s="339">
        <f>IF(COUNT(F9,I9)=0,"",N(F9)-N(I9))</f>
        <v/>
      </c>
      <c r="M9" s="340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inlineStr">
        <is>
          <t>L-0006</t>
        </is>
      </c>
      <c r="C10" s="319" t="n">
        <v>46306</v>
      </c>
      <c r="D10" s="318" t="n"/>
      <c r="E10" s="320" t="inlineStr">
        <is>
          <t>BNB/ETH</t>
        </is>
      </c>
      <c r="F10" s="321" t="n">
        <v>22.02779534</v>
      </c>
      <c r="G10" s="322" t="n">
        <v>0.255055</v>
      </c>
      <c r="H10" s="271">
        <f>IF(AND(ISNUMBER(F10),ISNUMBER(G10)),F10*G10,"")</f>
        <v/>
      </c>
      <c r="I10" s="321" t="n">
        <v>21.56384065</v>
      </c>
      <c r="J10" s="322" t="n">
        <v>0.265697</v>
      </c>
      <c r="K10" s="271">
        <f>IF(AND(ISNUMBER(I10),ISNUMBER(J10)),I10*J10,"")</f>
        <v/>
      </c>
      <c r="L10" s="341">
        <f>IF(COUNT(F10,I10)=0,"",N(F10)-N(I10))</f>
        <v/>
      </c>
      <c r="M10" s="342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inlineStr">
        <is>
          <t>L-0007</t>
        </is>
      </c>
      <c r="C11" s="314" t="n">
        <v>46306</v>
      </c>
      <c r="D11" s="313" t="n"/>
      <c r="E11" s="315" t="inlineStr">
        <is>
          <t>CAKE/USD</t>
        </is>
      </c>
      <c r="F11" s="316" t="n">
        <v>3951.99919511</v>
      </c>
      <c r="G11" s="317" t="n">
        <v>2.346164</v>
      </c>
      <c r="H11" s="271">
        <f>IF(AND(ISNUMBER(F11),ISNUMBER(G11)),F11*G11,"")</f>
        <v/>
      </c>
      <c r="I11" s="316" t="n">
        <v>3895.82513781</v>
      </c>
      <c r="J11" s="317" t="n">
        <v>2.543326</v>
      </c>
      <c r="K11" s="271">
        <f>IF(AND(ISNUMBER(I11),ISNUMBER(J11)),I11*J11,"")</f>
        <v/>
      </c>
      <c r="L11" s="339">
        <f>IF(COUNT(F11,I11)=0,"",N(F11)-N(I11))</f>
        <v/>
      </c>
      <c r="M11" s="340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inlineStr">
        <is>
          <t>L-0008</t>
        </is>
      </c>
      <c r="C12" s="319" t="n">
        <v>46306</v>
      </c>
      <c r="D12" s="318" t="n"/>
      <c r="E12" s="320" t="inlineStr">
        <is>
          <t>CAKE/BTC</t>
        </is>
      </c>
      <c r="F12" s="321" t="n">
        <v>3531.07472889</v>
      </c>
      <c r="G12" s="322" t="n">
        <v>2.4e-05</v>
      </c>
      <c r="H12" s="271">
        <f>IF(AND(ISNUMBER(F12),ISNUMBER(G12)),F12*G12,"")</f>
        <v/>
      </c>
      <c r="I12" s="321" t="n">
        <v>3491.64225507</v>
      </c>
      <c r="J12" s="322" t="n">
        <v>2.5e-05</v>
      </c>
      <c r="K12" s="271">
        <f>IF(AND(ISNUMBER(I12),ISNUMBER(J12)),I12*J12,"")</f>
        <v/>
      </c>
      <c r="L12" s="341">
        <f>IF(COUNT(F12,I12)=0,"",N(F12)-N(I12))</f>
        <v/>
      </c>
      <c r="M12" s="342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inlineStr">
        <is>
          <t>L-0009</t>
        </is>
      </c>
      <c r="C13" s="314" t="n">
        <v>46306</v>
      </c>
      <c r="D13" s="313" t="n"/>
      <c r="E13" s="315" t="inlineStr">
        <is>
          <t>CAKE/ETH</t>
        </is>
      </c>
      <c r="F13" s="316" t="n">
        <v>1037.2227629</v>
      </c>
      <c r="G13" s="317" t="n">
        <v>0.0009210000000000001</v>
      </c>
      <c r="H13" s="271">
        <f>IF(AND(ISNUMBER(F13),ISNUMBER(G13)),F13*G13,"")</f>
        <v/>
      </c>
      <c r="I13" s="316" t="n">
        <v>1012.79267448</v>
      </c>
      <c r="J13" s="317" t="n">
        <v>0.000975</v>
      </c>
      <c r="K13" s="271">
        <f>IF(AND(ISNUMBER(I13),ISNUMBER(J13)),I13*J13,"")</f>
        <v/>
      </c>
      <c r="L13" s="339">
        <f>IF(COUNT(F13,I13)=0,"",N(F13)-N(I13))</f>
        <v/>
      </c>
      <c r="M13" s="340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inlineStr">
        <is>
          <t>L-0010</t>
        </is>
      </c>
      <c r="C14" s="319" t="n">
        <v>46306</v>
      </c>
      <c r="D14" s="318" t="n"/>
      <c r="E14" s="320" t="inlineStr">
        <is>
          <t>CAKE/BNB</t>
        </is>
      </c>
      <c r="F14" s="321" t="n">
        <v>3836.18859238</v>
      </c>
      <c r="G14" s="322" t="n">
        <v>0.003149</v>
      </c>
      <c r="H14" s="271">
        <f>IF(AND(ISNUMBER(F14),ISNUMBER(G14)),F14*G14,"")</f>
        <v/>
      </c>
      <c r="I14" s="321" t="n">
        <v>3736.20920601</v>
      </c>
      <c r="J14" s="322" t="n">
        <v>0.00334</v>
      </c>
      <c r="K14" s="271">
        <f>IF(AND(ISNUMBER(I14),ISNUMBER(J14)),I14*J14,"")</f>
        <v/>
      </c>
      <c r="L14" s="341">
        <f>IF(COUNT(F14,I14)=0,"",N(F14)-N(I14))</f>
        <v/>
      </c>
      <c r="M14" s="342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inlineStr">
        <is>
          <t>T-0001</t>
        </is>
      </c>
      <c r="C15" s="314" t="n">
        <v>46306</v>
      </c>
      <c r="D15" s="313" t="n"/>
      <c r="E15" s="315" t="inlineStr">
        <is>
          <t>ETC/BNB</t>
        </is>
      </c>
      <c r="F15" s="316" t="n">
        <v>29.5</v>
      </c>
      <c r="G15" s="317" t="n">
        <v>0.0442449</v>
      </c>
      <c r="H15" s="271">
        <f>IF(AND(ISNUMBER(F15),ISNUMBER(G15)),F15*G15,"")</f>
        <v/>
      </c>
      <c r="I15" s="316" t="n">
        <v>29.5</v>
      </c>
      <c r="J15" s="317" t="n">
        <v>0.04661334</v>
      </c>
      <c r="K15" s="271">
        <f>IF(AND(ISNUMBER(I15),ISNUMBER(J15)),I15*J15,"")</f>
        <v/>
      </c>
      <c r="L15" s="339">
        <f>IF(COUNT(F15,I15)=0,"",N(F15)-N(I15))</f>
        <v/>
      </c>
      <c r="M15" s="340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inlineStr">
        <is>
          <t>T-0002</t>
        </is>
      </c>
      <c r="C16" s="319" t="n">
        <v>46306</v>
      </c>
      <c r="D16" s="318" t="n"/>
      <c r="E16" s="320" t="inlineStr">
        <is>
          <t>TRX/XRP</t>
        </is>
      </c>
      <c r="F16" s="321" t="n">
        <v>17720.3</v>
      </c>
      <c r="G16" s="322" t="n">
        <v>0.11607616</v>
      </c>
      <c r="H16" s="271">
        <f>IF(AND(ISNUMBER(F16),ISNUMBER(G16)),F16*G16,"")</f>
        <v/>
      </c>
      <c r="I16" s="321" t="n">
        <v>17062</v>
      </c>
      <c r="J16" s="322" t="n">
        <v>0.1355196</v>
      </c>
      <c r="K16" s="271">
        <f>IF(AND(ISNUMBER(I16),ISNUMBER(J16)),I16*J16,"")</f>
        <v/>
      </c>
      <c r="L16" s="341">
        <f>IF(COUNT(F16,I16)=0,"",N(F16)-N(I16))</f>
        <v/>
      </c>
      <c r="M16" s="342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inlineStr">
        <is>
          <t>T-0003</t>
        </is>
      </c>
      <c r="C17" s="314" t="n">
        <v>46306</v>
      </c>
      <c r="D17" s="313" t="n"/>
      <c r="E17" s="315" t="inlineStr">
        <is>
          <t>TRX/ETH</t>
        </is>
      </c>
      <c r="F17" s="316" t="n">
        <v>100</v>
      </c>
      <c r="G17" s="317" t="n">
        <v>5.027e-05</v>
      </c>
      <c r="H17" s="271">
        <f>IF(AND(ISNUMBER(F17),ISNUMBER(G17)),F17*G17,"")</f>
        <v/>
      </c>
      <c r="I17" s="316" t="n">
        <v>100</v>
      </c>
      <c r="J17" s="317" t="n">
        <v>0.00015303</v>
      </c>
      <c r="K17" s="271">
        <f>IF(AND(ISNUMBER(I17),ISNUMBER(J17)),I17*J17,"")</f>
        <v/>
      </c>
      <c r="L17" s="339">
        <f>IF(COUNT(F17,I17)=0,"",N(F17)-N(I17))</f>
        <v/>
      </c>
      <c r="M17" s="340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inlineStr">
        <is>
          <t>T-0004</t>
        </is>
      </c>
      <c r="C18" s="319" t="n">
        <v>46306</v>
      </c>
      <c r="D18" s="318" t="n"/>
      <c r="E18" s="320" t="inlineStr">
        <is>
          <t>TRX/BTC</t>
        </is>
      </c>
      <c r="F18" s="321" t="n">
        <v>630</v>
      </c>
      <c r="G18" s="322" t="n">
        <v>2.53e-06</v>
      </c>
      <c r="H18" s="271">
        <f>IF(AND(ISNUMBER(F18),ISNUMBER(G18)),F18*G18,"")</f>
        <v/>
      </c>
      <c r="I18" s="321" t="n">
        <v>630</v>
      </c>
      <c r="J18" s="322" t="n">
        <v>2.66e-06</v>
      </c>
      <c r="K18" s="271">
        <f>IF(AND(ISNUMBER(I18),ISNUMBER(J18)),I18*J18,"")</f>
        <v/>
      </c>
      <c r="L18" s="341">
        <f>IF(COUNT(F18,I18)=0,"",N(F18)-N(I18))</f>
        <v/>
      </c>
      <c r="M18" s="342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inlineStr">
        <is>
          <t>T-0005</t>
        </is>
      </c>
      <c r="C19" s="314" t="n">
        <v>46306</v>
      </c>
      <c r="D19" s="313" t="n"/>
      <c r="E19" s="315" t="inlineStr">
        <is>
          <t>DOGE/USD</t>
        </is>
      </c>
      <c r="F19" s="316" t="n">
        <v>621</v>
      </c>
      <c r="G19" s="317" t="n">
        <v>0.25897118</v>
      </c>
      <c r="H19" s="271">
        <f>IF(AND(ISNUMBER(F19),ISNUMBER(G19)),F19*G19,"")</f>
        <v/>
      </c>
      <c r="I19" s="316" t="n">
        <v>621</v>
      </c>
      <c r="J19" s="317" t="n">
        <v>0.32632</v>
      </c>
      <c r="K19" s="271">
        <f>IF(AND(ISNUMBER(I19),ISNUMBER(J19)),I19*J19,"")</f>
        <v/>
      </c>
      <c r="L19" s="339">
        <f>IF(COUNT(F19,I19)=0,"",N(F19)-N(I19))</f>
        <v/>
      </c>
      <c r="M19" s="340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inlineStr">
        <is>
          <t>T-0006</t>
        </is>
      </c>
      <c r="C20" s="319" t="n">
        <v>46306</v>
      </c>
      <c r="D20" s="318" t="n"/>
      <c r="E20" s="320" t="inlineStr">
        <is>
          <t>XRP/BTC</t>
        </is>
      </c>
      <c r="F20" s="321" t="n">
        <v>181</v>
      </c>
      <c r="G20" s="322" t="n">
        <v>1.611e-05</v>
      </c>
      <c r="H20" s="271">
        <f>IF(AND(ISNUMBER(F20),ISNUMBER(G20)),F20*G20,"")</f>
        <v/>
      </c>
      <c r="I20" s="321" t="n">
        <v>180</v>
      </c>
      <c r="J20" s="322" t="n">
        <v>2.377e-05</v>
      </c>
      <c r="K20" s="271">
        <f>IF(AND(ISNUMBER(I20),ISNUMBER(J20)),I20*J20,"")</f>
        <v/>
      </c>
      <c r="L20" s="341">
        <f>IF(COUNT(F20,I20)=0,"",N(F20)-N(I20))</f>
        <v/>
      </c>
      <c r="M20" s="342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inlineStr">
        <is>
          <t>T-0007</t>
        </is>
      </c>
      <c r="C21" s="314" t="n">
        <v>46306</v>
      </c>
      <c r="D21" s="313" t="n"/>
      <c r="E21" s="315" t="inlineStr">
        <is>
          <t>XRP/USD</t>
        </is>
      </c>
      <c r="F21" s="316" t="n">
        <v>2007.87</v>
      </c>
      <c r="G21" s="317" t="n">
        <v>0.67031646</v>
      </c>
      <c r="H21" s="271">
        <f>IF(AND(ISNUMBER(F21),ISNUMBER(G21)),F21*G21,"")</f>
        <v/>
      </c>
      <c r="I21" s="316" t="n">
        <v>2007.87</v>
      </c>
      <c r="J21" s="317" t="n">
        <v>2.585997</v>
      </c>
      <c r="K21" s="271">
        <f>IF(AND(ISNUMBER(I21),ISNUMBER(J21)),I21*J21,"")</f>
        <v/>
      </c>
      <c r="L21" s="339">
        <f>IF(COUNT(F21,I21)=0,"",N(F21)-N(I21))</f>
        <v/>
      </c>
      <c r="M21" s="340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inlineStr">
        <is>
          <t>T-0008</t>
        </is>
      </c>
      <c r="C22" s="319" t="n">
        <v>46306</v>
      </c>
      <c r="D22" s="318" t="n"/>
      <c r="E22" s="320" t="inlineStr">
        <is>
          <t>XRP/BNB</t>
        </is>
      </c>
      <c r="F22" s="321" t="n">
        <v>638</v>
      </c>
      <c r="G22" s="322" t="n">
        <v>0.00323821</v>
      </c>
      <c r="H22" s="271">
        <f>IF(AND(ISNUMBER(F22),ISNUMBER(G22)),F22*G22,"")</f>
        <v/>
      </c>
      <c r="I22" s="321" t="n">
        <v>638</v>
      </c>
      <c r="J22" s="322" t="n">
        <v>0.00343764</v>
      </c>
      <c r="K22" s="271">
        <f>IF(AND(ISNUMBER(I22),ISNUMBER(J22)),I22*J22,"")</f>
        <v/>
      </c>
      <c r="L22" s="341">
        <f>IF(COUNT(F22,I22)=0,"",N(F22)-N(I22))</f>
        <v/>
      </c>
      <c r="M22" s="342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inlineStr">
        <is>
          <t>T-0009</t>
        </is>
      </c>
      <c r="C23" s="314" t="n">
        <v>46306</v>
      </c>
      <c r="D23" s="313" t="n"/>
      <c r="E23" s="315" t="inlineStr">
        <is>
          <t>ZEC/BTC</t>
        </is>
      </c>
      <c r="F23" s="316" t="n">
        <v>3.93</v>
      </c>
      <c r="G23" s="317" t="n">
        <v>0.00030486</v>
      </c>
      <c r="H23" s="271">
        <f>IF(AND(ISNUMBER(F23),ISNUMBER(G23)),F23*G23,"")</f>
        <v/>
      </c>
      <c r="I23" s="316" t="n">
        <v>3.93</v>
      </c>
      <c r="J23" s="317" t="n">
        <v>0.0003614</v>
      </c>
      <c r="K23" s="271">
        <f>IF(AND(ISNUMBER(I23),ISNUMBER(J23)),I23*J23,"")</f>
        <v/>
      </c>
      <c r="L23" s="339">
        <f>IF(COUNT(F23,I23)=0,"",N(F23)-N(I23))</f>
        <v/>
      </c>
      <c r="M23" s="340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inlineStr">
        <is>
          <t>T-0010</t>
        </is>
      </c>
      <c r="C24" s="319" t="n">
        <v>46306</v>
      </c>
      <c r="D24" s="318" t="n"/>
      <c r="E24" s="320" t="inlineStr">
        <is>
          <t>ALGO/BTC</t>
        </is>
      </c>
      <c r="F24" s="321" t="n">
        <v>1169</v>
      </c>
      <c r="G24" s="322" t="n">
        <v>2.73e-06</v>
      </c>
      <c r="H24" s="271">
        <f>IF(AND(ISNUMBER(F24),ISNUMBER(G24)),F24*G24,"")</f>
        <v/>
      </c>
      <c r="I24" s="321" t="n">
        <v>1169</v>
      </c>
      <c r="J24" s="322" t="n">
        <v>2.72e-06</v>
      </c>
      <c r="K24" s="271">
        <f>IF(AND(ISNUMBER(I24),ISNUMBER(J24)),I24*J24,"")</f>
        <v/>
      </c>
      <c r="L24" s="341">
        <f>IF(COUNT(F24,I24)=0,"",N(F24)-N(I24))</f>
        <v/>
      </c>
      <c r="M24" s="342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inlineStr">
        <is>
          <t>T-0011</t>
        </is>
      </c>
      <c r="C25" s="314" t="n">
        <v>46306</v>
      </c>
      <c r="D25" s="313" t="n"/>
      <c r="E25" s="315" t="inlineStr">
        <is>
          <t>HBAR/BTC</t>
        </is>
      </c>
      <c r="F25" s="316" t="n">
        <v>1118</v>
      </c>
      <c r="G25" s="317" t="n">
        <v>2.1e-06</v>
      </c>
      <c r="H25" s="271">
        <f>IF(AND(ISNUMBER(F25),ISNUMBER(G25)),F25*G25,"")</f>
        <v/>
      </c>
      <c r="I25" s="316" t="n">
        <v>1118</v>
      </c>
      <c r="J25" s="317" t="n">
        <v>2.26e-06</v>
      </c>
      <c r="K25" s="271">
        <f>IF(AND(ISNUMBER(I25),ISNUMBER(J25)),I25*J25,"")</f>
        <v/>
      </c>
      <c r="L25" s="339">
        <f>IF(COUNT(F25,I25)=0,"",N(F25)-N(I25))</f>
        <v/>
      </c>
      <c r="M25" s="340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inlineStr">
        <is>
          <t>T-0012</t>
        </is>
      </c>
      <c r="C26" s="319" t="n">
        <v>46306</v>
      </c>
      <c r="D26" s="318" t="n"/>
      <c r="E26" s="320" t="inlineStr">
        <is>
          <t>ATOM/USD</t>
        </is>
      </c>
      <c r="F26" s="321" t="n">
        <v>20</v>
      </c>
      <c r="G26" s="322" t="n">
        <v>4.742</v>
      </c>
      <c r="H26" s="271">
        <f>IF(AND(ISNUMBER(F26),ISNUMBER(G26)),F26*G26,"")</f>
        <v/>
      </c>
      <c r="I26" s="321" t="n">
        <v>20</v>
      </c>
      <c r="J26" s="322" t="n">
        <v>4.92</v>
      </c>
      <c r="K26" s="271">
        <f>IF(AND(ISNUMBER(I26),ISNUMBER(J26)),I26*J26,"")</f>
        <v/>
      </c>
      <c r="L26" s="341">
        <f>IF(COUNT(F26,I26)=0,"",N(F26)-N(I26))</f>
        <v/>
      </c>
      <c r="M26" s="342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inlineStr">
        <is>
          <t>T-0013</t>
        </is>
      </c>
      <c r="C27" s="314" t="n">
        <v>46306</v>
      </c>
      <c r="D27" s="313" t="n"/>
      <c r="E27" s="315" t="inlineStr">
        <is>
          <t>ADA/BTC</t>
        </is>
      </c>
      <c r="F27" s="316" t="n">
        <v>100</v>
      </c>
      <c r="G27" s="317" t="n">
        <v>7.97e-06</v>
      </c>
      <c r="H27" s="271">
        <f>IF(AND(ISNUMBER(F27),ISNUMBER(G27)),F27*G27,"")</f>
        <v/>
      </c>
      <c r="I27" s="316" t="n">
        <v>100</v>
      </c>
      <c r="J27" s="317" t="n">
        <v>1.19e-05</v>
      </c>
      <c r="K27" s="271">
        <f>IF(AND(ISNUMBER(I27),ISNUMBER(J27)),I27*J27,"")</f>
        <v/>
      </c>
      <c r="L27" s="339">
        <f>IF(COUNT(F27,I27)=0,"",N(F27)-N(I27))</f>
        <v/>
      </c>
      <c r="M27" s="340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inlineStr">
        <is>
          <t>T-0014</t>
        </is>
      </c>
      <c r="C28" s="319" t="n">
        <v>46306</v>
      </c>
      <c r="D28" s="318" t="n"/>
      <c r="E28" s="320" t="inlineStr">
        <is>
          <t>PYTH/SOL</t>
        </is>
      </c>
      <c r="F28" s="321" t="n">
        <v>100</v>
      </c>
      <c r="G28" s="322" t="n">
        <v>0.001291</v>
      </c>
      <c r="H28" s="271">
        <f>IF(AND(ISNUMBER(F28),ISNUMBER(G28)),F28*G28,"")</f>
        <v/>
      </c>
      <c r="I28" s="321" t="n">
        <v>100</v>
      </c>
      <c r="J28" s="322" t="n">
        <v>0.00142</v>
      </c>
      <c r="K28" s="271">
        <f>IF(AND(ISNUMBER(I28),ISNUMBER(J28)),I28*J28,"")</f>
        <v/>
      </c>
      <c r="L28" s="341">
        <f>IF(COUNT(F28,I28)=0,"",N(F28)-N(I28))</f>
        <v/>
      </c>
      <c r="M28" s="342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inlineStr">
        <is>
          <t>T-0015</t>
        </is>
      </c>
      <c r="C29" s="314" t="n">
        <v>46306</v>
      </c>
      <c r="D29" s="313" t="n"/>
      <c r="E29" s="315" t="inlineStr">
        <is>
          <t>BTC/USD</t>
        </is>
      </c>
      <c r="F29" s="316" t="n">
        <v>0.00786247</v>
      </c>
      <c r="G29" s="317" t="n">
        <v>80392.41493807</v>
      </c>
      <c r="H29" s="271">
        <f>IF(AND(ISNUMBER(F29),ISNUMBER(G29)),F29*G29,"")</f>
        <v/>
      </c>
      <c r="I29" s="316" t="n">
        <v>0.00786047</v>
      </c>
      <c r="J29" s="317" t="n">
        <v>92654.3487834</v>
      </c>
      <c r="K29" s="271">
        <f>IF(AND(ISNUMBER(I29),ISNUMBER(J29)),I29*J29,"")</f>
        <v/>
      </c>
      <c r="L29" s="339">
        <f>IF(COUNT(F29,I29)=0,"",N(F29)-N(I29))</f>
        <v/>
      </c>
      <c r="M29" s="340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inlineStr">
        <is>
          <t>T-0016</t>
        </is>
      </c>
      <c r="C30" s="319" t="n">
        <v>46306</v>
      </c>
      <c r="D30" s="318" t="n"/>
      <c r="E30" s="320" t="inlineStr">
        <is>
          <t>BNB/USD</t>
        </is>
      </c>
      <c r="F30" s="321" t="n">
        <v>1.66421673</v>
      </c>
      <c r="G30" s="322" t="n">
        <v>606.20242287</v>
      </c>
      <c r="H30" s="271">
        <f>IF(AND(ISNUMBER(F30),ISNUMBER(G30)),F30*G30,"")</f>
        <v/>
      </c>
      <c r="I30" s="321" t="n">
        <v>1.6560812</v>
      </c>
      <c r="J30" s="322" t="n">
        <v>627.44927483</v>
      </c>
      <c r="K30" s="271">
        <f>IF(AND(ISNUMBER(I30),ISNUMBER(J30)),I30*J30,"")</f>
        <v/>
      </c>
      <c r="L30" s="341">
        <f>IF(COUNT(F30,I30)=0,"",N(F30)-N(I30))</f>
        <v/>
      </c>
      <c r="M30" s="342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inlineStr">
        <is>
          <t>T-0017</t>
        </is>
      </c>
      <c r="C31" s="314" t="n">
        <v>46306</v>
      </c>
      <c r="D31" s="313" t="n"/>
      <c r="E31" s="315" t="inlineStr">
        <is>
          <t>BNB/BTC</t>
        </is>
      </c>
      <c r="F31" s="316" t="n">
        <v>0.3</v>
      </c>
      <c r="G31" s="317" t="n">
        <v>0.00767534</v>
      </c>
      <c r="H31" s="271">
        <f>IF(AND(ISNUMBER(F31),ISNUMBER(G31)),F31*G31,"")</f>
        <v/>
      </c>
      <c r="I31" s="316" t="n">
        <v>0.3</v>
      </c>
      <c r="J31" s="317" t="n">
        <v>0.01404</v>
      </c>
      <c r="K31" s="271">
        <f>IF(AND(ISNUMBER(I31),ISNUMBER(J31)),I31*J31,"")</f>
        <v/>
      </c>
      <c r="L31" s="339">
        <f>IF(COUNT(F31,I31)=0,"",N(F31)-N(I31))</f>
        <v/>
      </c>
      <c r="M31" s="340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inlineStr">
        <is>
          <t>T-0018</t>
        </is>
      </c>
      <c r="C32" s="319" t="n">
        <v>46306</v>
      </c>
      <c r="D32" s="318" t="n"/>
      <c r="E32" s="320" t="inlineStr">
        <is>
          <t>BCH/BTC</t>
        </is>
      </c>
      <c r="F32" s="321" t="n">
        <v>0.403</v>
      </c>
      <c r="G32" s="322" t="n">
        <v>0.003775</v>
      </c>
      <c r="H32" s="271">
        <f>IF(AND(ISNUMBER(F32),ISNUMBER(G32)),F32*G32,"")</f>
        <v/>
      </c>
      <c r="I32" s="321" t="n">
        <v>0.40130092</v>
      </c>
      <c r="J32" s="322" t="n">
        <v>0.00392302</v>
      </c>
      <c r="K32" s="271">
        <f>IF(AND(ISNUMBER(I32),ISNUMBER(J32)),I32*J32,"")</f>
        <v/>
      </c>
      <c r="L32" s="341">
        <f>IF(COUNT(F32,I32)=0,"",N(F32)-N(I32))</f>
        <v/>
      </c>
      <c r="M32" s="342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inlineStr">
        <is>
          <t>T-0019</t>
        </is>
      </c>
      <c r="C33" s="314" t="n">
        <v>46306</v>
      </c>
      <c r="D33" s="313" t="n"/>
      <c r="E33" s="315" t="inlineStr">
        <is>
          <t>BNB/ETH</t>
        </is>
      </c>
      <c r="F33" s="316" t="n">
        <v>0.29</v>
      </c>
      <c r="G33" s="317" t="n">
        <v>0.193006</v>
      </c>
      <c r="H33" s="271">
        <f>IF(AND(ISNUMBER(F33),ISNUMBER(G33)),F33*G33,"")</f>
        <v/>
      </c>
      <c r="I33" s="316" t="n">
        <v>0.28629</v>
      </c>
      <c r="J33" s="317" t="n">
        <v>0.21928813</v>
      </c>
      <c r="K33" s="271">
        <f>IF(AND(ISNUMBER(I33),ISNUMBER(J33)),I33*J33,"")</f>
        <v/>
      </c>
      <c r="L33" s="339">
        <f>IF(COUNT(F33,I33)=0,"",N(F33)-N(I33))</f>
        <v/>
      </c>
      <c r="M33" s="340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inlineStr">
        <is>
          <t>T-0020</t>
        </is>
      </c>
      <c r="C34" s="319" t="n">
        <v>46306</v>
      </c>
      <c r="D34" s="318" t="n"/>
      <c r="E34" s="320" t="inlineStr">
        <is>
          <t>ETH/BTC</t>
        </is>
      </c>
      <c r="F34" s="321" t="n">
        <v>1.20929859</v>
      </c>
      <c r="G34" s="322" t="n">
        <v>0.03205338</v>
      </c>
      <c r="H34" s="271">
        <f>IF(AND(ISNUMBER(F34),ISNUMBER(G34)),F34*G34,"")</f>
        <v/>
      </c>
      <c r="I34" s="321" t="n">
        <v>1.19886859</v>
      </c>
      <c r="J34" s="322" t="n">
        <v>0.05514341</v>
      </c>
      <c r="K34" s="271">
        <f>IF(AND(ISNUMBER(I34),ISNUMBER(J34)),I34*J34,"")</f>
        <v/>
      </c>
      <c r="L34" s="341">
        <f>IF(COUNT(F34,I34)=0,"",N(F34)-N(I34))</f>
        <v/>
      </c>
      <c r="M34" s="342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inlineStr">
        <is>
          <t>T-0021</t>
        </is>
      </c>
      <c r="C35" s="314" t="n">
        <v>46306</v>
      </c>
      <c r="D35" s="313" t="n"/>
      <c r="E35" s="315" t="inlineStr">
        <is>
          <t>ETH/USD</t>
        </is>
      </c>
      <c r="F35" s="316" t="n">
        <v>1.22841877</v>
      </c>
      <c r="G35" s="317" t="n">
        <v>2305.29556289</v>
      </c>
      <c r="H35" s="271">
        <f>IF(AND(ISNUMBER(F35),ISNUMBER(G35)),F35*G35,"")</f>
        <v/>
      </c>
      <c r="I35" s="316" t="n">
        <v>1.2167922</v>
      </c>
      <c r="J35" s="317" t="n">
        <v>2701.07197061</v>
      </c>
      <c r="K35" s="271">
        <f>IF(AND(ISNUMBER(I35),ISNUMBER(J35)),I35*J35,"")</f>
        <v/>
      </c>
      <c r="L35" s="339">
        <f>IF(COUNT(F35,I35)=0,"",N(F35)-N(I35))</f>
        <v/>
      </c>
      <c r="M35" s="340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inlineStr">
        <is>
          <t>T-0022</t>
        </is>
      </c>
      <c r="C36" s="319" t="n">
        <v>46306</v>
      </c>
      <c r="D36" s="318" t="n"/>
      <c r="E36" s="320" t="inlineStr">
        <is>
          <t>CAKE/USD</t>
        </is>
      </c>
      <c r="F36" s="321" t="n">
        <v>249</v>
      </c>
      <c r="G36" s="322" t="n">
        <v>1.94317748</v>
      </c>
      <c r="H36" s="271">
        <f>IF(AND(ISNUMBER(F36),ISNUMBER(G36)),F36*G36,"")</f>
        <v/>
      </c>
      <c r="I36" s="321" t="n">
        <v>238</v>
      </c>
      <c r="J36" s="322" t="n">
        <v>2.10339714</v>
      </c>
      <c r="K36" s="271">
        <f>IF(AND(ISNUMBER(I36),ISNUMBER(J36)),I36*J36,"")</f>
        <v/>
      </c>
      <c r="L36" s="341">
        <f>IF(COUNT(F36,I36)=0,"",N(F36)-N(I36))</f>
        <v/>
      </c>
      <c r="M36" s="342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inlineStr">
        <is>
          <t>T-0023</t>
        </is>
      </c>
      <c r="C37" s="314" t="n">
        <v>46306</v>
      </c>
      <c r="D37" s="313" t="n"/>
      <c r="E37" s="315" t="inlineStr">
        <is>
          <t>CAKE/BNB</t>
        </is>
      </c>
      <c r="F37" s="316" t="n">
        <v>152.1159</v>
      </c>
      <c r="G37" s="317" t="n">
        <v>0.00327053</v>
      </c>
      <c r="H37" s="271">
        <f>IF(AND(ISNUMBER(F37),ISNUMBER(G37)),F37*G37,"")</f>
        <v/>
      </c>
      <c r="I37" s="316" t="n">
        <v>152.1159</v>
      </c>
      <c r="J37" s="317" t="n">
        <v>0.00351796</v>
      </c>
      <c r="K37" s="271">
        <f>IF(AND(ISNUMBER(I37),ISNUMBER(J37)),I37*J37,"")</f>
        <v/>
      </c>
      <c r="L37" s="339">
        <f>IF(COUNT(F37,I37)=0,"",N(F37)-N(I37))</f>
        <v/>
      </c>
      <c r="M37" s="340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inlineStr">
        <is>
          <t>T-0024</t>
        </is>
      </c>
      <c r="C38" s="319" t="n">
        <v>46306</v>
      </c>
      <c r="D38" s="318" t="n"/>
      <c r="E38" s="320" t="inlineStr">
        <is>
          <t>CAKE/ETH</t>
        </is>
      </c>
      <c r="F38" s="321" t="n">
        <v>200</v>
      </c>
      <c r="G38" s="322" t="n">
        <v>0.00108396</v>
      </c>
      <c r="H38" s="271">
        <f>IF(AND(ISNUMBER(F38),ISNUMBER(G38)),F38*G38,"")</f>
        <v/>
      </c>
      <c r="I38" s="321" t="n">
        <v>200</v>
      </c>
      <c r="J38" s="322" t="n">
        <v>0.001123</v>
      </c>
      <c r="K38" s="271">
        <f>IF(AND(ISNUMBER(I38),ISNUMBER(J38)),I38*J38,"")</f>
        <v/>
      </c>
      <c r="L38" s="341">
        <f>IF(COUNT(F38,I38)=0,"",N(F38)-N(I38))</f>
        <v/>
      </c>
      <c r="M38" s="342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inlineStr">
        <is>
          <t>T-0025</t>
        </is>
      </c>
      <c r="C39" s="314" t="n">
        <v>46306</v>
      </c>
      <c r="D39" s="313" t="n"/>
      <c r="E39" s="315" t="inlineStr">
        <is>
          <t>LTC/USD</t>
        </is>
      </c>
      <c r="F39" s="316" t="n">
        <v>1.948</v>
      </c>
      <c r="G39" s="317" t="n">
        <v>68.94437372</v>
      </c>
      <c r="H39" s="271">
        <f>IF(AND(ISNUMBER(F39),ISNUMBER(G39)),F39*G39,"")</f>
        <v/>
      </c>
      <c r="I39" s="316" t="n">
        <v>1.948</v>
      </c>
      <c r="J39" s="317" t="n">
        <v>77.19706843</v>
      </c>
      <c r="K39" s="271">
        <f>IF(AND(ISNUMBER(I39),ISNUMBER(J39)),I39*J39,"")</f>
        <v/>
      </c>
      <c r="L39" s="339">
        <f>IF(COUNT(F39,I39)=0,"",N(F39)-N(I39))</f>
        <v/>
      </c>
      <c r="M39" s="340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inlineStr">
        <is>
          <t>T-0026</t>
        </is>
      </c>
      <c r="C40" s="319" t="n">
        <v>46306</v>
      </c>
      <c r="D40" s="318" t="n"/>
      <c r="E40" s="320" t="inlineStr">
        <is>
          <t>LTC/BTC</t>
        </is>
      </c>
      <c r="F40" s="321" t="n">
        <v>5.17606199</v>
      </c>
      <c r="G40" s="322" t="n">
        <v>0.00086764</v>
      </c>
      <c r="H40" s="271">
        <f>IF(AND(ISNUMBER(F40),ISNUMBER(G40)),F40*G40,"")</f>
        <v/>
      </c>
      <c r="I40" s="321" t="n">
        <v>5.17906199</v>
      </c>
      <c r="J40" s="322" t="n">
        <v>0.0009988099999999999</v>
      </c>
      <c r="K40" s="271">
        <f>IF(AND(ISNUMBER(I40),ISNUMBER(J40)),I40*J40,"")</f>
        <v/>
      </c>
      <c r="L40" s="341">
        <f>IF(COUNT(F40,I40)=0,"",N(F40)-N(I40))</f>
        <v/>
      </c>
      <c r="M40" s="342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inlineStr">
        <is>
          <t>T-0027</t>
        </is>
      </c>
      <c r="C41" s="314" t="n">
        <v>46306</v>
      </c>
      <c r="D41" s="313" t="n"/>
      <c r="E41" s="315" t="inlineStr">
        <is>
          <t>LTC/ETH</t>
        </is>
      </c>
      <c r="F41" s="316" t="n">
        <v>4.672</v>
      </c>
      <c r="G41" s="317" t="n">
        <v>0.04259548</v>
      </c>
      <c r="H41" s="271">
        <f>IF(AND(ISNUMBER(F41),ISNUMBER(G41)),F41*G41,"")</f>
        <v/>
      </c>
      <c r="I41" s="316" t="n">
        <v>4.63</v>
      </c>
      <c r="J41" s="317" t="n">
        <v>0.04946258</v>
      </c>
      <c r="K41" s="271">
        <f>IF(AND(ISNUMBER(I41),ISNUMBER(J41)),I41*J41,"")</f>
        <v/>
      </c>
      <c r="L41" s="339">
        <f>IF(COUNT(F41,I41)=0,"",N(F41)-N(I41))</f>
        <v/>
      </c>
      <c r="M41" s="340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inlineStr">
        <is>
          <t>T-0028</t>
        </is>
      </c>
      <c r="C42" s="319" t="n">
        <v>46306</v>
      </c>
      <c r="D42" s="318" t="n"/>
      <c r="E42" s="320" t="inlineStr">
        <is>
          <t>LINK/USD</t>
        </is>
      </c>
      <c r="F42" s="321" t="n">
        <v>4</v>
      </c>
      <c r="G42" s="322" t="n">
        <v>14.28</v>
      </c>
      <c r="H42" s="271">
        <f>IF(AND(ISNUMBER(F42),ISNUMBER(G42)),F42*G42,"")</f>
        <v/>
      </c>
      <c r="I42" s="321" t="n">
        <v>4</v>
      </c>
      <c r="J42" s="322" t="n">
        <v>18.47</v>
      </c>
      <c r="K42" s="271">
        <f>IF(AND(ISNUMBER(I42),ISNUMBER(J42)),I42*J42,"")</f>
        <v/>
      </c>
      <c r="L42" s="341">
        <f>IF(COUNT(F42,I42)=0,"",N(F42)-N(I42))</f>
        <v/>
      </c>
      <c r="M42" s="342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inlineStr">
        <is>
          <t>T-0029</t>
        </is>
      </c>
      <c r="C43" s="314" t="n">
        <v>46306</v>
      </c>
      <c r="D43" s="313" t="n"/>
      <c r="E43" s="315" t="inlineStr">
        <is>
          <t>LINK/BTC</t>
        </is>
      </c>
      <c r="F43" s="316" t="n">
        <v>9.119999999999999</v>
      </c>
      <c r="G43" s="317" t="n">
        <v>0.000147</v>
      </c>
      <c r="H43" s="271">
        <f>IF(AND(ISNUMBER(F43),ISNUMBER(G43)),F43*G43,"")</f>
        <v/>
      </c>
      <c r="I43" s="316" t="n">
        <v>9.109999999999999</v>
      </c>
      <c r="J43" s="317" t="n">
        <v>0.00017</v>
      </c>
      <c r="K43" s="271">
        <f>IF(AND(ISNUMBER(I43),ISNUMBER(J43)),I43*J43,"")</f>
        <v/>
      </c>
      <c r="L43" s="339">
        <f>IF(COUNT(F43,I43)=0,"",N(F43)-N(I43))</f>
        <v/>
      </c>
      <c r="M43" s="340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inlineStr">
        <is>
          <t>T-0030</t>
        </is>
      </c>
      <c r="C44" s="319" t="n">
        <v>46306</v>
      </c>
      <c r="D44" s="318" t="n"/>
      <c r="E44" s="320" t="inlineStr">
        <is>
          <t>SOL/ETH</t>
        </is>
      </c>
      <c r="F44" s="321" t="n">
        <v>3.082</v>
      </c>
      <c r="G44" s="322" t="n">
        <v>0.07544127</v>
      </c>
      <c r="H44" s="271">
        <f>IF(AND(ISNUMBER(F44),ISNUMBER(G44)),F44*G44,"")</f>
        <v/>
      </c>
      <c r="I44" s="321" t="n">
        <v>3</v>
      </c>
      <c r="J44" s="322" t="n">
        <v>0.0851</v>
      </c>
      <c r="K44" s="271">
        <f>IF(AND(ISNUMBER(I44),ISNUMBER(J44)),I44*J44,"")</f>
        <v/>
      </c>
      <c r="L44" s="341">
        <f>IF(COUNT(F44,I44)=0,"",N(F44)-N(I44))</f>
        <v/>
      </c>
      <c r="M44" s="342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inlineStr">
        <is>
          <t>T-0031</t>
        </is>
      </c>
      <c r="C45" s="314" t="n">
        <v>46306</v>
      </c>
      <c r="D45" s="313" t="n"/>
      <c r="E45" s="315" t="inlineStr">
        <is>
          <t>XLM/USD</t>
        </is>
      </c>
      <c r="F45" s="316" t="n">
        <v>850</v>
      </c>
      <c r="G45" s="317" t="n">
        <v>0.146455</v>
      </c>
      <c r="H45" s="271">
        <f>IF(AND(ISNUMBER(F45),ISNUMBER(G45)),F45*G45,"")</f>
        <v/>
      </c>
      <c r="I45" s="316" t="n">
        <v>850</v>
      </c>
      <c r="J45" s="317" t="n">
        <v>0.15</v>
      </c>
      <c r="K45" s="271">
        <f>IF(AND(ISNUMBER(I45),ISNUMBER(J45)),I45*J45,"")</f>
        <v/>
      </c>
      <c r="L45" s="339">
        <f>IF(COUNT(F45,I45)=0,"",N(F45)-N(I45))</f>
        <v/>
      </c>
      <c r="M45" s="340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inlineStr">
        <is>
          <t>T-0032</t>
        </is>
      </c>
      <c r="C46" s="319" t="n">
        <v>46306</v>
      </c>
      <c r="D46" s="318" t="n"/>
      <c r="E46" s="320" t="inlineStr">
        <is>
          <t>PAXG/USD</t>
        </is>
      </c>
      <c r="F46" s="321" t="n">
        <v>0.0296</v>
      </c>
      <c r="G46" s="322" t="n">
        <v>3406.30594595</v>
      </c>
      <c r="H46" s="271">
        <f>IF(AND(ISNUMBER(F46),ISNUMBER(G46)),F46*G46,"")</f>
        <v/>
      </c>
      <c r="I46" s="321" t="n">
        <v>0.02880752</v>
      </c>
      <c r="J46" s="322" t="n">
        <v>4267.25984099</v>
      </c>
      <c r="K46" s="271">
        <f>IF(AND(ISNUMBER(I46),ISNUMBER(J46)),I46*J46,"")</f>
        <v/>
      </c>
      <c r="L46" s="341">
        <f>IF(COUNT(F46,I46)=0,"",N(F46)-N(I46))</f>
        <v/>
      </c>
      <c r="M46" s="342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inlineStr">
        <is>
          <t>T-0033</t>
        </is>
      </c>
      <c r="C47" s="314" t="n">
        <v>46306</v>
      </c>
      <c r="D47" s="313" t="n"/>
      <c r="E47" s="315" t="inlineStr">
        <is>
          <t>DASH/BTC</t>
        </is>
      </c>
      <c r="F47" s="316" t="n">
        <v>2</v>
      </c>
      <c r="G47" s="317" t="n">
        <v>0.000478</v>
      </c>
      <c r="H47" s="271">
        <f>IF(AND(ISNUMBER(F47),ISNUMBER(G47)),F47*G47,"")</f>
        <v/>
      </c>
      <c r="I47" s="316" t="n">
        <v>2</v>
      </c>
      <c r="J47" s="317" t="n">
        <v>0.0004921</v>
      </c>
      <c r="K47" s="271">
        <f>IF(AND(ISNUMBER(I47),ISNUMBER(J47)),I47*J47,"")</f>
        <v/>
      </c>
      <c r="L47" s="339">
        <f>IF(COUNT(F47,I47)=0,"",N(F47)-N(I47))</f>
        <v/>
      </c>
      <c r="M47" s="340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341">
        <f>IF(COUNT(F48,I48)=0,"",N(F48)-N(I48))</f>
        <v/>
      </c>
      <c r="M48" s="342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339">
        <f>IF(COUNT(F49,I49)=0,"",N(F49)-N(I49))</f>
        <v/>
      </c>
      <c r="M49" s="340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341">
        <f>IF(COUNT(F50,I50)=0,"",N(F50)-N(I50))</f>
        <v/>
      </c>
      <c r="M50" s="342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339">
        <f>IF(COUNT(F51,I51)=0,"",N(F51)-N(I51))</f>
        <v/>
      </c>
      <c r="M51" s="340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341">
        <f>IF(COUNT(F52,I52)=0,"",N(F52)-N(I52))</f>
        <v/>
      </c>
      <c r="M52" s="342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339">
        <f>IF(COUNT(F53,I53)=0,"",N(F53)-N(I53))</f>
        <v/>
      </c>
      <c r="M53" s="340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341">
        <f>IF(COUNT(F54,I54)=0,"",N(F54)-N(I54))</f>
        <v/>
      </c>
      <c r="M54" s="342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339">
        <f>IF(COUNT(F55,I55)=0,"",N(F55)-N(I55))</f>
        <v/>
      </c>
      <c r="M55" s="340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341">
        <f>IF(COUNT(F56,I56)=0,"",N(F56)-N(I56))</f>
        <v/>
      </c>
      <c r="M56" s="342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339">
        <f>IF(COUNT(F57,I57)=0,"",N(F57)-N(I57))</f>
        <v/>
      </c>
      <c r="M57" s="340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341">
        <f>IF(COUNT(F58,I58)=0,"",N(F58)-N(I58))</f>
        <v/>
      </c>
      <c r="M58" s="342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339">
        <f>IF(COUNT(F59,I59)=0,"",N(F59)-N(I59))</f>
        <v/>
      </c>
      <c r="M59" s="340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341">
        <f>IF(COUNT(F60,I60)=0,"",N(F60)-N(I60))</f>
        <v/>
      </c>
      <c r="M60" s="342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339">
        <f>IF(COUNT(F61,I61)=0,"",N(F61)-N(I61))</f>
        <v/>
      </c>
      <c r="M61" s="340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341">
        <f>IF(COUNT(F62,I62)=0,"",N(F62)-N(I62))</f>
        <v/>
      </c>
      <c r="M62" s="342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339">
        <f>IF(COUNT(F63,I63)=0,"",N(F63)-N(I63))</f>
        <v/>
      </c>
      <c r="M63" s="340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341">
        <f>IF(COUNT(F64,I64)=0,"",N(F64)-N(I64))</f>
        <v/>
      </c>
      <c r="M64" s="342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339">
        <f>IF(COUNT(F65,I65)=0,"",N(F65)-N(I65))</f>
        <v/>
      </c>
      <c r="M65" s="340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341">
        <f>IF(COUNT(F66,I66)=0,"",N(F66)-N(I66))</f>
        <v/>
      </c>
      <c r="M66" s="342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339">
        <f>IF(COUNT(F67,I67)=0,"",N(F67)-N(I67))</f>
        <v/>
      </c>
      <c r="M67" s="340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341">
        <f>IF(COUNT(F68,I68)=0,"",N(F68)-N(I68))</f>
        <v/>
      </c>
      <c r="M68" s="342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339">
        <f>IF(COUNT(F69,I69)=0,"",N(F69)-N(I69))</f>
        <v/>
      </c>
      <c r="M69" s="340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341">
        <f>IF(COUNT(F70,I70)=0,"",N(F70)-N(I70))</f>
        <v/>
      </c>
      <c r="M70" s="342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339">
        <f>IF(COUNT(F71,I71)=0,"",N(F71)-N(I71))</f>
        <v/>
      </c>
      <c r="M71" s="340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341">
        <f>IF(COUNT(F72,I72)=0,"",N(F72)-N(I72))</f>
        <v/>
      </c>
      <c r="M72" s="342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339">
        <f>IF(COUNT(F73,I73)=0,"",N(F73)-N(I73))</f>
        <v/>
      </c>
      <c r="M73" s="340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341">
        <f>IF(COUNT(F74,I74)=0,"",N(F74)-N(I74))</f>
        <v/>
      </c>
      <c r="M74" s="342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339">
        <f>IF(COUNT(F75,I75)=0,"",N(F75)-N(I75))</f>
        <v/>
      </c>
      <c r="M75" s="340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341">
        <f>IF(COUNT(F76,I76)=0,"",N(F76)-N(I76))</f>
        <v/>
      </c>
      <c r="M76" s="342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339">
        <f>IF(COUNT(F77,I77)=0,"",N(F77)-N(I77))</f>
        <v/>
      </c>
      <c r="M77" s="340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341">
        <f>IF(COUNT(F78,I78)=0,"",N(F78)-N(I78))</f>
        <v/>
      </c>
      <c r="M78" s="342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339">
        <f>IF(COUNT(F79,I79)=0,"",N(F79)-N(I79))</f>
        <v/>
      </c>
      <c r="M79" s="340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341">
        <f>IF(COUNT(F80,I80)=0,"",N(F80)-N(I80))</f>
        <v/>
      </c>
      <c r="M80" s="342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339">
        <f>IF(COUNT(F81,I81)=0,"",N(F81)-N(I81))</f>
        <v/>
      </c>
      <c r="M81" s="340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341">
        <f>IF(COUNT(F82,I82)=0,"",N(F82)-N(I82))</f>
        <v/>
      </c>
      <c r="M82" s="342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339">
        <f>IF(COUNT(F83,I83)=0,"",N(F83)-N(I83))</f>
        <v/>
      </c>
      <c r="M83" s="340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341">
        <f>IF(COUNT(F84,I84)=0,"",N(F84)-N(I84))</f>
        <v/>
      </c>
      <c r="M84" s="342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339">
        <f>IF(COUNT(F85,I85)=0,"",N(F85)-N(I85))</f>
        <v/>
      </c>
      <c r="M85" s="340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341">
        <f>IF(COUNT(F86,I86)=0,"",N(F86)-N(I86))</f>
        <v/>
      </c>
      <c r="M86" s="342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339">
        <f>IF(COUNT(F87,I87)=0,"",N(F87)-N(I87))</f>
        <v/>
      </c>
      <c r="M87" s="340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341">
        <f>IF(COUNT(F88,I88)=0,"",N(F88)-N(I88))</f>
        <v/>
      </c>
      <c r="M88" s="342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339">
        <f>IF(COUNT(F89,I89)=0,"",N(F89)-N(I89))</f>
        <v/>
      </c>
      <c r="M89" s="340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341">
        <f>IF(COUNT(F90,I90)=0,"",N(F90)-N(I90))</f>
        <v/>
      </c>
      <c r="M90" s="342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339">
        <f>IF(COUNT(F91,I91)=0,"",N(F91)-N(I91))</f>
        <v/>
      </c>
      <c r="M91" s="340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341">
        <f>IF(COUNT(F92,I92)=0,"",N(F92)-N(I92))</f>
        <v/>
      </c>
      <c r="M92" s="342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339">
        <f>IF(COUNT(F93,I93)=0,"",N(F93)-N(I93))</f>
        <v/>
      </c>
      <c r="M93" s="340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341">
        <f>IF(COUNT(F94,I94)=0,"",N(F94)-N(I94))</f>
        <v/>
      </c>
      <c r="M94" s="342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339">
        <f>IF(COUNT(F95,I95)=0,"",N(F95)-N(I95))</f>
        <v/>
      </c>
      <c r="M95" s="340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341">
        <f>IF(COUNT(F96,I96)=0,"",N(F96)-N(I96))</f>
        <v/>
      </c>
      <c r="M96" s="342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339">
        <f>IF(COUNT(F97,I97)=0,"",N(F97)-N(I97))</f>
        <v/>
      </c>
      <c r="M97" s="340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341">
        <f>IF(COUNT(F98,I98)=0,"",N(F98)-N(I98))</f>
        <v/>
      </c>
      <c r="M98" s="342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339">
        <f>IF(COUNT(F99,I99)=0,"",N(F99)-N(I99))</f>
        <v/>
      </c>
      <c r="M99" s="340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341">
        <f>IF(COUNT(F100,I100)=0,"",N(F100)-N(I100))</f>
        <v/>
      </c>
      <c r="M100" s="342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339">
        <f>IF(COUNT(F101,I101)=0,"",N(F101)-N(I101))</f>
        <v/>
      </c>
      <c r="M101" s="340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341">
        <f>IF(COUNT(F102,I102)=0,"",N(F102)-N(I102))</f>
        <v/>
      </c>
      <c r="M102" s="342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339">
        <f>IF(COUNT(F103,I103)=0,"",N(F103)-N(I103))</f>
        <v/>
      </c>
      <c r="M103" s="340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341">
        <f>IF(COUNT(F104,I104)=0,"",N(F104)-N(I104))</f>
        <v/>
      </c>
      <c r="M104" s="342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339">
        <f>IF(COUNT(F105,I105)=0,"",N(F105)-N(I105))</f>
        <v/>
      </c>
      <c r="M105" s="340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341">
        <f>IF(COUNT(F106,I106)=0,"",N(F106)-N(I106))</f>
        <v/>
      </c>
      <c r="M106" s="342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339">
        <f>IF(COUNT(F107,I107)=0,"",N(F107)-N(I107))</f>
        <v/>
      </c>
      <c r="M107" s="340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341">
        <f>IF(COUNT(F108,I108)=0,"",N(F108)-N(I108))</f>
        <v/>
      </c>
      <c r="M108" s="342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339">
        <f>IF(COUNT(F109,I109)=0,"",N(F109)-N(I109))</f>
        <v/>
      </c>
      <c r="M109" s="340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341">
        <f>IF(COUNT(F110,I110)=0,"",N(F110)-N(I110))</f>
        <v/>
      </c>
      <c r="M110" s="342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339">
        <f>IF(COUNT(F111,I111)=0,"",N(F111)-N(I111))</f>
        <v/>
      </c>
      <c r="M111" s="340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341">
        <f>IF(COUNT(F112,I112)=0,"",N(F112)-N(I112))</f>
        <v/>
      </c>
      <c r="M112" s="342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339">
        <f>IF(COUNT(F113,I113)=0,"",N(F113)-N(I113))</f>
        <v/>
      </c>
      <c r="M113" s="340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341">
        <f>IF(COUNT(F114,I114)=0,"",N(F114)-N(I114))</f>
        <v/>
      </c>
      <c r="M114" s="342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339">
        <f>IF(COUNT(F115,I115)=0,"",N(F115)-N(I115))</f>
        <v/>
      </c>
      <c r="M115" s="340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341">
        <f>IF(COUNT(F116,I116)=0,"",N(F116)-N(I116))</f>
        <v/>
      </c>
      <c r="M116" s="342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339">
        <f>IF(COUNT(F117,I117)=0,"",N(F117)-N(I117))</f>
        <v/>
      </c>
      <c r="M117" s="340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341">
        <f>IF(COUNT(F118,I118)=0,"",N(F118)-N(I118))</f>
        <v/>
      </c>
      <c r="M118" s="342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339">
        <f>IF(COUNT(F119,I119)=0,"",N(F119)-N(I119))</f>
        <v/>
      </c>
      <c r="M119" s="340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341">
        <f>IF(COUNT(F120,I120)=0,"",N(F120)-N(I120))</f>
        <v/>
      </c>
      <c r="M120" s="342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339">
        <f>IF(COUNT(F121,I121)=0,"",N(F121)-N(I121))</f>
        <v/>
      </c>
      <c r="M121" s="340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341">
        <f>IF(COUNT(F122,I122)=0,"",N(F122)-N(I122))</f>
        <v/>
      </c>
      <c r="M122" s="342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339">
        <f>IF(COUNT(F123,I123)=0,"",N(F123)-N(I123))</f>
        <v/>
      </c>
      <c r="M123" s="340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341">
        <f>IF(COUNT(F124,I124)=0,"",N(F124)-N(I124))</f>
        <v/>
      </c>
      <c r="M124" s="342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339">
        <f>IF(COUNT(F125,I125)=0,"",N(F125)-N(I125))</f>
        <v/>
      </c>
      <c r="M125" s="340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341">
        <f>IF(COUNT(F126,I126)=0,"",N(F126)-N(I126))</f>
        <v/>
      </c>
      <c r="M126" s="342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339">
        <f>IF(COUNT(F127,I127)=0,"",N(F127)-N(I127))</f>
        <v/>
      </c>
      <c r="M127" s="340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341">
        <f>IF(COUNT(F128,I128)=0,"",N(F128)-N(I128))</f>
        <v/>
      </c>
      <c r="M128" s="342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339">
        <f>IF(COUNT(F129,I129)=0,"",N(F129)-N(I129))</f>
        <v/>
      </c>
      <c r="M129" s="340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341">
        <f>IF(COUNT(F130,I130)=0,"",N(F130)-N(I130))</f>
        <v/>
      </c>
      <c r="M130" s="342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339">
        <f>IF(COUNT(F131,I131)=0,"",N(F131)-N(I131))</f>
        <v/>
      </c>
      <c r="M131" s="340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341">
        <f>IF(COUNT(F132,I132)=0,"",N(F132)-N(I132))</f>
        <v/>
      </c>
      <c r="M132" s="342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339">
        <f>IF(COUNT(F133,I133)=0,"",N(F133)-N(I133))</f>
        <v/>
      </c>
      <c r="M133" s="340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341">
        <f>IF(COUNT(F134,I134)=0,"",N(F134)-N(I134))</f>
        <v/>
      </c>
      <c r="M134" s="342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339">
        <f>IF(COUNT(F135,I135)=0,"",N(F135)-N(I135))</f>
        <v/>
      </c>
      <c r="M135" s="340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341">
        <f>IF(COUNT(F136,I136)=0,"",N(F136)-N(I136))</f>
        <v/>
      </c>
      <c r="M136" s="342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339">
        <f>IF(COUNT(F137,I137)=0,"",N(F137)-N(I137))</f>
        <v/>
      </c>
      <c r="M137" s="340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341">
        <f>IF(COUNT(F138,I138)=0,"",N(F138)-N(I138))</f>
        <v/>
      </c>
      <c r="M138" s="342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339">
        <f>IF(COUNT(F139,I139)=0,"",N(F139)-N(I139))</f>
        <v/>
      </c>
      <c r="M139" s="340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341">
        <f>IF(COUNT(F140,I140)=0,"",N(F140)-N(I140))</f>
        <v/>
      </c>
      <c r="M140" s="342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339">
        <f>IF(COUNT(F141,I141)=0,"",N(F141)-N(I141))</f>
        <v/>
      </c>
      <c r="M141" s="340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341">
        <f>IF(COUNT(F142,I142)=0,"",N(F142)-N(I142))</f>
        <v/>
      </c>
      <c r="M142" s="342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339">
        <f>IF(COUNT(F143,I143)=0,"",N(F143)-N(I143))</f>
        <v/>
      </c>
      <c r="M143" s="340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341">
        <f>IF(COUNT(F144,I144)=0,"",N(F144)-N(I144))</f>
        <v/>
      </c>
      <c r="M144" s="342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339">
        <f>IF(COUNT(F145,I145)=0,"",N(F145)-N(I145))</f>
        <v/>
      </c>
      <c r="M145" s="340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341">
        <f>IF(COUNT(F146,I146)=0,"",N(F146)-N(I146))</f>
        <v/>
      </c>
      <c r="M146" s="342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339">
        <f>IF(COUNT(F147,I147)=0,"",N(F147)-N(I147))</f>
        <v/>
      </c>
      <c r="M147" s="340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341">
        <f>IF(COUNT(F148,I148)=0,"",N(F148)-N(I148))</f>
        <v/>
      </c>
      <c r="M148" s="342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339">
        <f>IF(COUNT(F149,I149)=0,"",N(F149)-N(I149))</f>
        <v/>
      </c>
      <c r="M149" s="340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341">
        <f>IF(COUNT(F150,I150)=0,"",N(F150)-N(I150))</f>
        <v/>
      </c>
      <c r="M150" s="342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339">
        <f>IF(COUNT(F151,I151)=0,"",N(F151)-N(I151))</f>
        <v/>
      </c>
      <c r="M151" s="340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341">
        <f>IF(COUNT(F152,I152)=0,"",N(F152)-N(I152))</f>
        <v/>
      </c>
      <c r="M152" s="342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339">
        <f>IF(COUNT(F153,I153)=0,"",N(F153)-N(I153))</f>
        <v/>
      </c>
      <c r="M153" s="340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341">
        <f>IF(COUNT(F154,I154)=0,"",N(F154)-N(I154))</f>
        <v/>
      </c>
      <c r="M154" s="342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339">
        <f>IF(COUNT(F155,I155)=0,"",N(F155)-N(I155))</f>
        <v/>
      </c>
      <c r="M155" s="340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341">
        <f>IF(COUNT(F156,I156)=0,"",N(F156)-N(I156))</f>
        <v/>
      </c>
      <c r="M156" s="342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339">
        <f>IF(COUNT(F157,I157)=0,"",N(F157)-N(I157))</f>
        <v/>
      </c>
      <c r="M157" s="340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341">
        <f>IF(COUNT(F158,I158)=0,"",N(F158)-N(I158))</f>
        <v/>
      </c>
      <c r="M158" s="342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339">
        <f>IF(COUNT(F159,I159)=0,"",N(F159)-N(I159))</f>
        <v/>
      </c>
      <c r="M159" s="340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341">
        <f>IF(COUNT(F160,I160)=0,"",N(F160)-N(I160))</f>
        <v/>
      </c>
      <c r="M160" s="342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339">
        <f>IF(COUNT(F161,I161)=0,"",N(F161)-N(I161))</f>
        <v/>
      </c>
      <c r="M161" s="340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341">
        <f>IF(COUNT(F162,I162)=0,"",N(F162)-N(I162))</f>
        <v/>
      </c>
      <c r="M162" s="342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339">
        <f>IF(COUNT(F163,I163)=0,"",N(F163)-N(I163))</f>
        <v/>
      </c>
      <c r="M163" s="340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341">
        <f>IF(COUNT(F164,I164)=0,"",N(F164)-N(I164))</f>
        <v/>
      </c>
      <c r="M164" s="342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339">
        <f>IF(COUNT(F165,I165)=0,"",N(F165)-N(I165))</f>
        <v/>
      </c>
      <c r="M165" s="340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341">
        <f>IF(COUNT(F166,I166)=0,"",N(F166)-N(I166))</f>
        <v/>
      </c>
      <c r="M166" s="342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339">
        <f>IF(COUNT(F167,I167)=0,"",N(F167)-N(I167))</f>
        <v/>
      </c>
      <c r="M167" s="340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341">
        <f>IF(COUNT(F168,I168)=0,"",N(F168)-N(I168))</f>
        <v/>
      </c>
      <c r="M168" s="342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339">
        <f>IF(COUNT(F169,I169)=0,"",N(F169)-N(I169))</f>
        <v/>
      </c>
      <c r="M169" s="340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341">
        <f>IF(COUNT(F170,I170)=0,"",N(F170)-N(I170))</f>
        <v/>
      </c>
      <c r="M170" s="342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339">
        <f>IF(COUNT(F171,I171)=0,"",N(F171)-N(I171))</f>
        <v/>
      </c>
      <c r="M171" s="340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341">
        <f>IF(COUNT(F172,I172)=0,"",N(F172)-N(I172))</f>
        <v/>
      </c>
      <c r="M172" s="342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339">
        <f>IF(COUNT(F173,I173)=0,"",N(F173)-N(I173))</f>
        <v/>
      </c>
      <c r="M173" s="340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341">
        <f>IF(COUNT(F174,I174)=0,"",N(F174)-N(I174))</f>
        <v/>
      </c>
      <c r="M174" s="342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339">
        <f>IF(COUNT(F175,I175)=0,"",N(F175)-N(I175))</f>
        <v/>
      </c>
      <c r="M175" s="340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341">
        <f>IF(COUNT(F176,I176)=0,"",N(F176)-N(I176))</f>
        <v/>
      </c>
      <c r="M176" s="342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339">
        <f>IF(COUNT(F177,I177)=0,"",N(F177)-N(I177))</f>
        <v/>
      </c>
      <c r="M177" s="340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341">
        <f>IF(COUNT(F178,I178)=0,"",N(F178)-N(I178))</f>
        <v/>
      </c>
      <c r="M178" s="342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339">
        <f>IF(COUNT(F179,I179)=0,"",N(F179)-N(I179))</f>
        <v/>
      </c>
      <c r="M179" s="340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341">
        <f>IF(COUNT(F180,I180)=0,"",N(F180)-N(I180))</f>
        <v/>
      </c>
      <c r="M180" s="342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339">
        <f>IF(COUNT(F181,I181)=0,"",N(F181)-N(I181))</f>
        <v/>
      </c>
      <c r="M181" s="340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341">
        <f>IF(COUNT(F182,I182)=0,"",N(F182)-N(I182))</f>
        <v/>
      </c>
      <c r="M182" s="342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339">
        <f>IF(COUNT(F183,I183)=0,"",N(F183)-N(I183))</f>
        <v/>
      </c>
      <c r="M183" s="340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341">
        <f>IF(COUNT(F184,I184)=0,"",N(F184)-N(I184))</f>
        <v/>
      </c>
      <c r="M184" s="342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339">
        <f>IF(COUNT(F185,I185)=0,"",N(F185)-N(I185))</f>
        <v/>
      </c>
      <c r="M185" s="340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341">
        <f>IF(COUNT(F186,I186)=0,"",N(F186)-N(I186))</f>
        <v/>
      </c>
      <c r="M186" s="342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339">
        <f>IF(COUNT(F187,I187)=0,"",N(F187)-N(I187))</f>
        <v/>
      </c>
      <c r="M187" s="340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341">
        <f>IF(COUNT(F188,I188)=0,"",N(F188)-N(I188))</f>
        <v/>
      </c>
      <c r="M188" s="342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339">
        <f>IF(COUNT(F189,I189)=0,"",N(F189)-N(I189))</f>
        <v/>
      </c>
      <c r="M189" s="340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341">
        <f>IF(COUNT(F190,I190)=0,"",N(F190)-N(I190))</f>
        <v/>
      </c>
      <c r="M190" s="342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339">
        <f>IF(COUNT(F191,I191)=0,"",N(F191)-N(I191))</f>
        <v/>
      </c>
      <c r="M191" s="340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341">
        <f>IF(COUNT(F192,I192)=0,"",N(F192)-N(I192))</f>
        <v/>
      </c>
      <c r="M192" s="342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339">
        <f>IF(COUNT(F193,I193)=0,"",N(F193)-N(I193))</f>
        <v/>
      </c>
      <c r="M193" s="340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341">
        <f>IF(COUNT(F194,I194)=0,"",N(F194)-N(I194))</f>
        <v/>
      </c>
      <c r="M194" s="342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339">
        <f>IF(COUNT(F195,I195)=0,"",N(F195)-N(I195))</f>
        <v/>
      </c>
      <c r="M195" s="340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341">
        <f>IF(COUNT(F196,I196)=0,"",N(F196)-N(I196))</f>
        <v/>
      </c>
      <c r="M196" s="342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339">
        <f>IF(COUNT(F197,I197)=0,"",N(F197)-N(I197))</f>
        <v/>
      </c>
      <c r="M197" s="340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341">
        <f>IF(COUNT(F198,I198)=0,"",N(F198)-N(I198))</f>
        <v/>
      </c>
      <c r="M198" s="342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339">
        <f>IF(COUNT(F199,I199)=0,"",N(F199)-N(I199))</f>
        <v/>
      </c>
      <c r="M199" s="340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341">
        <f>IF(COUNT(F200,I200)=0,"",N(F200)-N(I200))</f>
        <v/>
      </c>
      <c r="M200" s="342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339">
        <f>IF(COUNT(F201,I201)=0,"",N(F201)-N(I201))</f>
        <v/>
      </c>
      <c r="M201" s="340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341">
        <f>IF(COUNT(F202,I202)=0,"",N(F202)-N(I202))</f>
        <v/>
      </c>
      <c r="M202" s="342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339">
        <f>IF(COUNT(F203,I203)=0,"",N(F203)-N(I203))</f>
        <v/>
      </c>
      <c r="M203" s="340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341">
        <f>IF(COUNT(F204,I204)=0,"",N(F204)-N(I204))</f>
        <v/>
      </c>
      <c r="M204" s="342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339">
        <f>IF(COUNT(F205,I205)=0,"",N(F205)-N(I205))</f>
        <v/>
      </c>
      <c r="M205" s="340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341">
        <f>IF(COUNT(F206,I206)=0,"",N(F206)-N(I206))</f>
        <v/>
      </c>
      <c r="M206" s="342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339">
        <f>IF(COUNT(F207,I207)=0,"",N(F207)-N(I207))</f>
        <v/>
      </c>
      <c r="M207" s="340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341">
        <f>IF(COUNT(F208,I208)=0,"",N(F208)-N(I208))</f>
        <v/>
      </c>
      <c r="M208" s="342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339">
        <f>IF(COUNT(F209,I209)=0,"",N(F209)-N(I209))</f>
        <v/>
      </c>
      <c r="M209" s="340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341">
        <f>IF(COUNT(F210,I210)=0,"",N(F210)-N(I210))</f>
        <v/>
      </c>
      <c r="M210" s="342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339">
        <f>IF(COUNT(F211,I211)=0,"",N(F211)-N(I211))</f>
        <v/>
      </c>
      <c r="M211" s="340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341">
        <f>IF(COUNT(F212,I212)=0,"",N(F212)-N(I212))</f>
        <v/>
      </c>
      <c r="M212" s="342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339">
        <f>IF(COUNT(F213,I213)=0,"",N(F213)-N(I213))</f>
        <v/>
      </c>
      <c r="M213" s="340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341">
        <f>IF(COUNT(F214,I214)=0,"",N(F214)-N(I214))</f>
        <v/>
      </c>
      <c r="M214" s="342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339">
        <f>IF(COUNT(F215,I215)=0,"",N(F215)-N(I215))</f>
        <v/>
      </c>
      <c r="M215" s="340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341">
        <f>IF(COUNT(F216,I216)=0,"",N(F216)-N(I216))</f>
        <v/>
      </c>
      <c r="M216" s="342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339">
        <f>IF(COUNT(F217,I217)=0,"",N(F217)-N(I217))</f>
        <v/>
      </c>
      <c r="M217" s="340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341">
        <f>IF(COUNT(F218,I218)=0,"",N(F218)-N(I218))</f>
        <v/>
      </c>
      <c r="M218" s="342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339">
        <f>IF(COUNT(F219,I219)=0,"",N(F219)-N(I219))</f>
        <v/>
      </c>
      <c r="M219" s="340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341">
        <f>IF(COUNT(F220,I220)=0,"",N(F220)-N(I220))</f>
        <v/>
      </c>
      <c r="M220" s="342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339">
        <f>IF(COUNT(F221,I221)=0,"",N(F221)-N(I221))</f>
        <v/>
      </c>
      <c r="M221" s="340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341">
        <f>IF(COUNT(F222,I222)=0,"",N(F222)-N(I222))</f>
        <v/>
      </c>
      <c r="M222" s="342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339">
        <f>IF(COUNT(F223,I223)=0,"",N(F223)-N(I223))</f>
        <v/>
      </c>
      <c r="M223" s="340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341">
        <f>IF(COUNT(F224,I224)=0,"",N(F224)-N(I224))</f>
        <v/>
      </c>
      <c r="M224" s="342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339">
        <f>IF(COUNT(F225,I225)=0,"",N(F225)-N(I225))</f>
        <v/>
      </c>
      <c r="M225" s="340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341">
        <f>IF(COUNT(F226,I226)=0,"",N(F226)-N(I226))</f>
        <v/>
      </c>
      <c r="M226" s="342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339">
        <f>IF(COUNT(F227,I227)=0,"",N(F227)-N(I227))</f>
        <v/>
      </c>
      <c r="M227" s="340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341">
        <f>IF(COUNT(F228,I228)=0,"",N(F228)-N(I228))</f>
        <v/>
      </c>
      <c r="M228" s="342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339">
        <f>IF(COUNT(F229,I229)=0,"",N(F229)-N(I229))</f>
        <v/>
      </c>
      <c r="M229" s="340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341">
        <f>IF(COUNT(F230,I230)=0,"",N(F230)-N(I230))</f>
        <v/>
      </c>
      <c r="M230" s="342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339">
        <f>IF(COUNT(F231,I231)=0,"",N(F231)-N(I231))</f>
        <v/>
      </c>
      <c r="M231" s="340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341">
        <f>IF(COUNT(F232,I232)=0,"",N(F232)-N(I232))</f>
        <v/>
      </c>
      <c r="M232" s="342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339">
        <f>IF(COUNT(F233,I233)=0,"",N(F233)-N(I233))</f>
        <v/>
      </c>
      <c r="M233" s="340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341">
        <f>IF(COUNT(F234,I234)=0,"",N(F234)-N(I234))</f>
        <v/>
      </c>
      <c r="M234" s="342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339">
        <f>IF(COUNT(F235,I235)=0,"",N(F235)-N(I235))</f>
        <v/>
      </c>
      <c r="M235" s="340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341">
        <f>IF(COUNT(F236,I236)=0,"",N(F236)-N(I236))</f>
        <v/>
      </c>
      <c r="M236" s="342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339">
        <f>IF(COUNT(F237,I237)=0,"",N(F237)-N(I237))</f>
        <v/>
      </c>
      <c r="M237" s="340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341">
        <f>IF(COUNT(F238,I238)=0,"",N(F238)-N(I238))</f>
        <v/>
      </c>
      <c r="M238" s="342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339">
        <f>IF(COUNT(F239,I239)=0,"",N(F239)-N(I239))</f>
        <v/>
      </c>
      <c r="M239" s="340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341">
        <f>IF(COUNT(F240,I240)=0,"",N(F240)-N(I240))</f>
        <v/>
      </c>
      <c r="M240" s="342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339">
        <f>IF(COUNT(F241,I241)=0,"",N(F241)-N(I241))</f>
        <v/>
      </c>
      <c r="M241" s="340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341">
        <f>IF(COUNT(F242,I242)=0,"",N(F242)-N(I242))</f>
        <v/>
      </c>
      <c r="M242" s="342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339">
        <f>IF(COUNT(F243,I243)=0,"",N(F243)-N(I243))</f>
        <v/>
      </c>
      <c r="M243" s="340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341">
        <f>IF(COUNT(F244,I244)=0,"",N(F244)-N(I244))</f>
        <v/>
      </c>
      <c r="M244" s="342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339">
        <f>IF(COUNT(F245,I245)=0,"",N(F245)-N(I245))</f>
        <v/>
      </c>
      <c r="M245" s="340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341">
        <f>IF(COUNT(F246,I246)=0,"",N(F246)-N(I246))</f>
        <v/>
      </c>
      <c r="M246" s="342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339">
        <f>IF(COUNT(F247,I247)=0,"",N(F247)-N(I247))</f>
        <v/>
      </c>
      <c r="M247" s="340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341">
        <f>IF(COUNT(F248,I248)=0,"",N(F248)-N(I248))</f>
        <v/>
      </c>
      <c r="M248" s="342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339">
        <f>IF(COUNT(F249,I249)=0,"",N(F249)-N(I249))</f>
        <v/>
      </c>
      <c r="M249" s="340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341">
        <f>IF(COUNT(F250,I250)=0,"",N(F250)-N(I250))</f>
        <v/>
      </c>
      <c r="M250" s="342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339">
        <f>IF(COUNT(F251,I251)=0,"",N(F251)-N(I251))</f>
        <v/>
      </c>
      <c r="M251" s="340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341">
        <f>IF(COUNT(F252,I252)=0,"",N(F252)-N(I252))</f>
        <v/>
      </c>
      <c r="M252" s="342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339">
        <f>IF(COUNT(F253,I253)=0,"",N(F253)-N(I253))</f>
        <v/>
      </c>
      <c r="M253" s="340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341">
        <f>IF(COUNT(F254,I254)=0,"",N(F254)-N(I254))</f>
        <v/>
      </c>
      <c r="M254" s="342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339">
        <f>IF(COUNT(F255,I255)=0,"",N(F255)-N(I255))</f>
        <v/>
      </c>
      <c r="M255" s="340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341">
        <f>IF(COUNT(F256,I256)=0,"",N(F256)-N(I256))</f>
        <v/>
      </c>
      <c r="M256" s="342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339">
        <f>IF(COUNT(F257,I257)=0,"",N(F257)-N(I257))</f>
        <v/>
      </c>
      <c r="M257" s="340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341">
        <f>IF(COUNT(F258,I258)=0,"",N(F258)-N(I258))</f>
        <v/>
      </c>
      <c r="M258" s="342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339">
        <f>IF(COUNT(F259,I259)=0,"",N(F259)-N(I259))</f>
        <v/>
      </c>
      <c r="M259" s="340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341">
        <f>IF(COUNT(F260,I260)=0,"",N(F260)-N(I260))</f>
        <v/>
      </c>
      <c r="M260" s="342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339">
        <f>IF(COUNT(F261,I261)=0,"",N(F261)-N(I261))</f>
        <v/>
      </c>
      <c r="M261" s="340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341">
        <f>IF(COUNT(F262,I262)=0,"",N(F262)-N(I262))</f>
        <v/>
      </c>
      <c r="M262" s="342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339">
        <f>IF(COUNT(F263,I263)=0,"",N(F263)-N(I263))</f>
        <v/>
      </c>
      <c r="M263" s="340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341">
        <f>IF(COUNT(F264,I264)=0,"",N(F264)-N(I264))</f>
        <v/>
      </c>
      <c r="M264" s="342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339">
        <f>IF(COUNT(F265,I265)=0,"",N(F265)-N(I265))</f>
        <v/>
      </c>
      <c r="M265" s="340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341">
        <f>IF(COUNT(F266,I266)=0,"",N(F266)-N(I266))</f>
        <v/>
      </c>
      <c r="M266" s="342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339">
        <f>IF(COUNT(F267,I267)=0,"",N(F267)-N(I267))</f>
        <v/>
      </c>
      <c r="M267" s="340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341">
        <f>IF(COUNT(F268,I268)=0,"",N(F268)-N(I268))</f>
        <v/>
      </c>
      <c r="M268" s="342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339">
        <f>IF(COUNT(F269,I269)=0,"",N(F269)-N(I269))</f>
        <v/>
      </c>
      <c r="M269" s="340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341">
        <f>IF(COUNT(F270,I270)=0,"",N(F270)-N(I270))</f>
        <v/>
      </c>
      <c r="M270" s="342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339">
        <f>IF(COUNT(F271,I271)=0,"",N(F271)-N(I271))</f>
        <v/>
      </c>
      <c r="M271" s="340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341">
        <f>IF(COUNT(F272,I272)=0,"",N(F272)-N(I272))</f>
        <v/>
      </c>
      <c r="M272" s="342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339">
        <f>IF(COUNT(F273,I273)=0,"",N(F273)-N(I273))</f>
        <v/>
      </c>
      <c r="M273" s="340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341">
        <f>IF(COUNT(F274,I274)=0,"",N(F274)-N(I274))</f>
        <v/>
      </c>
      <c r="M274" s="342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339">
        <f>IF(COUNT(F275,I275)=0,"",N(F275)-N(I275))</f>
        <v/>
      </c>
      <c r="M275" s="340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341">
        <f>IF(COUNT(F276,I276)=0,"",N(F276)-N(I276))</f>
        <v/>
      </c>
      <c r="M276" s="342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339">
        <f>IF(COUNT(F277,I277)=0,"",N(F277)-N(I277))</f>
        <v/>
      </c>
      <c r="M277" s="340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341">
        <f>IF(COUNT(F278,I278)=0,"",N(F278)-N(I278))</f>
        <v/>
      </c>
      <c r="M278" s="342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339">
        <f>IF(COUNT(F279,I279)=0,"",N(F279)-N(I279))</f>
        <v/>
      </c>
      <c r="M279" s="340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341">
        <f>IF(COUNT(F280,I280)=0,"",N(F280)-N(I280))</f>
        <v/>
      </c>
      <c r="M280" s="342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339">
        <f>IF(COUNT(F281,I281)=0,"",N(F281)-N(I281))</f>
        <v/>
      </c>
      <c r="M281" s="340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341">
        <f>IF(COUNT(F282,I282)=0,"",N(F282)-N(I282))</f>
        <v/>
      </c>
      <c r="M282" s="342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339">
        <f>IF(COUNT(F283,I283)=0,"",N(F283)-N(I283))</f>
        <v/>
      </c>
      <c r="M283" s="340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341">
        <f>IF(COUNT(F284,I284)=0,"",N(F284)-N(I284))</f>
        <v/>
      </c>
      <c r="M284" s="342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339">
        <f>IF(COUNT(F285,I285)=0,"",N(F285)-N(I285))</f>
        <v/>
      </c>
      <c r="M285" s="340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341">
        <f>IF(COUNT(F286,I286)=0,"",N(F286)-N(I286))</f>
        <v/>
      </c>
      <c r="M286" s="342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339">
        <f>IF(COUNT(F287,I287)=0,"",N(F287)-N(I287))</f>
        <v/>
      </c>
      <c r="M287" s="340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341">
        <f>IF(COUNT(F288,I288)=0,"",N(F288)-N(I288))</f>
        <v/>
      </c>
      <c r="M288" s="342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339">
        <f>IF(COUNT(F289,I289)=0,"",N(F289)-N(I289))</f>
        <v/>
      </c>
      <c r="M289" s="340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341">
        <f>IF(COUNT(F290,I290)=0,"",N(F290)-N(I290))</f>
        <v/>
      </c>
      <c r="M290" s="342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339">
        <f>IF(COUNT(F291,I291)=0,"",N(F291)-N(I291))</f>
        <v/>
      </c>
      <c r="M291" s="340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341">
        <f>IF(COUNT(F292,I292)=0,"",N(F292)-N(I292))</f>
        <v/>
      </c>
      <c r="M292" s="342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339">
        <f>IF(COUNT(F293,I293)=0,"",N(F293)-N(I293))</f>
        <v/>
      </c>
      <c r="M293" s="340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341">
        <f>IF(COUNT(F294,I294)=0,"",N(F294)-N(I294))</f>
        <v/>
      </c>
      <c r="M294" s="342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339">
        <f>IF(COUNT(F295,I295)=0,"",N(F295)-N(I295))</f>
        <v/>
      </c>
      <c r="M295" s="340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341">
        <f>IF(COUNT(F296,I296)=0,"",N(F296)-N(I296))</f>
        <v/>
      </c>
      <c r="M296" s="342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339">
        <f>IF(COUNT(F297,I297)=0,"",N(F297)-N(I297))</f>
        <v/>
      </c>
      <c r="M297" s="340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341">
        <f>IF(COUNT(F298,I298)=0,"",N(F298)-N(I298))</f>
        <v/>
      </c>
      <c r="M298" s="342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339">
        <f>IF(COUNT(F299,I299)=0,"",N(F299)-N(I299))</f>
        <v/>
      </c>
      <c r="M299" s="340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341">
        <f>IF(COUNT(F300,I300)=0,"",N(F300)-N(I300))</f>
        <v/>
      </c>
      <c r="M300" s="342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5.6" customWidth="1" min="2" max="2"/>
    <col width="20.3" customWidth="1" min="3" max="3"/>
    <col width="19.2" customWidth="1" min="4" max="4"/>
    <col width="19.2" customWidth="1" min="5" max="5"/>
    <col width="20.3" customWidth="1" min="6" max="6"/>
    <col width="19.2" customWidth="1" min="7" max="7"/>
    <col width="20.3" customWidth="1" min="8" max="8"/>
    <col width="20.3" customWidth="1" min="9" max="9"/>
    <col width="21.4" customWidth="1" min="10" max="10"/>
    <col width="20.3" customWidth="1" min="11" max="11"/>
    <col width="9.800000000000001" customWidth="1" min="12" max="12"/>
    <col width="22.5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1INCH/BTC</t>
        </is>
      </c>
      <c r="C5" s="240">
        <f>IF($B5="","",IF(SUMIFS('ИТОГО Торговля'!$C$5:$C$300,'ИТОГО Торговля'!$B$5:$B$300,$B5)+SUMIFS('ИТОГО Лэндинг'!$C$5:$C$300,'ИТОГО Лэндинг'!$B$5:$B$300,$B5)+SUMIFS('История'!$C$5:$C$300,'История'!$B$5:$B$300,$B5)=0,"",SUMIFS('ИТОГО Торговля'!$C$5:$C$300,'ИТОГО Торговля'!$B$5:$B$300,$B5)+SUMIFS('ИТОГО Лэндинг'!$C$5:$C$300,'ИТОГО Лэндинг'!$B$5:$B$300,$B5)+SUMIFS('История'!$C$5:$C$300,'История'!$B$5:$B$300,$B5)))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Лэндинг'!$B$5:$B$300,$B5)+SUMIFS('История'!$E$5:$E$300,'История'!$B$5:$B$300,$B5))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Лэндинг'!$B$5:$B$300,$B5)+SUMIFS('История'!$F$5:$F$300,'История'!$B$5:$B$300,$B5)=0,"",SUMIFS('ИТОГО Торговля'!$F$5:$F$300,'ИТОГО Торговля'!$B$5:$B$300,$B5)+SUMIFS('ИТОГО Лэндинг'!$F$5:$F$300,'ИТОГО Лэндинг'!$B$5:$B$300,$B5)+SUMIFS('История'!$F$5:$F$300,'История'!$B$5:$B$300,$B5)))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Лэндинг'!$B$5:$B$300,$B5)+SUMIFS('История'!$H$5:$H$300,'История'!$B$5:$B$300,$B5))</f>
        <v/>
      </c>
      <c r="I5" s="339">
        <f>IF($B5="","",IF(AND(C5="",F5=""),"",ROUND(SUMIFS('ИТОГО Торговля'!$I$5:$I$300,'ИТОГО Торговля'!$B$5:$B$300,$B5)+SUMIFS('ИТОГО Лэндинг'!$I$5:$I$300,'ИТОГО Лэндинг'!$B$5:$B$300,$B5)+SUMIFS('История'!$I$5:$I$300,'История'!$B$5:$B$300,$B5),8)))</f>
        <v/>
      </c>
      <c r="J5" s="340">
        <f>IF($B5="","",IF(AND(C5="",F5=""),"",ROUND(SUMIFS('ИТОГО Торговля'!$J$5:$J$300,'ИТОГО Торговля'!$B$5:$B$300,$B5)+SUMIFS('ИТОГО Лэндинг'!$J$5:$J$300,'ИТОГО Лэндинг'!$B$5:$B$300,$B5)+SUMIFS('История'!$J$5:$J$300,'История'!$B$5:$B$300,$B5),8)))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Лэндинг'!$B$5:$B$300,$B5)+SUMIFS('История'!$K$5:$K$300,'История'!$B$5:$B$300,$B5),8))</f>
        <v/>
      </c>
      <c r="L5" s="177">
        <f>IF(K5="","",IF(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&lt;=0,0,ROUND(K5/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*100,2)))</f>
        <v/>
      </c>
      <c r="M5" s="343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1INCH/USD</t>
        </is>
      </c>
      <c r="C6" s="246">
        <f>IF($B6="","",IF(SUMIFS('ИТОГО Торговля'!$C$5:$C$300,'ИТОГО Торговля'!$B$5:$B$300,$B6)+SUMIFS('ИТОГО Лэндинг'!$C$5:$C$300,'ИТОГО Лэндинг'!$B$5:$B$300,$B6)+SUMIFS('История'!$C$5:$C$300,'История'!$B$5:$B$300,$B6)=0,"",SUMIFS('ИТОГО Торговля'!$C$5:$C$300,'ИТОГО Торговля'!$B$5:$B$300,$B6)+SUMIFS('ИТОГО Лэндинг'!$C$5:$C$300,'ИТОГО Лэндинг'!$B$5:$B$300,$B6)+SUMIFS('История'!$C$5:$C$300,'История'!$B$5:$B$300,$B6)))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Лэндинг'!$B$5:$B$300,$B6)+SUMIFS('История'!$E$5:$E$300,'История'!$B$5:$B$300,$B6))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Лэндинг'!$B$5:$B$300,$B6)+SUMIFS('История'!$F$5:$F$300,'История'!$B$5:$B$300,$B6)=0,"",SUMIFS('ИТОГО Торговля'!$F$5:$F$300,'ИТОГО Торговля'!$B$5:$B$300,$B6)+SUMIFS('ИТОГО Лэндинг'!$F$5:$F$300,'ИТОГО Лэндинг'!$B$5:$B$300,$B6)+SUMIFS('История'!$F$5:$F$300,'История'!$B$5:$B$300,$B6)))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Лэндинг'!$B$5:$B$300,$B6)+SUMIFS('История'!$H$5:$H$300,'История'!$B$5:$B$300,$B6))</f>
        <v/>
      </c>
      <c r="I6" s="341">
        <f>IF($B6="","",IF(AND(C6="",F6=""),"",ROUND(SUMIFS('ИТОГО Торговля'!$I$5:$I$300,'ИТОГО Торговля'!$B$5:$B$300,$B6)+SUMIFS('ИТОГО Лэндинг'!$I$5:$I$300,'ИТОГО Лэндинг'!$B$5:$B$300,$B6)+SUMIFS('История'!$I$5:$I$300,'История'!$B$5:$B$300,$B6),8)))</f>
        <v/>
      </c>
      <c r="J6" s="342">
        <f>IF($B6="","",IF(AND(C6="",F6=""),"",ROUND(SUMIFS('ИТОГО Торговля'!$J$5:$J$300,'ИТОГО Торговля'!$B$5:$B$300,$B6)+SUMIFS('ИТОГО Лэндинг'!$J$5:$J$300,'ИТОГО Лэндинг'!$B$5:$B$300,$B6)+SUMIFS('История'!$J$5:$J$300,'История'!$B$5:$B$300,$B6),8)))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Лэндинг'!$B$5:$B$300,$B6)+SUMIFS('История'!$K$5:$K$300,'История'!$B$5:$B$300,$B6),8))</f>
        <v/>
      </c>
      <c r="L6" s="183">
        <f>IF(K6="","",IF(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&lt;=0,0,ROUND(K6/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*100,2)))</f>
        <v/>
      </c>
      <c r="M6" s="344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ACM/USD</t>
        </is>
      </c>
      <c r="C7" s="240">
        <f>IF($B7="","",IF(SUMIFS('ИТОГО Торговля'!$C$5:$C$300,'ИТОГО Торговля'!$B$5:$B$300,$B7)+SUMIFS('ИТОГО Лэндинг'!$C$5:$C$300,'ИТОГО Лэндинг'!$B$5:$B$300,$B7)+SUMIFS('История'!$C$5:$C$300,'История'!$B$5:$B$300,$B7)=0,"",SUMIFS('ИТОГО Торговля'!$C$5:$C$300,'ИТОГО Торговля'!$B$5:$B$300,$B7)+SUMIFS('ИТОГО Лэндинг'!$C$5:$C$300,'ИТОГО Лэндинг'!$B$5:$B$300,$B7)+SUMIFS('История'!$C$5:$C$300,'История'!$B$5:$B$300,$B7)))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Лэндинг'!$B$5:$B$300,$B7)+SUMIFS('История'!$E$5:$E$300,'История'!$B$5:$B$300,$B7))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Лэндинг'!$B$5:$B$300,$B7)+SUMIFS('История'!$F$5:$F$300,'История'!$B$5:$B$300,$B7)=0,"",SUMIFS('ИТОГО Торговля'!$F$5:$F$300,'ИТОГО Торговля'!$B$5:$B$300,$B7)+SUMIFS('ИТОГО Лэндинг'!$F$5:$F$300,'ИТОГО Лэндинг'!$B$5:$B$300,$B7)+SUMIFS('История'!$F$5:$F$300,'История'!$B$5:$B$300,$B7)))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Лэндинг'!$B$5:$B$300,$B7)+SUMIFS('История'!$H$5:$H$300,'История'!$B$5:$B$300,$B7))</f>
        <v/>
      </c>
      <c r="I7" s="339">
        <f>IF($B7="","",IF(AND(C7="",F7=""),"",ROUND(SUMIFS('ИТОГО Торговля'!$I$5:$I$300,'ИТОГО Торговля'!$B$5:$B$300,$B7)+SUMIFS('ИТОГО Лэндинг'!$I$5:$I$300,'ИТОГО Лэндинг'!$B$5:$B$300,$B7)+SUMIFS('История'!$I$5:$I$300,'История'!$B$5:$B$300,$B7),8)))</f>
        <v/>
      </c>
      <c r="J7" s="340">
        <f>IF($B7="","",IF(AND(C7="",F7=""),"",ROUND(SUMIFS('ИТОГО Торговля'!$J$5:$J$300,'ИТОГО Торговля'!$B$5:$B$300,$B7)+SUMIFS('ИТОГО Лэндинг'!$J$5:$J$300,'ИТОГО Лэндинг'!$B$5:$B$300,$B7)+SUMIFS('История'!$J$5:$J$300,'История'!$B$5:$B$300,$B7),8)))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Лэндинг'!$B$5:$B$300,$B7)+SUMIFS('История'!$K$5:$K$300,'История'!$B$5:$B$300,$B7),8))</f>
        <v/>
      </c>
      <c r="L7" s="177">
        <f>IF(K7="","",IF(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&lt;=0,0,ROUND(K7/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*100,2)))</f>
        <v/>
      </c>
      <c r="M7" s="343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ADA/BTC</t>
        </is>
      </c>
      <c r="C8" s="246">
        <f>IF($B8="","",IF(SUMIFS('ИТОГО Торговля'!$C$5:$C$300,'ИТОГО Торговля'!$B$5:$B$300,$B8)+SUMIFS('ИТОГО Лэндинг'!$C$5:$C$300,'ИТОГО Лэндинг'!$B$5:$B$300,$B8)+SUMIFS('История'!$C$5:$C$300,'История'!$B$5:$B$300,$B8)=0,"",SUMIFS('ИТОГО Торговля'!$C$5:$C$300,'ИТОГО Торговля'!$B$5:$B$300,$B8)+SUMIFS('ИТОГО Лэндинг'!$C$5:$C$300,'ИТОГО Лэндинг'!$B$5:$B$300,$B8)+SUMIFS('История'!$C$5:$C$300,'История'!$B$5:$B$300,$B8)))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Лэндинг'!$B$5:$B$300,$B8)+SUMIFS('История'!$E$5:$E$300,'История'!$B$5:$B$300,$B8))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Лэндинг'!$B$5:$B$300,$B8)+SUMIFS('История'!$F$5:$F$300,'История'!$B$5:$B$300,$B8)=0,"",SUMIFS('ИТОГО Торговля'!$F$5:$F$300,'ИТОГО Торговля'!$B$5:$B$300,$B8)+SUMIFS('ИТОГО Лэндинг'!$F$5:$F$300,'ИТОГО Лэндинг'!$B$5:$B$300,$B8)+SUMIFS('История'!$F$5:$F$300,'История'!$B$5:$B$300,$B8)))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Лэндинг'!$B$5:$B$300,$B8)+SUMIFS('История'!$H$5:$H$300,'История'!$B$5:$B$300,$B8))</f>
        <v/>
      </c>
      <c r="I8" s="341">
        <f>IF($B8="","",IF(AND(C8="",F8=""),"",ROUND(SUMIFS('ИТОГО Торговля'!$I$5:$I$300,'ИТОГО Торговля'!$B$5:$B$300,$B8)+SUMIFS('ИТОГО Лэндинг'!$I$5:$I$300,'ИТОГО Лэндинг'!$B$5:$B$300,$B8)+SUMIFS('История'!$I$5:$I$300,'История'!$B$5:$B$300,$B8),8)))</f>
        <v/>
      </c>
      <c r="J8" s="342">
        <f>IF($B8="","",IF(AND(C8="",F8=""),"",ROUND(SUMIFS('ИТОГО Торговля'!$J$5:$J$300,'ИТОГО Торговля'!$B$5:$B$300,$B8)+SUMIFS('ИТОГО Лэндинг'!$J$5:$J$300,'ИТОГО Лэндинг'!$B$5:$B$300,$B8)+SUMIFS('История'!$J$5:$J$300,'История'!$B$5:$B$300,$B8),8)))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Лэндинг'!$B$5:$B$300,$B8)+SUMIFS('История'!$K$5:$K$300,'История'!$B$5:$B$300,$B8),8))</f>
        <v/>
      </c>
      <c r="L8" s="183">
        <f>IF(K8="","",IF(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&lt;=0,0,ROUND(K8/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*100,2)))</f>
        <v/>
      </c>
      <c r="M8" s="344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ADA/ETH</t>
        </is>
      </c>
      <c r="C9" s="240">
        <f>IF($B9="","",IF(SUMIFS('ИТОГО Торговля'!$C$5:$C$300,'ИТОГО Торговля'!$B$5:$B$300,$B9)+SUMIFS('ИТОГО Лэндинг'!$C$5:$C$300,'ИТОГО Лэндинг'!$B$5:$B$300,$B9)+SUMIFS('История'!$C$5:$C$300,'История'!$B$5:$B$300,$B9)=0,"",SUMIFS('ИТОГО Торговля'!$C$5:$C$300,'ИТОГО Торговля'!$B$5:$B$300,$B9)+SUMIFS('ИТОГО Лэндинг'!$C$5:$C$300,'ИТОГО Лэндинг'!$B$5:$B$300,$B9)+SUMIFS('История'!$C$5:$C$300,'История'!$B$5:$B$300,$B9)))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Лэндинг'!$B$5:$B$300,$B9)+SUMIFS('История'!$E$5:$E$300,'История'!$B$5:$B$300,$B9))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Лэндинг'!$B$5:$B$300,$B9)+SUMIFS('История'!$F$5:$F$300,'История'!$B$5:$B$300,$B9)=0,"",SUMIFS('ИТОГО Торговля'!$F$5:$F$300,'ИТОГО Торговля'!$B$5:$B$300,$B9)+SUMIFS('ИТОГО Лэндинг'!$F$5:$F$300,'ИТОГО Лэндинг'!$B$5:$B$300,$B9)+SUMIFS('История'!$F$5:$F$300,'История'!$B$5:$B$300,$B9)))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Лэндинг'!$B$5:$B$300,$B9)+SUMIFS('История'!$H$5:$H$300,'История'!$B$5:$B$300,$B9))</f>
        <v/>
      </c>
      <c r="I9" s="339">
        <f>IF($B9="","",IF(AND(C9="",F9=""),"",ROUND(SUMIFS('ИТОГО Торговля'!$I$5:$I$300,'ИТОГО Торговля'!$B$5:$B$300,$B9)+SUMIFS('ИТОГО Лэндинг'!$I$5:$I$300,'ИТОГО Лэндинг'!$B$5:$B$300,$B9)+SUMIFS('История'!$I$5:$I$300,'История'!$B$5:$B$300,$B9),8)))</f>
        <v/>
      </c>
      <c r="J9" s="340">
        <f>IF($B9="","",IF(AND(C9="",F9=""),"",ROUND(SUMIFS('ИТОГО Торговля'!$J$5:$J$300,'ИТОГО Торговля'!$B$5:$B$300,$B9)+SUMIFS('ИТОГО Лэндинг'!$J$5:$J$300,'ИТОГО Лэндинг'!$B$5:$B$300,$B9)+SUMIFS('История'!$J$5:$J$300,'История'!$B$5:$B$300,$B9),8)))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Лэндинг'!$B$5:$B$300,$B9)+SUMIFS('История'!$K$5:$K$300,'История'!$B$5:$B$300,$B9),8))</f>
        <v/>
      </c>
      <c r="L9" s="177">
        <f>IF(K9="","",IF(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&lt;=0,0,ROUND(K9/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*100,2)))</f>
        <v/>
      </c>
      <c r="M9" s="343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ADA/USD</t>
        </is>
      </c>
      <c r="C10" s="246">
        <f>IF($B10="","",IF(SUMIFS('ИТОГО Торговля'!$C$5:$C$300,'ИТОГО Торговля'!$B$5:$B$300,$B10)+SUMIFS('ИТОГО Лэндинг'!$C$5:$C$300,'ИТОГО Лэндинг'!$B$5:$B$300,$B10)+SUMIFS('История'!$C$5:$C$300,'История'!$B$5:$B$300,$B10)=0,"",SUMIFS('ИТОГО Торговля'!$C$5:$C$300,'ИТОГО Торговля'!$B$5:$B$300,$B10)+SUMIFS('ИТОГО Лэндинг'!$C$5:$C$300,'ИТОГО Лэндинг'!$B$5:$B$300,$B10)+SUMIFS('История'!$C$5:$C$300,'История'!$B$5:$B$300,$B10)))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Лэндинг'!$B$5:$B$300,$B10)+SUMIFS('История'!$E$5:$E$300,'История'!$B$5:$B$300,$B10))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Лэндинг'!$B$5:$B$300,$B10)+SUMIFS('История'!$F$5:$F$300,'История'!$B$5:$B$300,$B10)=0,"",SUMIFS('ИТОГО Торговля'!$F$5:$F$300,'ИТОГО Торговля'!$B$5:$B$300,$B10)+SUMIFS('ИТОГО Лэндинг'!$F$5:$F$300,'ИТОГО Лэндинг'!$B$5:$B$300,$B10)+SUMIFS('История'!$F$5:$F$300,'История'!$B$5:$B$300,$B10)))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Лэндинг'!$B$5:$B$300,$B10)+SUMIFS('История'!$H$5:$H$300,'История'!$B$5:$B$300,$B10))</f>
        <v/>
      </c>
      <c r="I10" s="341">
        <f>IF($B10="","",IF(AND(C10="",F10=""),"",ROUND(SUMIFS('ИТОГО Торговля'!$I$5:$I$300,'ИТОГО Торговля'!$B$5:$B$300,$B10)+SUMIFS('ИТОГО Лэндинг'!$I$5:$I$300,'ИТОГО Лэндинг'!$B$5:$B$300,$B10)+SUMIFS('История'!$I$5:$I$300,'История'!$B$5:$B$300,$B10),8)))</f>
        <v/>
      </c>
      <c r="J10" s="342">
        <f>IF($B10="","",IF(AND(C10="",F10=""),"",ROUND(SUMIFS('ИТОГО Торговля'!$J$5:$J$300,'ИТОГО Торговля'!$B$5:$B$300,$B10)+SUMIFS('ИТОГО Лэндинг'!$J$5:$J$300,'ИТОГО Лэндинг'!$B$5:$B$300,$B10)+SUMIFS('История'!$J$5:$J$300,'История'!$B$5:$B$300,$B10),8)))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Лэндинг'!$B$5:$B$300,$B10)+SUMIFS('История'!$K$5:$K$300,'История'!$B$5:$B$300,$B10),8))</f>
        <v/>
      </c>
      <c r="L10" s="183">
        <f>IF(K10="","",IF(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&lt;=0,0,ROUND(K10/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*100,2)))</f>
        <v/>
      </c>
      <c r="M10" s="344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ALGO/BTC</t>
        </is>
      </c>
      <c r="C11" s="240">
        <f>IF($B11="","",IF(SUMIFS('ИТОГО Торговля'!$C$5:$C$300,'ИТОГО Торговля'!$B$5:$B$300,$B11)+SUMIFS('ИТОГО Лэндинг'!$C$5:$C$300,'ИТОГО Лэндинг'!$B$5:$B$300,$B11)+SUMIFS('История'!$C$5:$C$300,'История'!$B$5:$B$300,$B11)=0,"",SUMIFS('ИТОГО Торговля'!$C$5:$C$300,'ИТОГО Торговля'!$B$5:$B$300,$B11)+SUMIFS('ИТОГО Лэндинг'!$C$5:$C$300,'ИТОГО Лэндинг'!$B$5:$B$300,$B11)+SUMIFS('История'!$C$5:$C$300,'История'!$B$5:$B$300,$B11)))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Лэндинг'!$B$5:$B$300,$B11)+SUMIFS('История'!$E$5:$E$300,'История'!$B$5:$B$300,$B11))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Лэндинг'!$B$5:$B$300,$B11)+SUMIFS('История'!$F$5:$F$300,'История'!$B$5:$B$300,$B11)=0,"",SUMIFS('ИТОГО Торговля'!$F$5:$F$300,'ИТОГО Торговля'!$B$5:$B$300,$B11)+SUMIFS('ИТОГО Лэндинг'!$F$5:$F$300,'ИТОГО Лэндинг'!$B$5:$B$300,$B11)+SUMIFS('История'!$F$5:$F$300,'История'!$B$5:$B$300,$B11)))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Лэндинг'!$B$5:$B$300,$B11)+SUMIFS('История'!$H$5:$H$300,'История'!$B$5:$B$300,$B11))</f>
        <v/>
      </c>
      <c r="I11" s="339">
        <f>IF($B11="","",IF(AND(C11="",F11=""),"",ROUND(SUMIFS('ИТОГО Торговля'!$I$5:$I$300,'ИТОГО Торговля'!$B$5:$B$300,$B11)+SUMIFS('ИТОГО Лэндинг'!$I$5:$I$300,'ИТОГО Лэндинг'!$B$5:$B$300,$B11)+SUMIFS('История'!$I$5:$I$300,'История'!$B$5:$B$300,$B11),8)))</f>
        <v/>
      </c>
      <c r="J11" s="340">
        <f>IF($B11="","",IF(AND(C11="",F11=""),"",ROUND(SUMIFS('ИТОГО Торговля'!$J$5:$J$300,'ИТОГО Торговля'!$B$5:$B$300,$B11)+SUMIFS('ИТОГО Лэндинг'!$J$5:$J$300,'ИТОГО Лэндинг'!$B$5:$B$300,$B11)+SUMIFS('История'!$J$5:$J$300,'История'!$B$5:$B$300,$B11),8)))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Лэндинг'!$B$5:$B$300,$B11)+SUMIFS('История'!$K$5:$K$300,'История'!$B$5:$B$300,$B11),8))</f>
        <v/>
      </c>
      <c r="L11" s="177">
        <f>IF(K11="","",IF(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&lt;=0,0,ROUND(K11/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*100,2)))</f>
        <v/>
      </c>
      <c r="M11" s="343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ASR/USD</t>
        </is>
      </c>
      <c r="C12" s="246">
        <f>IF($B12="","",IF(SUMIFS('ИТОГО Торговля'!$C$5:$C$300,'ИТОГО Торговля'!$B$5:$B$300,$B12)+SUMIFS('ИТОГО Лэндинг'!$C$5:$C$300,'ИТОГО Лэндинг'!$B$5:$B$300,$B12)+SUMIFS('История'!$C$5:$C$300,'История'!$B$5:$B$300,$B12)=0,"",SUMIFS('ИТОГО Торговля'!$C$5:$C$300,'ИТОГО Торговля'!$B$5:$B$300,$B12)+SUMIFS('ИТОГО Лэндинг'!$C$5:$C$300,'ИТОГО Лэндинг'!$B$5:$B$300,$B12)+SUMIFS('История'!$C$5:$C$300,'История'!$B$5:$B$300,$B12)))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Лэндинг'!$B$5:$B$300,$B12)+SUMIFS('История'!$E$5:$E$300,'История'!$B$5:$B$300,$B12))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Лэндинг'!$B$5:$B$300,$B12)+SUMIFS('История'!$F$5:$F$300,'История'!$B$5:$B$300,$B12)=0,"",SUMIFS('ИТОГО Торговля'!$F$5:$F$300,'ИТОГО Торговля'!$B$5:$B$300,$B12)+SUMIFS('ИТОГО Лэндинг'!$F$5:$F$300,'ИТОГО Лэндинг'!$B$5:$B$300,$B12)+SUMIFS('История'!$F$5:$F$300,'История'!$B$5:$B$300,$B12)))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Лэндинг'!$B$5:$B$300,$B12)+SUMIFS('История'!$H$5:$H$300,'История'!$B$5:$B$300,$B12))</f>
        <v/>
      </c>
      <c r="I12" s="341">
        <f>IF($B12="","",IF(AND(C12="",F12=""),"",ROUND(SUMIFS('ИТОГО Торговля'!$I$5:$I$300,'ИТОГО Торговля'!$B$5:$B$300,$B12)+SUMIFS('ИТОГО Лэндинг'!$I$5:$I$300,'ИТОГО Лэндинг'!$B$5:$B$300,$B12)+SUMIFS('История'!$I$5:$I$300,'История'!$B$5:$B$300,$B12),8)))</f>
        <v/>
      </c>
      <c r="J12" s="342">
        <f>IF($B12="","",IF(AND(C12="",F12=""),"",ROUND(SUMIFS('ИТОГО Торговля'!$J$5:$J$300,'ИТОГО Торговля'!$B$5:$B$300,$B12)+SUMIFS('ИТОГО Лэндинг'!$J$5:$J$300,'ИТОГО Лэндинг'!$B$5:$B$300,$B12)+SUMIFS('История'!$J$5:$J$300,'История'!$B$5:$B$300,$B12),8)))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Лэндинг'!$B$5:$B$300,$B12)+SUMIFS('История'!$K$5:$K$300,'История'!$B$5:$B$300,$B12),8))</f>
        <v/>
      </c>
      <c r="L12" s="183">
        <f>IF(K12="","",IF(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&lt;=0,0,ROUND(K12/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*100,2)))</f>
        <v/>
      </c>
      <c r="M12" s="344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ATM/USD</t>
        </is>
      </c>
      <c r="C13" s="240">
        <f>IF($B13="","",IF(SUMIFS('ИТОГО Торговля'!$C$5:$C$300,'ИТОГО Торговля'!$B$5:$B$300,$B13)+SUMIFS('ИТОГО Лэндинг'!$C$5:$C$300,'ИТОГО Лэндинг'!$B$5:$B$300,$B13)+SUMIFS('История'!$C$5:$C$300,'История'!$B$5:$B$300,$B13)=0,"",SUMIFS('ИТОГО Торговля'!$C$5:$C$300,'ИТОГО Торговля'!$B$5:$B$300,$B13)+SUMIFS('ИТОГО Лэндинг'!$C$5:$C$300,'ИТОГО Лэндинг'!$B$5:$B$300,$B13)+SUMIFS('История'!$C$5:$C$300,'История'!$B$5:$B$300,$B13)))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Лэндинг'!$B$5:$B$300,$B13)+SUMIFS('История'!$E$5:$E$300,'История'!$B$5:$B$300,$B13))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Лэндинг'!$B$5:$B$300,$B13)+SUMIFS('История'!$F$5:$F$300,'История'!$B$5:$B$300,$B13)=0,"",SUMIFS('ИТОГО Торговля'!$F$5:$F$300,'ИТОГО Торговля'!$B$5:$B$300,$B13)+SUMIFS('ИТОГО Лэндинг'!$F$5:$F$300,'ИТОГО Лэндинг'!$B$5:$B$300,$B13)+SUMIFS('История'!$F$5:$F$300,'История'!$B$5:$B$300,$B13)))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Лэндинг'!$B$5:$B$300,$B13)+SUMIFS('История'!$H$5:$H$300,'История'!$B$5:$B$300,$B13))</f>
        <v/>
      </c>
      <c r="I13" s="339">
        <f>IF($B13="","",IF(AND(C13="",F13=""),"",ROUND(SUMIFS('ИТОГО Торговля'!$I$5:$I$300,'ИТОГО Торговля'!$B$5:$B$300,$B13)+SUMIFS('ИТОГО Лэндинг'!$I$5:$I$300,'ИТОГО Лэндинг'!$B$5:$B$300,$B13)+SUMIFS('История'!$I$5:$I$300,'История'!$B$5:$B$300,$B13),8)))</f>
        <v/>
      </c>
      <c r="J13" s="340">
        <f>IF($B13="","",IF(AND(C13="",F13=""),"",ROUND(SUMIFS('ИТОГО Торговля'!$J$5:$J$300,'ИТОГО Торговля'!$B$5:$B$300,$B13)+SUMIFS('ИТОГО Лэндинг'!$J$5:$J$300,'ИТОГО Лэндинг'!$B$5:$B$300,$B13)+SUMIFS('История'!$J$5:$J$300,'История'!$B$5:$B$300,$B13),8)))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Лэндинг'!$B$5:$B$300,$B13)+SUMIFS('История'!$K$5:$K$300,'История'!$B$5:$B$300,$B13),8))</f>
        <v/>
      </c>
      <c r="L13" s="177">
        <f>IF(K13="","",IF(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&lt;=0,0,ROUND(K13/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*100,2)))</f>
        <v/>
      </c>
      <c r="M13" s="343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ATOM/BTC</t>
        </is>
      </c>
      <c r="C14" s="246">
        <f>IF($B14="","",IF(SUMIFS('ИТОГО Торговля'!$C$5:$C$300,'ИТОГО Торговля'!$B$5:$B$300,$B14)+SUMIFS('ИТОГО Лэндинг'!$C$5:$C$300,'ИТОГО Лэндинг'!$B$5:$B$300,$B14)+SUMIFS('История'!$C$5:$C$300,'История'!$B$5:$B$300,$B14)=0,"",SUMIFS('ИТОГО Торговля'!$C$5:$C$300,'ИТОГО Торговля'!$B$5:$B$300,$B14)+SUMIFS('ИТОГО Лэндинг'!$C$5:$C$300,'ИТОГО Лэндинг'!$B$5:$B$300,$B14)+SUMIFS('История'!$C$5:$C$300,'История'!$B$5:$B$300,$B14)))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Лэндинг'!$B$5:$B$300,$B14)+SUMIFS('История'!$E$5:$E$300,'История'!$B$5:$B$300,$B14))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Лэндинг'!$B$5:$B$300,$B14)+SUMIFS('История'!$F$5:$F$300,'История'!$B$5:$B$300,$B14)=0,"",SUMIFS('ИТОГО Торговля'!$F$5:$F$300,'ИТОГО Торговля'!$B$5:$B$300,$B14)+SUMIFS('ИТОГО Лэндинг'!$F$5:$F$300,'ИТОГО Лэндинг'!$B$5:$B$300,$B14)+SUMIFS('История'!$F$5:$F$300,'История'!$B$5:$B$300,$B14)))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Лэндинг'!$B$5:$B$300,$B14)+SUMIFS('История'!$H$5:$H$300,'История'!$B$5:$B$300,$B14))</f>
        <v/>
      </c>
      <c r="I14" s="341">
        <f>IF($B14="","",IF(AND(C14="",F14=""),"",ROUND(SUMIFS('ИТОГО Торговля'!$I$5:$I$300,'ИТОГО Торговля'!$B$5:$B$300,$B14)+SUMIFS('ИТОГО Лэндинг'!$I$5:$I$300,'ИТОГО Лэндинг'!$B$5:$B$300,$B14)+SUMIFS('История'!$I$5:$I$300,'История'!$B$5:$B$300,$B14),8)))</f>
        <v/>
      </c>
      <c r="J14" s="342">
        <f>IF($B14="","",IF(AND(C14="",F14=""),"",ROUND(SUMIFS('ИТОГО Торговля'!$J$5:$J$300,'ИТОГО Торговля'!$B$5:$B$300,$B14)+SUMIFS('ИТОГО Лэндинг'!$J$5:$J$300,'ИТОГО Лэндинг'!$B$5:$B$300,$B14)+SUMIFS('История'!$J$5:$J$300,'История'!$B$5:$B$300,$B14),8)))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Лэндинг'!$B$5:$B$300,$B14)+SUMIFS('История'!$K$5:$K$300,'История'!$B$5:$B$300,$B14),8))</f>
        <v/>
      </c>
      <c r="L14" s="183">
        <f>IF(K14="","",IF(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&lt;=0,0,ROUND(K14/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*100,2)))</f>
        <v/>
      </c>
      <c r="M14" s="344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ATOM/USD</t>
        </is>
      </c>
      <c r="C15" s="240">
        <f>IF($B15="","",IF(SUMIFS('ИТОГО Торговля'!$C$5:$C$300,'ИТОГО Торговля'!$B$5:$B$300,$B15)+SUMIFS('ИТОГО Лэндинг'!$C$5:$C$300,'ИТОГО Лэндинг'!$B$5:$B$300,$B15)+SUMIFS('История'!$C$5:$C$300,'История'!$B$5:$B$300,$B15)=0,"",SUMIFS('ИТОГО Торговля'!$C$5:$C$300,'ИТОГО Торговля'!$B$5:$B$300,$B15)+SUMIFS('ИТОГО Лэндинг'!$C$5:$C$300,'ИТОГО Лэндинг'!$B$5:$B$300,$B15)+SUMIFS('История'!$C$5:$C$300,'История'!$B$5:$B$300,$B15)))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Лэндинг'!$B$5:$B$300,$B15)+SUMIFS('История'!$E$5:$E$300,'История'!$B$5:$B$300,$B15))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Лэндинг'!$B$5:$B$300,$B15)+SUMIFS('История'!$F$5:$F$300,'История'!$B$5:$B$300,$B15)=0,"",SUMIFS('ИТОГО Торговля'!$F$5:$F$300,'ИТОГО Торговля'!$B$5:$B$300,$B15)+SUMIFS('ИТОГО Лэндинг'!$F$5:$F$300,'ИТОГО Лэндинг'!$B$5:$B$300,$B15)+SUMIFS('История'!$F$5:$F$300,'История'!$B$5:$B$300,$B15)))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Лэндинг'!$B$5:$B$300,$B15)+SUMIFS('История'!$H$5:$H$300,'История'!$B$5:$B$300,$B15))</f>
        <v/>
      </c>
      <c r="I15" s="339">
        <f>IF($B15="","",IF(AND(C15="",F15=""),"",ROUND(SUMIFS('ИТОГО Торговля'!$I$5:$I$300,'ИТОГО Торговля'!$B$5:$B$300,$B15)+SUMIFS('ИТОГО Лэндинг'!$I$5:$I$300,'ИТОГО Лэндинг'!$B$5:$B$300,$B15)+SUMIFS('История'!$I$5:$I$300,'История'!$B$5:$B$300,$B15),8)))</f>
        <v/>
      </c>
      <c r="J15" s="340">
        <f>IF($B15="","",IF(AND(C15="",F15=""),"",ROUND(SUMIFS('ИТОГО Торговля'!$J$5:$J$300,'ИТОГО Торговля'!$B$5:$B$300,$B15)+SUMIFS('ИТОГО Лэндинг'!$J$5:$J$300,'ИТОГО Лэндинг'!$B$5:$B$300,$B15)+SUMIFS('История'!$J$5:$J$300,'История'!$B$5:$B$300,$B15),8)))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Лэндинг'!$B$5:$B$300,$B15)+SUMIFS('История'!$K$5:$K$300,'История'!$B$5:$B$300,$B15),8))</f>
        <v/>
      </c>
      <c r="L15" s="177">
        <f>IF(K15="","",IF(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&lt;=0,0,ROUND(K15/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*100,2)))</f>
        <v/>
      </c>
      <c r="M15" s="343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AVAX/BTC</t>
        </is>
      </c>
      <c r="C16" s="246">
        <f>IF($B16="","",IF(SUMIFS('ИТОГО Торговля'!$C$5:$C$300,'ИТОГО Торговля'!$B$5:$B$300,$B16)+SUMIFS('ИТОГО Лэндинг'!$C$5:$C$300,'ИТОГО Лэндинг'!$B$5:$B$300,$B16)+SUMIFS('История'!$C$5:$C$300,'История'!$B$5:$B$300,$B16)=0,"",SUMIFS('ИТОГО Торговля'!$C$5:$C$300,'ИТОГО Торговля'!$B$5:$B$300,$B16)+SUMIFS('ИТОГО Лэндинг'!$C$5:$C$300,'ИТОГО Лэндинг'!$B$5:$B$300,$B16)+SUMIFS('История'!$C$5:$C$300,'История'!$B$5:$B$300,$B16)))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Лэндинг'!$B$5:$B$300,$B16)+SUMIFS('История'!$E$5:$E$300,'История'!$B$5:$B$300,$B16))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Лэндинг'!$B$5:$B$300,$B16)+SUMIFS('История'!$F$5:$F$300,'История'!$B$5:$B$300,$B16)=0,"",SUMIFS('ИТОГО Торговля'!$F$5:$F$300,'ИТОГО Торговля'!$B$5:$B$300,$B16)+SUMIFS('ИТОГО Лэндинг'!$F$5:$F$300,'ИТОГО Лэндинг'!$B$5:$B$300,$B16)+SUMIFS('История'!$F$5:$F$300,'История'!$B$5:$B$300,$B16)))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Лэндинг'!$B$5:$B$300,$B16)+SUMIFS('История'!$H$5:$H$300,'История'!$B$5:$B$300,$B16))</f>
        <v/>
      </c>
      <c r="I16" s="341">
        <f>IF($B16="","",IF(AND(C16="",F16=""),"",ROUND(SUMIFS('ИТОГО Торговля'!$I$5:$I$300,'ИТОГО Торговля'!$B$5:$B$300,$B16)+SUMIFS('ИТОГО Лэндинг'!$I$5:$I$300,'ИТОГО Лэндинг'!$B$5:$B$300,$B16)+SUMIFS('История'!$I$5:$I$300,'История'!$B$5:$B$300,$B16),8)))</f>
        <v/>
      </c>
      <c r="J16" s="342">
        <f>IF($B16="","",IF(AND(C16="",F16=""),"",ROUND(SUMIFS('ИТОГО Торговля'!$J$5:$J$300,'ИТОГО Торговля'!$B$5:$B$300,$B16)+SUMIFS('ИТОГО Лэндинг'!$J$5:$J$300,'ИТОГО Лэндинг'!$B$5:$B$300,$B16)+SUMIFS('История'!$J$5:$J$300,'История'!$B$5:$B$300,$B16),8)))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Лэндинг'!$B$5:$B$300,$B16)+SUMIFS('История'!$K$5:$K$300,'История'!$B$5:$B$300,$B16),8))</f>
        <v/>
      </c>
      <c r="L16" s="183">
        <f>IF(K16="","",IF(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&lt;=0,0,ROUND(K16/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*100,2)))</f>
        <v/>
      </c>
      <c r="M16" s="344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AVAX/USD</t>
        </is>
      </c>
      <c r="C17" s="240">
        <f>IF($B17="","",IF(SUMIFS('ИТОГО Торговля'!$C$5:$C$300,'ИТОГО Торговля'!$B$5:$B$300,$B17)+SUMIFS('ИТОГО Лэндинг'!$C$5:$C$300,'ИТОГО Лэндинг'!$B$5:$B$300,$B17)+SUMIFS('История'!$C$5:$C$300,'История'!$B$5:$B$300,$B17)=0,"",SUMIFS('ИТОГО Торговля'!$C$5:$C$300,'ИТОГО Торговля'!$B$5:$B$300,$B17)+SUMIFS('ИТОГО Лэндинг'!$C$5:$C$300,'ИТОГО Лэндинг'!$B$5:$B$300,$B17)+SUMIFS('История'!$C$5:$C$300,'История'!$B$5:$B$300,$B17)))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Лэндинг'!$B$5:$B$300,$B17)+SUMIFS('История'!$E$5:$E$300,'История'!$B$5:$B$300,$B17))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Лэндинг'!$B$5:$B$300,$B17)+SUMIFS('История'!$F$5:$F$300,'История'!$B$5:$B$300,$B17)=0,"",SUMIFS('ИТОГО Торговля'!$F$5:$F$300,'ИТОГО Торговля'!$B$5:$B$300,$B17)+SUMIFS('ИТОГО Лэндинг'!$F$5:$F$300,'ИТОГО Лэндинг'!$B$5:$B$300,$B17)+SUMIFS('История'!$F$5:$F$300,'История'!$B$5:$B$300,$B17)))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Лэндинг'!$B$5:$B$300,$B17)+SUMIFS('История'!$H$5:$H$300,'История'!$B$5:$B$300,$B17))</f>
        <v/>
      </c>
      <c r="I17" s="339">
        <f>IF($B17="","",IF(AND(C17="",F17=""),"",ROUND(SUMIFS('ИТОГО Торговля'!$I$5:$I$300,'ИТОГО Торговля'!$B$5:$B$300,$B17)+SUMIFS('ИТОГО Лэндинг'!$I$5:$I$300,'ИТОГО Лэндинг'!$B$5:$B$300,$B17)+SUMIFS('История'!$I$5:$I$300,'История'!$B$5:$B$300,$B17),8)))</f>
        <v/>
      </c>
      <c r="J17" s="340">
        <f>IF($B17="","",IF(AND(C17="",F17=""),"",ROUND(SUMIFS('ИТОГО Торговля'!$J$5:$J$300,'ИТОГО Торговля'!$B$5:$B$300,$B17)+SUMIFS('ИТОГО Лэндинг'!$J$5:$J$300,'ИТОГО Лэндинг'!$B$5:$B$300,$B17)+SUMIFS('История'!$J$5:$J$300,'История'!$B$5:$B$300,$B17),8)))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Лэндинг'!$B$5:$B$300,$B17)+SUMIFS('История'!$K$5:$K$300,'История'!$B$5:$B$300,$B17),8))</f>
        <v/>
      </c>
      <c r="L17" s="177">
        <f>IF(K17="","",IF(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&lt;=0,0,ROUND(K17/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*100,2)))</f>
        <v/>
      </c>
      <c r="M17" s="343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BAR/USD</t>
        </is>
      </c>
      <c r="C18" s="246">
        <f>IF($B18="","",IF(SUMIFS('ИТОГО Торговля'!$C$5:$C$300,'ИТОГО Торговля'!$B$5:$B$300,$B18)+SUMIFS('ИТОГО Лэндинг'!$C$5:$C$300,'ИТОГО Лэндинг'!$B$5:$B$300,$B18)+SUMIFS('История'!$C$5:$C$300,'История'!$B$5:$B$300,$B18)=0,"",SUMIFS('ИТОГО Торговля'!$C$5:$C$300,'ИТОГО Торговля'!$B$5:$B$300,$B18)+SUMIFS('ИТОГО Лэндинг'!$C$5:$C$300,'ИТОГО Лэндинг'!$B$5:$B$300,$B18)+SUMIFS('История'!$C$5:$C$300,'История'!$B$5:$B$300,$B18)))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Лэндинг'!$B$5:$B$300,$B18)+SUMIFS('История'!$E$5:$E$300,'История'!$B$5:$B$300,$B18))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Лэндинг'!$B$5:$B$300,$B18)+SUMIFS('История'!$F$5:$F$300,'История'!$B$5:$B$300,$B18)=0,"",SUMIFS('ИТОГО Торговля'!$F$5:$F$300,'ИТОГО Торговля'!$B$5:$B$300,$B18)+SUMIFS('ИТОГО Лэндинг'!$F$5:$F$300,'ИТОГО Лэндинг'!$B$5:$B$300,$B18)+SUMIFS('История'!$F$5:$F$300,'История'!$B$5:$B$300,$B18)))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Лэндинг'!$B$5:$B$300,$B18)+SUMIFS('История'!$H$5:$H$300,'История'!$B$5:$B$300,$B18))</f>
        <v/>
      </c>
      <c r="I18" s="341">
        <f>IF($B18="","",IF(AND(C18="",F18=""),"",ROUND(SUMIFS('ИТОГО Торговля'!$I$5:$I$300,'ИТОГО Торговля'!$B$5:$B$300,$B18)+SUMIFS('ИТОГО Лэндинг'!$I$5:$I$300,'ИТОГО Лэндинг'!$B$5:$B$300,$B18)+SUMIFS('История'!$I$5:$I$300,'История'!$B$5:$B$300,$B18),8)))</f>
        <v/>
      </c>
      <c r="J18" s="342">
        <f>IF($B18="","",IF(AND(C18="",F18=""),"",ROUND(SUMIFS('ИТОГО Торговля'!$J$5:$J$300,'ИТОГО Торговля'!$B$5:$B$300,$B18)+SUMIFS('ИТОГО Лэндинг'!$J$5:$J$300,'ИТОГО Лэндинг'!$B$5:$B$300,$B18)+SUMIFS('История'!$J$5:$J$300,'История'!$B$5:$B$300,$B18),8)))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Лэндинг'!$B$5:$B$300,$B18)+SUMIFS('История'!$K$5:$K$300,'История'!$B$5:$B$300,$B18),8))</f>
        <v/>
      </c>
      <c r="L18" s="183">
        <f>IF(K18="","",IF(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&lt;=0,0,ROUND(K18/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*100,2)))</f>
        <v/>
      </c>
      <c r="M18" s="344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BCH/BNB</t>
        </is>
      </c>
      <c r="C19" s="240">
        <f>IF($B19="","",IF(SUMIFS('ИТОГО Торговля'!$C$5:$C$300,'ИТОГО Торговля'!$B$5:$B$300,$B19)+SUMIFS('ИТОГО Лэндинг'!$C$5:$C$300,'ИТОГО Лэндинг'!$B$5:$B$300,$B19)+SUMIFS('История'!$C$5:$C$300,'История'!$B$5:$B$300,$B19)=0,"",SUMIFS('ИТОГО Торговля'!$C$5:$C$300,'ИТОГО Торговля'!$B$5:$B$300,$B19)+SUMIFS('ИТОГО Лэндинг'!$C$5:$C$300,'ИТОГО Лэндинг'!$B$5:$B$300,$B19)+SUMIFS('История'!$C$5:$C$300,'История'!$B$5:$B$300,$B19)))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Лэндинг'!$B$5:$B$300,$B19)+SUMIFS('История'!$E$5:$E$300,'История'!$B$5:$B$300,$B19))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Лэндинг'!$B$5:$B$300,$B19)+SUMIFS('История'!$F$5:$F$300,'История'!$B$5:$B$300,$B19)=0,"",SUMIFS('ИТОГО Торговля'!$F$5:$F$300,'ИТОГО Торговля'!$B$5:$B$300,$B19)+SUMIFS('ИТОГО Лэндинг'!$F$5:$F$300,'ИТОГО Лэндинг'!$B$5:$B$300,$B19)+SUMIFS('История'!$F$5:$F$300,'История'!$B$5:$B$300,$B19)))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Лэндинг'!$B$5:$B$300,$B19)+SUMIFS('История'!$H$5:$H$300,'История'!$B$5:$B$300,$B19))</f>
        <v/>
      </c>
      <c r="I19" s="339">
        <f>IF($B19="","",IF(AND(C19="",F19=""),"",ROUND(SUMIFS('ИТОГО Торговля'!$I$5:$I$300,'ИТОГО Торговля'!$B$5:$B$300,$B19)+SUMIFS('ИТОГО Лэндинг'!$I$5:$I$300,'ИТОГО Лэндинг'!$B$5:$B$300,$B19)+SUMIFS('История'!$I$5:$I$300,'История'!$B$5:$B$300,$B19),8)))</f>
        <v/>
      </c>
      <c r="J19" s="340">
        <f>IF($B19="","",IF(AND(C19="",F19=""),"",ROUND(SUMIFS('ИТОГО Торговля'!$J$5:$J$300,'ИТОГО Торговля'!$B$5:$B$300,$B19)+SUMIFS('ИТОГО Лэндинг'!$J$5:$J$300,'ИТОГО Лэндинг'!$B$5:$B$300,$B19)+SUMIFS('История'!$J$5:$J$300,'История'!$B$5:$B$300,$B19),8)))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Лэндинг'!$B$5:$B$300,$B19)+SUMIFS('История'!$K$5:$K$300,'История'!$B$5:$B$300,$B19),8))</f>
        <v/>
      </c>
      <c r="L19" s="177">
        <f>IF(K19="","",IF(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&lt;=0,0,ROUND(K19/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*100,2)))</f>
        <v/>
      </c>
      <c r="M19" s="343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BCH/BTC</t>
        </is>
      </c>
      <c r="C20" s="246">
        <f>IF($B20="","",IF(SUMIFS('ИТОГО Торговля'!$C$5:$C$300,'ИТОГО Торговля'!$B$5:$B$300,$B20)+SUMIFS('ИТОГО Лэндинг'!$C$5:$C$300,'ИТОГО Лэндинг'!$B$5:$B$300,$B20)+SUMIFS('История'!$C$5:$C$300,'История'!$B$5:$B$300,$B20)=0,"",SUMIFS('ИТОГО Торговля'!$C$5:$C$300,'ИТОГО Торговля'!$B$5:$B$300,$B20)+SUMIFS('ИТОГО Лэндинг'!$C$5:$C$300,'ИТОГО Лэндинг'!$B$5:$B$300,$B20)+SUMIFS('История'!$C$5:$C$300,'История'!$B$5:$B$300,$B20)))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Лэндинг'!$B$5:$B$300,$B20)+SUMIFS('История'!$E$5:$E$300,'История'!$B$5:$B$300,$B20))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Лэндинг'!$B$5:$B$300,$B20)+SUMIFS('История'!$F$5:$F$300,'История'!$B$5:$B$300,$B20)=0,"",SUMIFS('ИТОГО Торговля'!$F$5:$F$300,'ИТОГО Торговля'!$B$5:$B$300,$B20)+SUMIFS('ИТОГО Лэндинг'!$F$5:$F$300,'ИТОГО Лэндинг'!$B$5:$B$300,$B20)+SUMIFS('История'!$F$5:$F$300,'История'!$B$5:$B$300,$B20)))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Лэндинг'!$B$5:$B$300,$B20)+SUMIFS('История'!$H$5:$H$300,'История'!$B$5:$B$300,$B20))</f>
        <v/>
      </c>
      <c r="I20" s="341">
        <f>IF($B20="","",IF(AND(C20="",F20=""),"",ROUND(SUMIFS('ИТОГО Торговля'!$I$5:$I$300,'ИТОГО Торговля'!$B$5:$B$300,$B20)+SUMIFS('ИТОГО Лэндинг'!$I$5:$I$300,'ИТОГО Лэндинг'!$B$5:$B$300,$B20)+SUMIFS('История'!$I$5:$I$300,'История'!$B$5:$B$300,$B20),8)))</f>
        <v/>
      </c>
      <c r="J20" s="342">
        <f>IF($B20="","",IF(AND(C20="",F20=""),"",ROUND(SUMIFS('ИТОГО Торговля'!$J$5:$J$300,'ИТОГО Торговля'!$B$5:$B$300,$B20)+SUMIFS('ИТОГО Лэндинг'!$J$5:$J$300,'ИТОГО Лэндинг'!$B$5:$B$300,$B20)+SUMIFS('История'!$J$5:$J$300,'История'!$B$5:$B$300,$B20),8)))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Лэндинг'!$B$5:$B$300,$B20)+SUMIFS('История'!$K$5:$K$300,'История'!$B$5:$B$300,$B20),8))</f>
        <v/>
      </c>
      <c r="L20" s="183">
        <f>IF(K20="","",IF(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&lt;=0,0,ROUND(K20/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*100,2)))</f>
        <v/>
      </c>
      <c r="M20" s="344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BCH/ETH</t>
        </is>
      </c>
      <c r="C21" s="240">
        <f>IF($B21="","",IF(SUMIFS('ИТОГО Торговля'!$C$5:$C$300,'ИТОГО Торговля'!$B$5:$B$300,$B21)+SUMIFS('ИТОГО Лэндинг'!$C$5:$C$300,'ИТОГО Лэндинг'!$B$5:$B$300,$B21)+SUMIFS('История'!$C$5:$C$300,'История'!$B$5:$B$300,$B21)=0,"",SUMIFS('ИТОГО Торговля'!$C$5:$C$300,'ИТОГО Торговля'!$B$5:$B$300,$B21)+SUMIFS('ИТОГО Лэндинг'!$C$5:$C$300,'ИТОГО Лэндинг'!$B$5:$B$300,$B21)+SUMIFS('История'!$C$5:$C$300,'История'!$B$5:$B$300,$B21)))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Лэндинг'!$B$5:$B$300,$B21)+SUMIFS('История'!$E$5:$E$300,'История'!$B$5:$B$300,$B21))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Лэндинг'!$B$5:$B$300,$B21)+SUMIFS('История'!$F$5:$F$300,'История'!$B$5:$B$300,$B21)=0,"",SUMIFS('ИТОГО Торговля'!$F$5:$F$300,'ИТОГО Торговля'!$B$5:$B$300,$B21)+SUMIFS('ИТОГО Лэндинг'!$F$5:$F$300,'ИТОГО Лэндинг'!$B$5:$B$300,$B21)+SUMIFS('История'!$F$5:$F$300,'История'!$B$5:$B$300,$B21)))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Лэндинг'!$B$5:$B$300,$B21)+SUMIFS('История'!$H$5:$H$300,'История'!$B$5:$B$300,$B21))</f>
        <v/>
      </c>
      <c r="I21" s="339">
        <f>IF($B21="","",IF(AND(C21="",F21=""),"",ROUND(SUMIFS('ИТОГО Торговля'!$I$5:$I$300,'ИТОГО Торговля'!$B$5:$B$300,$B21)+SUMIFS('ИТОГО Лэндинг'!$I$5:$I$300,'ИТОГО Лэндинг'!$B$5:$B$300,$B21)+SUMIFS('История'!$I$5:$I$300,'История'!$B$5:$B$300,$B21),8)))</f>
        <v/>
      </c>
      <c r="J21" s="340">
        <f>IF($B21="","",IF(AND(C21="",F21=""),"",ROUND(SUMIFS('ИТОГО Торговля'!$J$5:$J$300,'ИТОГО Торговля'!$B$5:$B$300,$B21)+SUMIFS('ИТОГО Лэндинг'!$J$5:$J$300,'ИТОГО Лэндинг'!$B$5:$B$300,$B21)+SUMIFS('История'!$J$5:$J$300,'История'!$B$5:$B$300,$B21),8)))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Лэндинг'!$B$5:$B$300,$B21)+SUMIFS('История'!$K$5:$K$300,'История'!$B$5:$B$300,$B21),8))</f>
        <v/>
      </c>
      <c r="L21" s="177">
        <f>IF(K21="","",IF(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&lt;=0,0,ROUND(K21/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*100,2)))</f>
        <v/>
      </c>
      <c r="M21" s="343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BCH/USD</t>
        </is>
      </c>
      <c r="C22" s="246">
        <f>IF($B22="","",IF(SUMIFS('ИТОГО Торговля'!$C$5:$C$300,'ИТОГО Торговля'!$B$5:$B$300,$B22)+SUMIFS('ИТОГО Лэндинг'!$C$5:$C$300,'ИТОГО Лэндинг'!$B$5:$B$300,$B22)+SUMIFS('История'!$C$5:$C$300,'История'!$B$5:$B$300,$B22)=0,"",SUMIFS('ИТОГО Торговля'!$C$5:$C$300,'ИТОГО Торговля'!$B$5:$B$300,$B22)+SUMIFS('ИТОГО Лэндинг'!$C$5:$C$300,'ИТОГО Лэндинг'!$B$5:$B$300,$B22)+SUMIFS('История'!$C$5:$C$300,'История'!$B$5:$B$300,$B22)))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Лэндинг'!$B$5:$B$300,$B22)+SUMIFS('История'!$E$5:$E$300,'История'!$B$5:$B$300,$B22))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Лэндинг'!$B$5:$B$300,$B22)+SUMIFS('История'!$F$5:$F$300,'История'!$B$5:$B$300,$B22)=0,"",SUMIFS('ИТОГО Торговля'!$F$5:$F$300,'ИТОГО Торговля'!$B$5:$B$300,$B22)+SUMIFS('ИТОГО Лэндинг'!$F$5:$F$300,'ИТОГО Лэндинг'!$B$5:$B$300,$B22)+SUMIFS('История'!$F$5:$F$300,'История'!$B$5:$B$300,$B22)))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Лэндинг'!$B$5:$B$300,$B22)+SUMIFS('История'!$H$5:$H$300,'История'!$B$5:$B$300,$B22))</f>
        <v/>
      </c>
      <c r="I22" s="341">
        <f>IF($B22="","",IF(AND(C22="",F22=""),"",ROUND(SUMIFS('ИТОГО Торговля'!$I$5:$I$300,'ИТОГО Торговля'!$B$5:$B$300,$B22)+SUMIFS('ИТОГО Лэндинг'!$I$5:$I$300,'ИТОГО Лэндинг'!$B$5:$B$300,$B22)+SUMIFS('История'!$I$5:$I$300,'История'!$B$5:$B$300,$B22),8)))</f>
        <v/>
      </c>
      <c r="J22" s="342">
        <f>IF($B22="","",IF(AND(C22="",F22=""),"",ROUND(SUMIFS('ИТОГО Торговля'!$J$5:$J$300,'ИТОГО Торговля'!$B$5:$B$300,$B22)+SUMIFS('ИТОГО Лэндинг'!$J$5:$J$300,'ИТОГО Лэндинг'!$B$5:$B$300,$B22)+SUMIFS('История'!$J$5:$J$300,'История'!$B$5:$B$300,$B22),8)))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Лэндинг'!$B$5:$B$300,$B22)+SUMIFS('История'!$K$5:$K$300,'История'!$B$5:$B$300,$B22),8))</f>
        <v/>
      </c>
      <c r="L22" s="183">
        <f>IF(K22="","",IF(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&lt;=0,0,ROUND(K22/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*100,2)))</f>
        <v/>
      </c>
      <c r="M22" s="344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BCH/WAVES</t>
        </is>
      </c>
      <c r="C23" s="240">
        <f>IF($B23="","",IF(SUMIFS('ИТОГО Торговля'!$C$5:$C$300,'ИТОГО Торговля'!$B$5:$B$300,$B23)+SUMIFS('ИТОГО Лэндинг'!$C$5:$C$300,'ИТОГО Лэндинг'!$B$5:$B$300,$B23)+SUMIFS('История'!$C$5:$C$300,'История'!$B$5:$B$300,$B23)=0,"",SUMIFS('ИТОГО Торговля'!$C$5:$C$300,'ИТОГО Торговля'!$B$5:$B$300,$B23)+SUMIFS('ИТОГО Лэндинг'!$C$5:$C$300,'ИТОГО Лэндинг'!$B$5:$B$300,$B23)+SUMIFS('История'!$C$5:$C$300,'История'!$B$5:$B$300,$B23)))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Лэндинг'!$B$5:$B$300,$B23)+SUMIFS('История'!$E$5:$E$300,'История'!$B$5:$B$300,$B23))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Лэндинг'!$B$5:$B$300,$B23)+SUMIFS('История'!$F$5:$F$300,'История'!$B$5:$B$300,$B23)=0,"",SUMIFS('ИТОГО Торговля'!$F$5:$F$300,'ИТОГО Торговля'!$B$5:$B$300,$B23)+SUMIFS('ИТОГО Лэндинг'!$F$5:$F$300,'ИТОГО Лэндинг'!$B$5:$B$300,$B23)+SUMIFS('История'!$F$5:$F$300,'История'!$B$5:$B$300,$B23)))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Лэндинг'!$B$5:$B$300,$B23)+SUMIFS('История'!$H$5:$H$300,'История'!$B$5:$B$300,$B23))</f>
        <v/>
      </c>
      <c r="I23" s="339">
        <f>IF($B23="","",IF(AND(C23="",F23=""),"",ROUND(SUMIFS('ИТОГО Торговля'!$I$5:$I$300,'ИТОГО Торговля'!$B$5:$B$300,$B23)+SUMIFS('ИТОГО Лэндинг'!$I$5:$I$300,'ИТОГО Лэндинг'!$B$5:$B$300,$B23)+SUMIFS('История'!$I$5:$I$300,'История'!$B$5:$B$300,$B23),8)))</f>
        <v/>
      </c>
      <c r="J23" s="340">
        <f>IF($B23="","",IF(AND(C23="",F23=""),"",ROUND(SUMIFS('ИТОГО Торговля'!$J$5:$J$300,'ИТОГО Торговля'!$B$5:$B$300,$B23)+SUMIFS('ИТОГО Лэндинг'!$J$5:$J$300,'ИТОГО Лэндинг'!$B$5:$B$300,$B23)+SUMIFS('История'!$J$5:$J$300,'История'!$B$5:$B$300,$B23),8)))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Лэндинг'!$B$5:$B$300,$B23)+SUMIFS('История'!$K$5:$K$300,'История'!$B$5:$B$300,$B23),8))</f>
        <v/>
      </c>
      <c r="L23" s="177">
        <f>IF(K23="","",IF(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&lt;=0,0,ROUND(K23/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*100,2)))</f>
        <v/>
      </c>
      <c r="M23" s="343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BNB/BTC</t>
        </is>
      </c>
      <c r="C24" s="246">
        <f>IF($B24="","",IF(SUMIFS('ИТОГО Торговля'!$C$5:$C$300,'ИТОГО Торговля'!$B$5:$B$300,$B24)+SUMIFS('ИТОГО Лэндинг'!$C$5:$C$300,'ИТОГО Лэндинг'!$B$5:$B$300,$B24)+SUMIFS('История'!$C$5:$C$300,'История'!$B$5:$B$300,$B24)=0,"",SUMIFS('ИТОГО Торговля'!$C$5:$C$300,'ИТОГО Торговля'!$B$5:$B$300,$B24)+SUMIFS('ИТОГО Лэндинг'!$C$5:$C$300,'ИТОГО Лэндинг'!$B$5:$B$300,$B24)+SUMIFS('История'!$C$5:$C$300,'История'!$B$5:$B$300,$B24)))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Лэндинг'!$B$5:$B$300,$B24)+SUMIFS('История'!$E$5:$E$300,'История'!$B$5:$B$300,$B24))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Лэндинг'!$B$5:$B$300,$B24)+SUMIFS('История'!$F$5:$F$300,'История'!$B$5:$B$300,$B24)=0,"",SUMIFS('ИТОГО Торговля'!$F$5:$F$300,'ИТОГО Торговля'!$B$5:$B$300,$B24)+SUMIFS('ИТОГО Лэндинг'!$F$5:$F$300,'ИТОГО Лэндинг'!$B$5:$B$300,$B24)+SUMIFS('История'!$F$5:$F$300,'История'!$B$5:$B$300,$B24)))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Лэндинг'!$B$5:$B$300,$B24)+SUMIFS('История'!$H$5:$H$300,'История'!$B$5:$B$300,$B24))</f>
        <v/>
      </c>
      <c r="I24" s="341">
        <f>IF($B24="","",IF(AND(C24="",F24=""),"",ROUND(SUMIFS('ИТОГО Торговля'!$I$5:$I$300,'ИТОГО Торговля'!$B$5:$B$300,$B24)+SUMIFS('ИТОГО Лэндинг'!$I$5:$I$300,'ИТОГО Лэндинг'!$B$5:$B$300,$B24)+SUMIFS('История'!$I$5:$I$300,'История'!$B$5:$B$300,$B24),8)))</f>
        <v/>
      </c>
      <c r="J24" s="342">
        <f>IF($B24="","",IF(AND(C24="",F24=""),"",ROUND(SUMIFS('ИТОГО Торговля'!$J$5:$J$300,'ИТОГО Торговля'!$B$5:$B$300,$B24)+SUMIFS('ИТОГО Лэндинг'!$J$5:$J$300,'ИТОГО Лэндинг'!$B$5:$B$300,$B24)+SUMIFS('История'!$J$5:$J$300,'История'!$B$5:$B$300,$B24),8)))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Лэндинг'!$B$5:$B$300,$B24)+SUMIFS('История'!$K$5:$K$300,'История'!$B$5:$B$300,$B24),8))</f>
        <v/>
      </c>
      <c r="L24" s="183">
        <f>IF(K24="","",IF(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&lt;=0,0,ROUND(K24/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*100,2)))</f>
        <v/>
      </c>
      <c r="M24" s="344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BNB/ETH</t>
        </is>
      </c>
      <c r="C25" s="240">
        <f>IF($B25="","",IF(SUMIFS('ИТОГО Торговля'!$C$5:$C$300,'ИТОГО Торговля'!$B$5:$B$300,$B25)+SUMIFS('ИТОГО Лэндинг'!$C$5:$C$300,'ИТОГО Лэндинг'!$B$5:$B$300,$B25)+SUMIFS('История'!$C$5:$C$300,'История'!$B$5:$B$300,$B25)=0,"",SUMIFS('ИТОГО Торговля'!$C$5:$C$300,'ИТОГО Торговля'!$B$5:$B$300,$B25)+SUMIFS('ИТОГО Лэндинг'!$C$5:$C$300,'ИТОГО Лэндинг'!$B$5:$B$300,$B25)+SUMIFS('История'!$C$5:$C$300,'История'!$B$5:$B$300,$B25)))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Лэндинг'!$B$5:$B$300,$B25)+SUMIFS('История'!$E$5:$E$300,'История'!$B$5:$B$300,$B25))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Лэндинг'!$B$5:$B$300,$B25)+SUMIFS('История'!$F$5:$F$300,'История'!$B$5:$B$300,$B25)=0,"",SUMIFS('ИТОГО Торговля'!$F$5:$F$300,'ИТОГО Торговля'!$B$5:$B$300,$B25)+SUMIFS('ИТОГО Лэндинг'!$F$5:$F$300,'ИТОГО Лэндинг'!$B$5:$B$300,$B25)+SUMIFS('История'!$F$5:$F$300,'История'!$B$5:$B$300,$B25)))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Лэндинг'!$B$5:$B$300,$B25)+SUMIFS('История'!$H$5:$H$300,'История'!$B$5:$B$300,$B25))</f>
        <v/>
      </c>
      <c r="I25" s="339">
        <f>IF($B25="","",IF(AND(C25="",F25=""),"",ROUND(SUMIFS('ИТОГО Торговля'!$I$5:$I$300,'ИТОГО Торговля'!$B$5:$B$300,$B25)+SUMIFS('ИТОГО Лэндинг'!$I$5:$I$300,'ИТОГО Лэндинг'!$B$5:$B$300,$B25)+SUMIFS('История'!$I$5:$I$300,'История'!$B$5:$B$300,$B25),8)))</f>
        <v/>
      </c>
      <c r="J25" s="340">
        <f>IF($B25="","",IF(AND(C25="",F25=""),"",ROUND(SUMIFS('ИТОГО Торговля'!$J$5:$J$300,'ИТОГО Торговля'!$B$5:$B$300,$B25)+SUMIFS('ИТОГО Лэндинг'!$J$5:$J$300,'ИТОГО Лэндинг'!$B$5:$B$300,$B25)+SUMIFS('История'!$J$5:$J$300,'История'!$B$5:$B$300,$B25),8)))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Лэндинг'!$B$5:$B$300,$B25)+SUMIFS('История'!$K$5:$K$300,'История'!$B$5:$B$300,$B25),8))</f>
        <v/>
      </c>
      <c r="L25" s="177">
        <f>IF(K25="","",IF(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&lt;=0,0,ROUND(K25/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*100,2)))</f>
        <v/>
      </c>
      <c r="M25" s="343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BNB/USD</t>
        </is>
      </c>
      <c r="C26" s="246">
        <f>IF($B26="","",IF(SUMIFS('ИТОГО Торговля'!$C$5:$C$300,'ИТОГО Торговля'!$B$5:$B$300,$B26)+SUMIFS('ИТОГО Лэндинг'!$C$5:$C$300,'ИТОГО Лэндинг'!$B$5:$B$300,$B26)+SUMIFS('История'!$C$5:$C$300,'История'!$B$5:$B$300,$B26)=0,"",SUMIFS('ИТОГО Торговля'!$C$5:$C$300,'ИТОГО Торговля'!$B$5:$B$300,$B26)+SUMIFS('ИТОГО Лэндинг'!$C$5:$C$300,'ИТОГО Лэндинг'!$B$5:$B$300,$B26)+SUMIFS('История'!$C$5:$C$300,'История'!$B$5:$B$300,$B26)))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Лэндинг'!$B$5:$B$300,$B26)+SUMIFS('История'!$E$5:$E$300,'История'!$B$5:$B$300,$B26))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Лэндинг'!$B$5:$B$300,$B26)+SUMIFS('История'!$F$5:$F$300,'История'!$B$5:$B$300,$B26)=0,"",SUMIFS('ИТОГО Торговля'!$F$5:$F$300,'ИТОГО Торговля'!$B$5:$B$300,$B26)+SUMIFS('ИТОГО Лэндинг'!$F$5:$F$300,'ИТОГО Лэндинг'!$B$5:$B$300,$B26)+SUMIFS('История'!$F$5:$F$300,'История'!$B$5:$B$300,$B26)))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Лэндинг'!$B$5:$B$300,$B26)+SUMIFS('История'!$H$5:$H$300,'История'!$B$5:$B$300,$B26))</f>
        <v/>
      </c>
      <c r="I26" s="341">
        <f>IF($B26="","",IF(AND(C26="",F26=""),"",ROUND(SUMIFS('ИТОГО Торговля'!$I$5:$I$300,'ИТОГО Торговля'!$B$5:$B$300,$B26)+SUMIFS('ИТОГО Лэндинг'!$I$5:$I$300,'ИТОГО Лэндинг'!$B$5:$B$300,$B26)+SUMIFS('История'!$I$5:$I$300,'История'!$B$5:$B$300,$B26),8)))</f>
        <v/>
      </c>
      <c r="J26" s="342">
        <f>IF($B26="","",IF(AND(C26="",F26=""),"",ROUND(SUMIFS('ИТОГО Торговля'!$J$5:$J$300,'ИТОГО Торговля'!$B$5:$B$300,$B26)+SUMIFS('ИТОГО Лэндинг'!$J$5:$J$300,'ИТОГО Лэндинг'!$B$5:$B$300,$B26)+SUMIFS('История'!$J$5:$J$300,'История'!$B$5:$B$300,$B26),8)))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Лэндинг'!$B$5:$B$300,$B26)+SUMIFS('История'!$K$5:$K$300,'История'!$B$5:$B$300,$B26),8))</f>
        <v/>
      </c>
      <c r="L26" s="183">
        <f>IF(K26="","",IF(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&lt;=0,0,ROUND(K26/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*100,2)))</f>
        <v/>
      </c>
      <c r="M26" s="344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BTC/USD</t>
        </is>
      </c>
      <c r="C27" s="240">
        <f>IF($B27="","",IF(SUMIFS('ИТОГО Торговля'!$C$5:$C$300,'ИТОГО Торговля'!$B$5:$B$300,$B27)+SUMIFS('ИТОГО Лэндинг'!$C$5:$C$300,'ИТОГО Лэндинг'!$B$5:$B$300,$B27)+SUMIFS('История'!$C$5:$C$300,'История'!$B$5:$B$300,$B27)=0,"",SUMIFS('ИТОГО Торговля'!$C$5:$C$300,'ИТОГО Торговля'!$B$5:$B$300,$B27)+SUMIFS('ИТОГО Лэндинг'!$C$5:$C$300,'ИТОГО Лэндинг'!$B$5:$B$300,$B27)+SUMIFS('История'!$C$5:$C$300,'История'!$B$5:$B$300,$B27)))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Лэндинг'!$B$5:$B$300,$B27)+SUMIFS('История'!$E$5:$E$300,'История'!$B$5:$B$300,$B27))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Лэндинг'!$B$5:$B$300,$B27)+SUMIFS('История'!$F$5:$F$300,'История'!$B$5:$B$300,$B27)=0,"",SUMIFS('ИТОГО Торговля'!$F$5:$F$300,'ИТОГО Торговля'!$B$5:$B$300,$B27)+SUMIFS('ИТОГО Лэндинг'!$F$5:$F$300,'ИТОГО Лэндинг'!$B$5:$B$300,$B27)+SUMIFS('История'!$F$5:$F$300,'История'!$B$5:$B$300,$B27)))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Лэндинг'!$B$5:$B$300,$B27)+SUMIFS('История'!$H$5:$H$300,'История'!$B$5:$B$300,$B27))</f>
        <v/>
      </c>
      <c r="I27" s="339">
        <f>IF($B27="","",IF(AND(C27="",F27=""),"",ROUND(SUMIFS('ИТОГО Торговля'!$I$5:$I$300,'ИТОГО Торговля'!$B$5:$B$300,$B27)+SUMIFS('ИТОГО Лэндинг'!$I$5:$I$300,'ИТОГО Лэндинг'!$B$5:$B$300,$B27)+SUMIFS('История'!$I$5:$I$300,'История'!$B$5:$B$300,$B27),8)))</f>
        <v/>
      </c>
      <c r="J27" s="340">
        <f>IF($B27="","",IF(AND(C27="",F27=""),"",ROUND(SUMIFS('ИТОГО Торговля'!$J$5:$J$300,'ИТОГО Торговля'!$B$5:$B$300,$B27)+SUMIFS('ИТОГО Лэндинг'!$J$5:$J$300,'ИТОГО Лэндинг'!$B$5:$B$300,$B27)+SUMIFS('История'!$J$5:$J$300,'История'!$B$5:$B$300,$B27),8)))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Лэндинг'!$B$5:$B$300,$B27)+SUMIFS('История'!$K$5:$K$300,'История'!$B$5:$B$300,$B27),8))</f>
        <v/>
      </c>
      <c r="L27" s="177">
        <f>IF(K27="","",IF(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&lt;=0,0,ROUND(K27/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*100,2)))</f>
        <v/>
      </c>
      <c r="M27" s="343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CAKE/BNB</t>
        </is>
      </c>
      <c r="C28" s="246">
        <f>IF($B28="","",IF(SUMIFS('ИТОГО Торговля'!$C$5:$C$300,'ИТОГО Торговля'!$B$5:$B$300,$B28)+SUMIFS('ИТОГО Лэндинг'!$C$5:$C$300,'ИТОГО Лэндинг'!$B$5:$B$300,$B28)+SUMIFS('История'!$C$5:$C$300,'История'!$B$5:$B$300,$B28)=0,"",SUMIFS('ИТОГО Торговля'!$C$5:$C$300,'ИТОГО Торговля'!$B$5:$B$300,$B28)+SUMIFS('ИТОГО Лэндинг'!$C$5:$C$300,'ИТОГО Лэндинг'!$B$5:$B$300,$B28)+SUMIFS('История'!$C$5:$C$300,'История'!$B$5:$B$300,$B28)))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Лэндинг'!$B$5:$B$300,$B28)+SUMIFS('История'!$E$5:$E$300,'История'!$B$5:$B$300,$B28))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Лэндинг'!$B$5:$B$300,$B28)+SUMIFS('История'!$F$5:$F$300,'История'!$B$5:$B$300,$B28)=0,"",SUMIFS('ИТОГО Торговля'!$F$5:$F$300,'ИТОГО Торговля'!$B$5:$B$300,$B28)+SUMIFS('ИТОГО Лэндинг'!$F$5:$F$300,'ИТОГО Лэндинг'!$B$5:$B$300,$B28)+SUMIFS('История'!$F$5:$F$300,'История'!$B$5:$B$300,$B28)))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Лэндинг'!$B$5:$B$300,$B28)+SUMIFS('История'!$H$5:$H$300,'История'!$B$5:$B$300,$B28))</f>
        <v/>
      </c>
      <c r="I28" s="341">
        <f>IF($B28="","",IF(AND(C28="",F28=""),"",ROUND(SUMIFS('ИТОГО Торговля'!$I$5:$I$300,'ИТОГО Торговля'!$B$5:$B$300,$B28)+SUMIFS('ИТОГО Лэндинг'!$I$5:$I$300,'ИТОГО Лэндинг'!$B$5:$B$300,$B28)+SUMIFS('История'!$I$5:$I$300,'История'!$B$5:$B$300,$B28),8)))</f>
        <v/>
      </c>
      <c r="J28" s="342">
        <f>IF($B28="","",IF(AND(C28="",F28=""),"",ROUND(SUMIFS('ИТОГО Торговля'!$J$5:$J$300,'ИТОГО Торговля'!$B$5:$B$300,$B28)+SUMIFS('ИТОГО Лэндинг'!$J$5:$J$300,'ИТОГО Лэндинг'!$B$5:$B$300,$B28)+SUMIFS('История'!$J$5:$J$300,'История'!$B$5:$B$300,$B28),8)))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Лэндинг'!$B$5:$B$300,$B28)+SUMIFS('История'!$K$5:$K$300,'История'!$B$5:$B$300,$B28),8))</f>
        <v/>
      </c>
      <c r="L28" s="183">
        <f>IF(K28="","",IF(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&lt;=0,0,ROUND(K28/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*100,2)))</f>
        <v/>
      </c>
      <c r="M28" s="344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CAKE/BTC</t>
        </is>
      </c>
      <c r="C29" s="240">
        <f>IF($B29="","",IF(SUMIFS('ИТОГО Торговля'!$C$5:$C$300,'ИТОГО Торговля'!$B$5:$B$300,$B29)+SUMIFS('ИТОГО Лэндинг'!$C$5:$C$300,'ИТОГО Лэндинг'!$B$5:$B$300,$B29)+SUMIFS('История'!$C$5:$C$300,'История'!$B$5:$B$300,$B29)=0,"",SUMIFS('ИТОГО Торговля'!$C$5:$C$300,'ИТОГО Торговля'!$B$5:$B$300,$B29)+SUMIFS('ИТОГО Лэндинг'!$C$5:$C$300,'ИТОГО Лэндинг'!$B$5:$B$300,$B29)+SUMIFS('История'!$C$5:$C$300,'История'!$B$5:$B$300,$B29)))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Лэндинг'!$B$5:$B$300,$B29)+SUMIFS('История'!$E$5:$E$300,'История'!$B$5:$B$300,$B29))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Лэндинг'!$B$5:$B$300,$B29)+SUMIFS('История'!$F$5:$F$300,'История'!$B$5:$B$300,$B29)=0,"",SUMIFS('ИТОГО Торговля'!$F$5:$F$300,'ИТОГО Торговля'!$B$5:$B$300,$B29)+SUMIFS('ИТОГО Лэндинг'!$F$5:$F$300,'ИТОГО Лэндинг'!$B$5:$B$300,$B29)+SUMIFS('История'!$F$5:$F$300,'История'!$B$5:$B$300,$B29)))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Лэндинг'!$B$5:$B$300,$B29)+SUMIFS('История'!$H$5:$H$300,'История'!$B$5:$B$300,$B29))</f>
        <v/>
      </c>
      <c r="I29" s="339">
        <f>IF($B29="","",IF(AND(C29="",F29=""),"",ROUND(SUMIFS('ИТОГО Торговля'!$I$5:$I$300,'ИТОГО Торговля'!$B$5:$B$300,$B29)+SUMIFS('ИТОГО Лэндинг'!$I$5:$I$300,'ИТОГО Лэндинг'!$B$5:$B$300,$B29)+SUMIFS('История'!$I$5:$I$300,'История'!$B$5:$B$300,$B29),8)))</f>
        <v/>
      </c>
      <c r="J29" s="340">
        <f>IF($B29="","",IF(AND(C29="",F29=""),"",ROUND(SUMIFS('ИТОГО Торговля'!$J$5:$J$300,'ИТОГО Торговля'!$B$5:$B$300,$B29)+SUMIFS('ИТОГО Лэндинг'!$J$5:$J$300,'ИТОГО Лэндинг'!$B$5:$B$300,$B29)+SUMIFS('История'!$J$5:$J$300,'История'!$B$5:$B$300,$B29),8)))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Лэндинг'!$B$5:$B$300,$B29)+SUMIFS('История'!$K$5:$K$300,'История'!$B$5:$B$300,$B29),8))</f>
        <v/>
      </c>
      <c r="L29" s="177">
        <f>IF(K29="","",IF(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&lt;=0,0,ROUND(K29/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*100,2)))</f>
        <v/>
      </c>
      <c r="M29" s="343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CAKE/ETH</t>
        </is>
      </c>
      <c r="C30" s="246">
        <f>IF($B30="","",IF(SUMIFS('ИТОГО Торговля'!$C$5:$C$300,'ИТОГО Торговля'!$B$5:$B$300,$B30)+SUMIFS('ИТОГО Лэндинг'!$C$5:$C$300,'ИТОГО Лэндинг'!$B$5:$B$300,$B30)+SUMIFS('История'!$C$5:$C$300,'История'!$B$5:$B$300,$B30)=0,"",SUMIFS('ИТОГО Торговля'!$C$5:$C$300,'ИТОГО Торговля'!$B$5:$B$300,$B30)+SUMIFS('ИТОГО Лэндинг'!$C$5:$C$300,'ИТОГО Лэндинг'!$B$5:$B$300,$B30)+SUMIFS('История'!$C$5:$C$300,'История'!$B$5:$B$300,$B30)))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Лэндинг'!$B$5:$B$300,$B30)+SUMIFS('История'!$E$5:$E$300,'История'!$B$5:$B$300,$B30))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Лэндинг'!$B$5:$B$300,$B30)+SUMIFS('История'!$F$5:$F$300,'История'!$B$5:$B$300,$B30)=0,"",SUMIFS('ИТОГО Торговля'!$F$5:$F$300,'ИТОГО Торговля'!$B$5:$B$300,$B30)+SUMIFS('ИТОГО Лэндинг'!$F$5:$F$300,'ИТОГО Лэндинг'!$B$5:$B$300,$B30)+SUMIFS('История'!$F$5:$F$300,'История'!$B$5:$B$300,$B30)))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Лэндинг'!$B$5:$B$300,$B30)+SUMIFS('История'!$H$5:$H$300,'История'!$B$5:$B$300,$B30))</f>
        <v/>
      </c>
      <c r="I30" s="341">
        <f>IF($B30="","",IF(AND(C30="",F30=""),"",ROUND(SUMIFS('ИТОГО Торговля'!$I$5:$I$300,'ИТОГО Торговля'!$B$5:$B$300,$B30)+SUMIFS('ИТОГО Лэндинг'!$I$5:$I$300,'ИТОГО Лэндинг'!$B$5:$B$300,$B30)+SUMIFS('История'!$I$5:$I$300,'История'!$B$5:$B$300,$B30),8)))</f>
        <v/>
      </c>
      <c r="J30" s="342">
        <f>IF($B30="","",IF(AND(C30="",F30=""),"",ROUND(SUMIFS('ИТОГО Торговля'!$J$5:$J$300,'ИТОГО Торговля'!$B$5:$B$300,$B30)+SUMIFS('ИТОГО Лэндинг'!$J$5:$J$300,'ИТОГО Лэндинг'!$B$5:$B$300,$B30)+SUMIFS('История'!$J$5:$J$300,'История'!$B$5:$B$300,$B30),8)))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Лэндинг'!$B$5:$B$300,$B30)+SUMIFS('История'!$K$5:$K$300,'История'!$B$5:$B$300,$B30),8))</f>
        <v/>
      </c>
      <c r="L30" s="183">
        <f>IF(K30="","",IF(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&lt;=0,0,ROUND(K30/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*100,2)))</f>
        <v/>
      </c>
      <c r="M30" s="344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CAKE/USD</t>
        </is>
      </c>
      <c r="C31" s="240">
        <f>IF($B31="","",IF(SUMIFS('ИТОГО Торговля'!$C$5:$C$300,'ИТОГО Торговля'!$B$5:$B$300,$B31)+SUMIFS('ИТОГО Лэндинг'!$C$5:$C$300,'ИТОГО Лэндинг'!$B$5:$B$300,$B31)+SUMIFS('История'!$C$5:$C$300,'История'!$B$5:$B$300,$B31)=0,"",SUMIFS('ИТОГО Торговля'!$C$5:$C$300,'ИТОГО Торговля'!$B$5:$B$300,$B31)+SUMIFS('ИТОГО Лэндинг'!$C$5:$C$300,'ИТОГО Лэндинг'!$B$5:$B$300,$B31)+SUMIFS('История'!$C$5:$C$300,'История'!$B$5:$B$300,$B31)))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Лэндинг'!$B$5:$B$300,$B31)+SUMIFS('История'!$E$5:$E$300,'История'!$B$5:$B$300,$B31))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Лэндинг'!$B$5:$B$300,$B31)+SUMIFS('История'!$F$5:$F$300,'История'!$B$5:$B$300,$B31)=0,"",SUMIFS('ИТОГО Торговля'!$F$5:$F$300,'ИТОГО Торговля'!$B$5:$B$300,$B31)+SUMIFS('ИТОГО Лэндинг'!$F$5:$F$300,'ИТОГО Лэндинг'!$B$5:$B$300,$B31)+SUMIFS('История'!$F$5:$F$300,'История'!$B$5:$B$300,$B31)))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Лэндинг'!$B$5:$B$300,$B31)+SUMIFS('История'!$H$5:$H$300,'История'!$B$5:$B$300,$B31))</f>
        <v/>
      </c>
      <c r="I31" s="339">
        <f>IF($B31="","",IF(AND(C31="",F31=""),"",ROUND(SUMIFS('ИТОГО Торговля'!$I$5:$I$300,'ИТОГО Торговля'!$B$5:$B$300,$B31)+SUMIFS('ИТОГО Лэндинг'!$I$5:$I$300,'ИТОГО Лэндинг'!$B$5:$B$300,$B31)+SUMIFS('История'!$I$5:$I$300,'История'!$B$5:$B$300,$B31),8)))</f>
        <v/>
      </c>
      <c r="J31" s="340">
        <f>IF($B31="","",IF(AND(C31="",F31=""),"",ROUND(SUMIFS('ИТОГО Торговля'!$J$5:$J$300,'ИТОГО Торговля'!$B$5:$B$300,$B31)+SUMIFS('ИТОГО Лэндинг'!$J$5:$J$300,'ИТОГО Лэндинг'!$B$5:$B$300,$B31)+SUMIFS('История'!$J$5:$J$300,'История'!$B$5:$B$300,$B31),8)))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Лэндинг'!$B$5:$B$300,$B31)+SUMIFS('История'!$K$5:$K$300,'История'!$B$5:$B$300,$B31),8))</f>
        <v/>
      </c>
      <c r="L31" s="177">
        <f>IF(K31="","",IF(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&lt;=0,0,ROUND(K31/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*100,2)))</f>
        <v/>
      </c>
      <c r="M31" s="343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DASH/BTC</t>
        </is>
      </c>
      <c r="C32" s="246">
        <f>IF($B32="","",IF(SUMIFS('ИТОГО Торговля'!$C$5:$C$300,'ИТОГО Торговля'!$B$5:$B$300,$B32)+SUMIFS('ИТОГО Лэндинг'!$C$5:$C$300,'ИТОГО Лэндинг'!$B$5:$B$300,$B32)+SUMIFS('История'!$C$5:$C$300,'История'!$B$5:$B$300,$B32)=0,"",SUMIFS('ИТОГО Торговля'!$C$5:$C$300,'ИТОГО Торговля'!$B$5:$B$300,$B32)+SUMIFS('ИТОГО Лэндинг'!$C$5:$C$300,'ИТОГО Лэндинг'!$B$5:$B$300,$B32)+SUMIFS('История'!$C$5:$C$300,'История'!$B$5:$B$300,$B32)))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Лэндинг'!$B$5:$B$300,$B32)+SUMIFS('История'!$E$5:$E$300,'История'!$B$5:$B$300,$B32))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Лэндинг'!$B$5:$B$300,$B32)+SUMIFS('История'!$F$5:$F$300,'История'!$B$5:$B$300,$B32)=0,"",SUMIFS('ИТОГО Торговля'!$F$5:$F$300,'ИТОГО Торговля'!$B$5:$B$300,$B32)+SUMIFS('ИТОГО Лэндинг'!$F$5:$F$300,'ИТОГО Лэндинг'!$B$5:$B$300,$B32)+SUMIFS('История'!$F$5:$F$300,'История'!$B$5:$B$300,$B32)))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Лэндинг'!$B$5:$B$300,$B32)+SUMIFS('История'!$H$5:$H$300,'История'!$B$5:$B$300,$B32))</f>
        <v/>
      </c>
      <c r="I32" s="341">
        <f>IF($B32="","",IF(AND(C32="",F32=""),"",ROUND(SUMIFS('ИТОГО Торговля'!$I$5:$I$300,'ИТОГО Торговля'!$B$5:$B$300,$B32)+SUMIFS('ИТОГО Лэндинг'!$I$5:$I$300,'ИТОГО Лэндинг'!$B$5:$B$300,$B32)+SUMIFS('История'!$I$5:$I$300,'История'!$B$5:$B$300,$B32),8)))</f>
        <v/>
      </c>
      <c r="J32" s="342">
        <f>IF($B32="","",IF(AND(C32="",F32=""),"",ROUND(SUMIFS('ИТОГО Торговля'!$J$5:$J$300,'ИТОГО Торговля'!$B$5:$B$300,$B32)+SUMIFS('ИТОГО Лэндинг'!$J$5:$J$300,'ИТОГО Лэндинг'!$B$5:$B$300,$B32)+SUMIFS('История'!$J$5:$J$300,'История'!$B$5:$B$300,$B32),8)))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Лэндинг'!$B$5:$B$300,$B32)+SUMIFS('История'!$K$5:$K$300,'История'!$B$5:$B$300,$B32),8))</f>
        <v/>
      </c>
      <c r="L32" s="183">
        <f>IF(K32="","",IF(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&lt;=0,0,ROUND(K32/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*100,2)))</f>
        <v/>
      </c>
      <c r="M32" s="344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DASH/ETH</t>
        </is>
      </c>
      <c r="C33" s="240">
        <f>IF($B33="","",IF(SUMIFS('ИТОГО Торговля'!$C$5:$C$300,'ИТОГО Торговля'!$B$5:$B$300,$B33)+SUMIFS('ИТОГО Лэндинг'!$C$5:$C$300,'ИТОГО Лэндинг'!$B$5:$B$300,$B33)+SUMIFS('История'!$C$5:$C$300,'История'!$B$5:$B$300,$B33)=0,"",SUMIFS('ИТОГО Торговля'!$C$5:$C$300,'ИТОГО Торговля'!$B$5:$B$300,$B33)+SUMIFS('ИТОГО Лэндинг'!$C$5:$C$300,'ИТОГО Лэндинг'!$B$5:$B$300,$B33)+SUMIFS('История'!$C$5:$C$300,'История'!$B$5:$B$300,$B33)))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Лэндинг'!$B$5:$B$300,$B33)+SUMIFS('История'!$E$5:$E$300,'История'!$B$5:$B$300,$B33))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Лэндинг'!$B$5:$B$300,$B33)+SUMIFS('История'!$F$5:$F$300,'История'!$B$5:$B$300,$B33)=0,"",SUMIFS('ИТОГО Торговля'!$F$5:$F$300,'ИТОГО Торговля'!$B$5:$B$300,$B33)+SUMIFS('ИТОГО Лэндинг'!$F$5:$F$300,'ИТОГО Лэндинг'!$B$5:$B$300,$B33)+SUMIFS('История'!$F$5:$F$300,'История'!$B$5:$B$300,$B33)))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Лэндинг'!$B$5:$B$300,$B33)+SUMIFS('История'!$H$5:$H$300,'История'!$B$5:$B$300,$B33))</f>
        <v/>
      </c>
      <c r="I33" s="339">
        <f>IF($B33="","",IF(AND(C33="",F33=""),"",ROUND(SUMIFS('ИТОГО Торговля'!$I$5:$I$300,'ИТОГО Торговля'!$B$5:$B$300,$B33)+SUMIFS('ИТОГО Лэндинг'!$I$5:$I$300,'ИТОГО Лэндинг'!$B$5:$B$300,$B33)+SUMIFS('История'!$I$5:$I$300,'История'!$B$5:$B$300,$B33),8)))</f>
        <v/>
      </c>
      <c r="J33" s="340">
        <f>IF($B33="","",IF(AND(C33="",F33=""),"",ROUND(SUMIFS('ИТОГО Торговля'!$J$5:$J$300,'ИТОГО Торговля'!$B$5:$B$300,$B33)+SUMIFS('ИТОГО Лэндинг'!$J$5:$J$300,'ИТОГО Лэндинг'!$B$5:$B$300,$B33)+SUMIFS('История'!$J$5:$J$300,'История'!$B$5:$B$300,$B33),8)))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Лэндинг'!$B$5:$B$300,$B33)+SUMIFS('История'!$K$5:$K$300,'История'!$B$5:$B$300,$B33),8))</f>
        <v/>
      </c>
      <c r="L33" s="177">
        <f>IF(K33="","",IF(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&lt;=0,0,ROUND(K33/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*100,2)))</f>
        <v/>
      </c>
      <c r="M33" s="343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DASH/LTC</t>
        </is>
      </c>
      <c r="C34" s="246">
        <f>IF($B34="","",IF(SUMIFS('ИТОГО Торговля'!$C$5:$C$300,'ИТОГО Торговля'!$B$5:$B$300,$B34)+SUMIFS('ИТОГО Лэндинг'!$C$5:$C$300,'ИТОГО Лэндинг'!$B$5:$B$300,$B34)+SUMIFS('История'!$C$5:$C$300,'История'!$B$5:$B$300,$B34)=0,"",SUMIFS('ИТОГО Торговля'!$C$5:$C$300,'ИТОГО Торговля'!$B$5:$B$300,$B34)+SUMIFS('ИТОГО Лэндинг'!$C$5:$C$300,'ИТОГО Лэндинг'!$B$5:$B$300,$B34)+SUMIFS('История'!$C$5:$C$300,'История'!$B$5:$B$300,$B34)))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Лэндинг'!$B$5:$B$300,$B34)+SUMIFS('История'!$E$5:$E$300,'История'!$B$5:$B$300,$B34))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Лэндинг'!$B$5:$B$300,$B34)+SUMIFS('История'!$F$5:$F$300,'История'!$B$5:$B$300,$B34)=0,"",SUMIFS('ИТОГО Торговля'!$F$5:$F$300,'ИТОГО Торговля'!$B$5:$B$300,$B34)+SUMIFS('ИТОГО Лэндинг'!$F$5:$F$300,'ИТОГО Лэндинг'!$B$5:$B$300,$B34)+SUMIFS('История'!$F$5:$F$300,'История'!$B$5:$B$300,$B34)))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Лэндинг'!$B$5:$B$300,$B34)+SUMIFS('История'!$H$5:$H$300,'История'!$B$5:$B$300,$B34))</f>
        <v/>
      </c>
      <c r="I34" s="341">
        <f>IF($B34="","",IF(AND(C34="",F34=""),"",ROUND(SUMIFS('ИТОГО Торговля'!$I$5:$I$300,'ИТОГО Торговля'!$B$5:$B$300,$B34)+SUMIFS('ИТОГО Лэндинг'!$I$5:$I$300,'ИТОГО Лэндинг'!$B$5:$B$300,$B34)+SUMIFS('История'!$I$5:$I$300,'История'!$B$5:$B$300,$B34),8)))</f>
        <v/>
      </c>
      <c r="J34" s="342">
        <f>IF($B34="","",IF(AND(C34="",F34=""),"",ROUND(SUMIFS('ИТОГО Торговля'!$J$5:$J$300,'ИТОГО Торговля'!$B$5:$B$300,$B34)+SUMIFS('ИТОГО Лэндинг'!$J$5:$J$300,'ИТОГО Лэндинг'!$B$5:$B$300,$B34)+SUMIFS('История'!$J$5:$J$300,'История'!$B$5:$B$300,$B34),8)))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Лэндинг'!$B$5:$B$300,$B34)+SUMIFS('История'!$K$5:$K$300,'История'!$B$5:$B$300,$B34),8))</f>
        <v/>
      </c>
      <c r="L34" s="183">
        <f>IF(K34="","",IF(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&lt;=0,0,ROUND(K34/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*100,2)))</f>
        <v/>
      </c>
      <c r="M34" s="344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DASH/USD</t>
        </is>
      </c>
      <c r="C35" s="240">
        <f>IF($B35="","",IF(SUMIFS('ИТОГО Торговля'!$C$5:$C$300,'ИТОГО Торговля'!$B$5:$B$300,$B35)+SUMIFS('ИТОГО Лэндинг'!$C$5:$C$300,'ИТОГО Лэндинг'!$B$5:$B$300,$B35)+SUMIFS('История'!$C$5:$C$300,'История'!$B$5:$B$300,$B35)=0,"",SUMIFS('ИТОГО Торговля'!$C$5:$C$300,'ИТОГО Торговля'!$B$5:$B$300,$B35)+SUMIFS('ИТОГО Лэндинг'!$C$5:$C$300,'ИТОГО Лэндинг'!$B$5:$B$300,$B35)+SUMIFS('История'!$C$5:$C$300,'История'!$B$5:$B$300,$B35)))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Лэндинг'!$B$5:$B$300,$B35)+SUMIFS('История'!$E$5:$E$300,'История'!$B$5:$B$300,$B35))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Лэндинг'!$B$5:$B$300,$B35)+SUMIFS('История'!$F$5:$F$300,'История'!$B$5:$B$300,$B35)=0,"",SUMIFS('ИТОГО Торговля'!$F$5:$F$300,'ИТОГО Торговля'!$B$5:$B$300,$B35)+SUMIFS('ИТОГО Лэндинг'!$F$5:$F$300,'ИТОГО Лэндинг'!$B$5:$B$300,$B35)+SUMIFS('История'!$F$5:$F$300,'История'!$B$5:$B$300,$B35)))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Лэндинг'!$B$5:$B$300,$B35)+SUMIFS('История'!$H$5:$H$300,'История'!$B$5:$B$300,$B35))</f>
        <v/>
      </c>
      <c r="I35" s="339">
        <f>IF($B35="","",IF(AND(C35="",F35=""),"",ROUND(SUMIFS('ИТОГО Торговля'!$I$5:$I$300,'ИТОГО Торговля'!$B$5:$B$300,$B35)+SUMIFS('ИТОГО Лэндинг'!$I$5:$I$300,'ИТОГО Лэндинг'!$B$5:$B$300,$B35)+SUMIFS('История'!$I$5:$I$300,'История'!$B$5:$B$300,$B35),8)))</f>
        <v/>
      </c>
      <c r="J35" s="340">
        <f>IF($B35="","",IF(AND(C35="",F35=""),"",ROUND(SUMIFS('ИТОГО Торговля'!$J$5:$J$300,'ИТОГО Торговля'!$B$5:$B$300,$B35)+SUMIFS('ИТОГО Лэндинг'!$J$5:$J$300,'ИТОГО Лэндинг'!$B$5:$B$300,$B35)+SUMIFS('История'!$J$5:$J$300,'История'!$B$5:$B$300,$B35),8)))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Лэндинг'!$B$5:$B$300,$B35)+SUMIFS('История'!$K$5:$K$300,'История'!$B$5:$B$300,$B35),8))</f>
        <v/>
      </c>
      <c r="L35" s="177">
        <f>IF(K35="","",IF(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&lt;=0,0,ROUND(K35/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*100,2)))</f>
        <v/>
      </c>
      <c r="M35" s="343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DOGE/BTC</t>
        </is>
      </c>
      <c r="C36" s="246">
        <f>IF($B36="","",IF(SUMIFS('ИТОГО Торговля'!$C$5:$C$300,'ИТОГО Торговля'!$B$5:$B$300,$B36)+SUMIFS('ИТОГО Лэндинг'!$C$5:$C$300,'ИТОГО Лэндинг'!$B$5:$B$300,$B36)+SUMIFS('История'!$C$5:$C$300,'История'!$B$5:$B$300,$B36)=0,"",SUMIFS('ИТОГО Торговля'!$C$5:$C$300,'ИТОГО Торговля'!$B$5:$B$300,$B36)+SUMIFS('ИТОГО Лэндинг'!$C$5:$C$300,'ИТОГО Лэндинг'!$B$5:$B$300,$B36)+SUMIFS('История'!$C$5:$C$300,'История'!$B$5:$B$300,$B36)))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Лэндинг'!$B$5:$B$300,$B36)+SUMIFS('История'!$E$5:$E$300,'История'!$B$5:$B$300,$B36))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Лэндинг'!$B$5:$B$300,$B36)+SUMIFS('История'!$F$5:$F$300,'История'!$B$5:$B$300,$B36)=0,"",SUMIFS('ИТОГО Торговля'!$F$5:$F$300,'ИТОГО Торговля'!$B$5:$B$300,$B36)+SUMIFS('ИТОГО Лэндинг'!$F$5:$F$300,'ИТОГО Лэндинг'!$B$5:$B$300,$B36)+SUMIFS('История'!$F$5:$F$300,'История'!$B$5:$B$300,$B36)))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Лэндинг'!$B$5:$B$300,$B36)+SUMIFS('История'!$H$5:$H$300,'История'!$B$5:$B$300,$B36))</f>
        <v/>
      </c>
      <c r="I36" s="341">
        <f>IF($B36="","",IF(AND(C36="",F36=""),"",ROUND(SUMIFS('ИТОГО Торговля'!$I$5:$I$300,'ИТОГО Торговля'!$B$5:$B$300,$B36)+SUMIFS('ИТОГО Лэндинг'!$I$5:$I$300,'ИТОГО Лэндинг'!$B$5:$B$300,$B36)+SUMIFS('История'!$I$5:$I$300,'История'!$B$5:$B$300,$B36),8)))</f>
        <v/>
      </c>
      <c r="J36" s="342">
        <f>IF($B36="","",IF(AND(C36="",F36=""),"",ROUND(SUMIFS('ИТОГО Торговля'!$J$5:$J$300,'ИТОГО Торговля'!$B$5:$B$300,$B36)+SUMIFS('ИТОГО Лэндинг'!$J$5:$J$300,'ИТОГО Лэндинг'!$B$5:$B$300,$B36)+SUMIFS('История'!$J$5:$J$300,'История'!$B$5:$B$300,$B36),8)))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Лэндинг'!$B$5:$B$300,$B36)+SUMIFS('История'!$K$5:$K$300,'История'!$B$5:$B$300,$B36),8))</f>
        <v/>
      </c>
      <c r="L36" s="183">
        <f>IF(K36="","",IF(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&lt;=0,0,ROUND(K36/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*100,2)))</f>
        <v/>
      </c>
      <c r="M36" s="344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DOGE/USD</t>
        </is>
      </c>
      <c r="C37" s="240">
        <f>IF($B37="","",IF(SUMIFS('ИТОГО Торговля'!$C$5:$C$300,'ИТОГО Торговля'!$B$5:$B$300,$B37)+SUMIFS('ИТОГО Лэндинг'!$C$5:$C$300,'ИТОГО Лэндинг'!$B$5:$B$300,$B37)+SUMIFS('История'!$C$5:$C$300,'История'!$B$5:$B$300,$B37)=0,"",SUMIFS('ИТОГО Торговля'!$C$5:$C$300,'ИТОГО Торговля'!$B$5:$B$300,$B37)+SUMIFS('ИТОГО Лэндинг'!$C$5:$C$300,'ИТОГО Лэндинг'!$B$5:$B$300,$B37)+SUMIFS('История'!$C$5:$C$300,'История'!$B$5:$B$300,$B37)))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Лэндинг'!$B$5:$B$300,$B37)+SUMIFS('История'!$E$5:$E$300,'История'!$B$5:$B$300,$B37))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Лэндинг'!$B$5:$B$300,$B37)+SUMIFS('История'!$F$5:$F$300,'История'!$B$5:$B$300,$B37)=0,"",SUMIFS('ИТОГО Торговля'!$F$5:$F$300,'ИТОГО Торговля'!$B$5:$B$300,$B37)+SUMIFS('ИТОГО Лэндинг'!$F$5:$F$300,'ИТОГО Лэндинг'!$B$5:$B$300,$B37)+SUMIFS('История'!$F$5:$F$300,'История'!$B$5:$B$300,$B37)))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Лэндинг'!$B$5:$B$300,$B37)+SUMIFS('История'!$H$5:$H$300,'История'!$B$5:$B$300,$B37))</f>
        <v/>
      </c>
      <c r="I37" s="339">
        <f>IF($B37="","",IF(AND(C37="",F37=""),"",ROUND(SUMIFS('ИТОГО Торговля'!$I$5:$I$300,'ИТОГО Торговля'!$B$5:$B$300,$B37)+SUMIFS('ИТОГО Лэндинг'!$I$5:$I$300,'ИТОГО Лэндинг'!$B$5:$B$300,$B37)+SUMIFS('История'!$I$5:$I$300,'История'!$B$5:$B$300,$B37),8)))</f>
        <v/>
      </c>
      <c r="J37" s="340">
        <f>IF($B37="","",IF(AND(C37="",F37=""),"",ROUND(SUMIFS('ИТОГО Торговля'!$J$5:$J$300,'ИТОГО Торговля'!$B$5:$B$300,$B37)+SUMIFS('ИТОГО Лэндинг'!$J$5:$J$300,'ИТОГО Лэндинг'!$B$5:$B$300,$B37)+SUMIFS('История'!$J$5:$J$300,'История'!$B$5:$B$300,$B37),8)))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Лэндинг'!$B$5:$B$300,$B37)+SUMIFS('История'!$K$5:$K$300,'История'!$B$5:$B$300,$B37),8))</f>
        <v/>
      </c>
      <c r="L37" s="177">
        <f>IF(K37="","",IF(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&lt;=0,0,ROUND(K37/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*100,2)))</f>
        <v/>
      </c>
      <c r="M37" s="343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inlineStr">
        <is>
          <t>DOGS/USD</t>
        </is>
      </c>
      <c r="C38" s="246">
        <f>IF($B38="","",IF(SUMIFS('ИТОГО Торговля'!$C$5:$C$300,'ИТОГО Торговля'!$B$5:$B$300,$B38)+SUMIFS('ИТОГО Лэндинг'!$C$5:$C$300,'ИТОГО Лэндинг'!$B$5:$B$300,$B38)+SUMIFS('История'!$C$5:$C$300,'История'!$B$5:$B$300,$B38)=0,"",SUMIFS('ИТОГО Торговля'!$C$5:$C$300,'ИТОГО Торговля'!$B$5:$B$300,$B38)+SUMIFS('ИТОГО Лэндинг'!$C$5:$C$300,'ИТОГО Лэндинг'!$B$5:$B$300,$B38)+SUMIFS('История'!$C$5:$C$300,'История'!$B$5:$B$300,$B38)))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Лэндинг'!$B$5:$B$300,$B38)+SUMIFS('История'!$E$5:$E$300,'История'!$B$5:$B$300,$B38))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Лэндинг'!$B$5:$B$300,$B38)+SUMIFS('История'!$F$5:$F$300,'История'!$B$5:$B$300,$B38)=0,"",SUMIFS('ИТОГО Торговля'!$F$5:$F$300,'ИТОГО Торговля'!$B$5:$B$300,$B38)+SUMIFS('ИТОГО Лэндинг'!$F$5:$F$300,'ИТОГО Лэндинг'!$B$5:$B$300,$B38)+SUMIFS('История'!$F$5:$F$300,'История'!$B$5:$B$300,$B38)))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Лэндинг'!$B$5:$B$300,$B38)+SUMIFS('История'!$H$5:$H$300,'История'!$B$5:$B$300,$B38))</f>
        <v/>
      </c>
      <c r="I38" s="341">
        <f>IF($B38="","",IF(AND(C38="",F38=""),"",ROUND(SUMIFS('ИТОГО Торговля'!$I$5:$I$300,'ИТОГО Торговля'!$B$5:$B$300,$B38)+SUMIFS('ИТОГО Лэндинг'!$I$5:$I$300,'ИТОГО Лэндинг'!$B$5:$B$300,$B38)+SUMIFS('История'!$I$5:$I$300,'История'!$B$5:$B$300,$B38),8)))</f>
        <v/>
      </c>
      <c r="J38" s="342">
        <f>IF($B38="","",IF(AND(C38="",F38=""),"",ROUND(SUMIFS('ИТОГО Торговля'!$J$5:$J$300,'ИТОГО Торговля'!$B$5:$B$300,$B38)+SUMIFS('ИТОГО Лэндинг'!$J$5:$J$300,'ИТОГО Лэндинг'!$B$5:$B$300,$B38)+SUMIFS('История'!$J$5:$J$300,'История'!$B$5:$B$300,$B38),8)))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Лэндинг'!$B$5:$B$300,$B38)+SUMIFS('История'!$K$5:$K$300,'История'!$B$5:$B$300,$B38),8))</f>
        <v/>
      </c>
      <c r="L38" s="183">
        <f>IF(K38="","",IF(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&lt;=0,0,ROUND(K38/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*100,2)))</f>
        <v/>
      </c>
      <c r="M38" s="344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inlineStr">
        <is>
          <t>DOT/BTC</t>
        </is>
      </c>
      <c r="C39" s="240">
        <f>IF($B39="","",IF(SUMIFS('ИТОГО Торговля'!$C$5:$C$300,'ИТОГО Торговля'!$B$5:$B$300,$B39)+SUMIFS('ИТОГО Лэндинг'!$C$5:$C$300,'ИТОГО Лэндинг'!$B$5:$B$300,$B39)+SUMIFS('История'!$C$5:$C$300,'История'!$B$5:$B$300,$B39)=0,"",SUMIFS('ИТОГО Торговля'!$C$5:$C$300,'ИТОГО Торговля'!$B$5:$B$300,$B39)+SUMIFS('ИТОГО Лэндинг'!$C$5:$C$300,'ИТОГО Лэндинг'!$B$5:$B$300,$B39)+SUMIFS('История'!$C$5:$C$300,'История'!$B$5:$B$300,$B39)))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Лэндинг'!$B$5:$B$300,$B39)+SUMIFS('История'!$E$5:$E$300,'История'!$B$5:$B$300,$B39))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Лэндинг'!$B$5:$B$300,$B39)+SUMIFS('История'!$F$5:$F$300,'История'!$B$5:$B$300,$B39)=0,"",SUMIFS('ИТОГО Торговля'!$F$5:$F$300,'ИТОГО Торговля'!$B$5:$B$300,$B39)+SUMIFS('ИТОГО Лэндинг'!$F$5:$F$300,'ИТОГО Лэндинг'!$B$5:$B$300,$B39)+SUMIFS('История'!$F$5:$F$300,'История'!$B$5:$B$300,$B39)))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Лэндинг'!$B$5:$B$300,$B39)+SUMIFS('История'!$H$5:$H$300,'История'!$B$5:$B$300,$B39))</f>
        <v/>
      </c>
      <c r="I39" s="339">
        <f>IF($B39="","",IF(AND(C39="",F39=""),"",ROUND(SUMIFS('ИТОГО Торговля'!$I$5:$I$300,'ИТОГО Торговля'!$B$5:$B$300,$B39)+SUMIFS('ИТОГО Лэндинг'!$I$5:$I$300,'ИТОГО Лэндинг'!$B$5:$B$300,$B39)+SUMIFS('История'!$I$5:$I$300,'История'!$B$5:$B$300,$B39),8)))</f>
        <v/>
      </c>
      <c r="J39" s="340">
        <f>IF($B39="","",IF(AND(C39="",F39=""),"",ROUND(SUMIFS('ИТОГО Торговля'!$J$5:$J$300,'ИТОГО Торговля'!$B$5:$B$300,$B39)+SUMIFS('ИТОГО Лэндинг'!$J$5:$J$300,'ИТОГО Лэндинг'!$B$5:$B$300,$B39)+SUMIFS('История'!$J$5:$J$300,'История'!$B$5:$B$300,$B39),8)))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Лэндинг'!$B$5:$B$300,$B39)+SUMIFS('История'!$K$5:$K$300,'История'!$B$5:$B$300,$B39),8))</f>
        <v/>
      </c>
      <c r="L39" s="177">
        <f>IF(K39="","",IF(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&lt;=0,0,ROUND(K39/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*100,2)))</f>
        <v/>
      </c>
      <c r="M39" s="343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inlineStr">
        <is>
          <t>DOT/USD</t>
        </is>
      </c>
      <c r="C40" s="246">
        <f>IF($B40="","",IF(SUMIFS('ИТОГО Торговля'!$C$5:$C$300,'ИТОГО Торговля'!$B$5:$B$300,$B40)+SUMIFS('ИТОГО Лэндинг'!$C$5:$C$300,'ИТОГО Лэндинг'!$B$5:$B$300,$B40)+SUMIFS('История'!$C$5:$C$300,'История'!$B$5:$B$300,$B40)=0,"",SUMIFS('ИТОГО Торговля'!$C$5:$C$300,'ИТОГО Торговля'!$B$5:$B$300,$B40)+SUMIFS('ИТОГО Лэндинг'!$C$5:$C$300,'ИТОГО Лэндинг'!$B$5:$B$300,$B40)+SUMIFS('История'!$C$5:$C$300,'История'!$B$5:$B$300,$B40)))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Лэндинг'!$B$5:$B$300,$B40)+SUMIFS('История'!$E$5:$E$300,'История'!$B$5:$B$300,$B40))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Лэндинг'!$B$5:$B$300,$B40)+SUMIFS('История'!$F$5:$F$300,'История'!$B$5:$B$300,$B40)=0,"",SUMIFS('ИТОГО Торговля'!$F$5:$F$300,'ИТОГО Торговля'!$B$5:$B$300,$B40)+SUMIFS('ИТОГО Лэндинг'!$F$5:$F$300,'ИТОГО Лэндинг'!$B$5:$B$300,$B40)+SUMIFS('История'!$F$5:$F$300,'История'!$B$5:$B$300,$B40)))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Лэндинг'!$B$5:$B$300,$B40)+SUMIFS('История'!$H$5:$H$300,'История'!$B$5:$B$300,$B40))</f>
        <v/>
      </c>
      <c r="I40" s="341">
        <f>IF($B40="","",IF(AND(C40="",F40=""),"",ROUND(SUMIFS('ИТОГО Торговля'!$I$5:$I$300,'ИТОГО Торговля'!$B$5:$B$300,$B40)+SUMIFS('ИТОГО Лэндинг'!$I$5:$I$300,'ИТОГО Лэндинг'!$B$5:$B$300,$B40)+SUMIFS('История'!$I$5:$I$300,'История'!$B$5:$B$300,$B40),8)))</f>
        <v/>
      </c>
      <c r="J40" s="342">
        <f>IF($B40="","",IF(AND(C40="",F40=""),"",ROUND(SUMIFS('ИТОГО Торговля'!$J$5:$J$300,'ИТОГО Торговля'!$B$5:$B$300,$B40)+SUMIFS('ИТОГО Лэндинг'!$J$5:$J$300,'ИТОГО Лэндинг'!$B$5:$B$300,$B40)+SUMIFS('История'!$J$5:$J$300,'История'!$B$5:$B$300,$B40),8)))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Лэндинг'!$B$5:$B$300,$B40)+SUMIFS('История'!$K$5:$K$300,'История'!$B$5:$B$300,$B40),8))</f>
        <v/>
      </c>
      <c r="L40" s="183">
        <f>IF(K40="","",IF(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&lt;=0,0,ROUND(K40/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*100,2)))</f>
        <v/>
      </c>
      <c r="M40" s="344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inlineStr">
        <is>
          <t>DYDX/USD</t>
        </is>
      </c>
      <c r="C41" s="240">
        <f>IF($B41="","",IF(SUMIFS('ИТОГО Торговля'!$C$5:$C$300,'ИТОГО Торговля'!$B$5:$B$300,$B41)+SUMIFS('ИТОГО Лэндинг'!$C$5:$C$300,'ИТОГО Лэндинг'!$B$5:$B$300,$B41)+SUMIFS('История'!$C$5:$C$300,'История'!$B$5:$B$300,$B41)=0,"",SUMIFS('ИТОГО Торговля'!$C$5:$C$300,'ИТОГО Торговля'!$B$5:$B$300,$B41)+SUMIFS('ИТОГО Лэндинг'!$C$5:$C$300,'ИТОГО Лэндинг'!$B$5:$B$300,$B41)+SUMIFS('История'!$C$5:$C$300,'История'!$B$5:$B$300,$B41)))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Лэндинг'!$B$5:$B$300,$B41)+SUMIFS('История'!$E$5:$E$300,'История'!$B$5:$B$300,$B41))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Лэндинг'!$B$5:$B$300,$B41)+SUMIFS('История'!$F$5:$F$300,'История'!$B$5:$B$300,$B41)=0,"",SUMIFS('ИТОГО Торговля'!$F$5:$F$300,'ИТОГО Торговля'!$B$5:$B$300,$B41)+SUMIFS('ИТОГО Лэндинг'!$F$5:$F$300,'ИТОГО Лэндинг'!$B$5:$B$300,$B41)+SUMIFS('История'!$F$5:$F$300,'История'!$B$5:$B$300,$B41)))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Лэндинг'!$B$5:$B$300,$B41)+SUMIFS('История'!$H$5:$H$300,'История'!$B$5:$B$300,$B41))</f>
        <v/>
      </c>
      <c r="I41" s="339">
        <f>IF($B41="","",IF(AND(C41="",F41=""),"",ROUND(SUMIFS('ИТОГО Торговля'!$I$5:$I$300,'ИТОГО Торговля'!$B$5:$B$300,$B41)+SUMIFS('ИТОГО Лэндинг'!$I$5:$I$300,'ИТОГО Лэндинг'!$B$5:$B$300,$B41)+SUMIFS('История'!$I$5:$I$300,'История'!$B$5:$B$300,$B41),8)))</f>
        <v/>
      </c>
      <c r="J41" s="340">
        <f>IF($B41="","",IF(AND(C41="",F41=""),"",ROUND(SUMIFS('ИТОГО Торговля'!$J$5:$J$300,'ИТОГО Торговля'!$B$5:$B$300,$B41)+SUMIFS('ИТОГО Лэндинг'!$J$5:$J$300,'ИТОГО Лэндинг'!$B$5:$B$300,$B41)+SUMIFS('История'!$J$5:$J$300,'История'!$B$5:$B$300,$B41),8)))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Лэндинг'!$B$5:$B$300,$B41)+SUMIFS('История'!$K$5:$K$300,'История'!$B$5:$B$300,$B41),8))</f>
        <v/>
      </c>
      <c r="L41" s="177">
        <f>IF(K41="","",IF(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&lt;=0,0,ROUND(K41/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*100,2)))</f>
        <v/>
      </c>
      <c r="M41" s="343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inlineStr">
        <is>
          <t>EGLD/USD</t>
        </is>
      </c>
      <c r="C42" s="246">
        <f>IF($B42="","",IF(SUMIFS('ИТОГО Торговля'!$C$5:$C$300,'ИТОГО Торговля'!$B$5:$B$300,$B42)+SUMIFS('ИТОГО Лэндинг'!$C$5:$C$300,'ИТОГО Лэндинг'!$B$5:$B$300,$B42)+SUMIFS('История'!$C$5:$C$300,'История'!$B$5:$B$300,$B42)=0,"",SUMIFS('ИТОГО Торговля'!$C$5:$C$300,'ИТОГО Торговля'!$B$5:$B$300,$B42)+SUMIFS('ИТОГО Лэндинг'!$C$5:$C$300,'ИТОГО Лэндинг'!$B$5:$B$300,$B42)+SUMIFS('История'!$C$5:$C$300,'История'!$B$5:$B$300,$B42)))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Лэндинг'!$B$5:$B$300,$B42)+SUMIFS('История'!$E$5:$E$300,'История'!$B$5:$B$300,$B42))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Лэндинг'!$B$5:$B$300,$B42)+SUMIFS('История'!$F$5:$F$300,'История'!$B$5:$B$300,$B42)=0,"",SUMIFS('ИТОГО Торговля'!$F$5:$F$300,'ИТОГО Торговля'!$B$5:$B$300,$B42)+SUMIFS('ИТОГО Лэндинг'!$F$5:$F$300,'ИТОГО Лэндинг'!$B$5:$B$300,$B42)+SUMIFS('История'!$F$5:$F$300,'История'!$B$5:$B$300,$B42)))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Лэндинг'!$B$5:$B$300,$B42)+SUMIFS('История'!$H$5:$H$300,'История'!$B$5:$B$300,$B42))</f>
        <v/>
      </c>
      <c r="I42" s="341">
        <f>IF($B42="","",IF(AND(C42="",F42=""),"",ROUND(SUMIFS('ИТОГО Торговля'!$I$5:$I$300,'ИТОГО Торговля'!$B$5:$B$300,$B42)+SUMIFS('ИТОГО Лэндинг'!$I$5:$I$300,'ИТОГО Лэндинг'!$B$5:$B$300,$B42)+SUMIFS('История'!$I$5:$I$300,'История'!$B$5:$B$300,$B42),8)))</f>
        <v/>
      </c>
      <c r="J42" s="342">
        <f>IF($B42="","",IF(AND(C42="",F42=""),"",ROUND(SUMIFS('ИТОГО Торговля'!$J$5:$J$300,'ИТОГО Торговля'!$B$5:$B$300,$B42)+SUMIFS('ИТОГО Лэндинг'!$J$5:$J$300,'ИТОГО Лэндинг'!$B$5:$B$300,$B42)+SUMIFS('История'!$J$5:$J$300,'История'!$B$5:$B$300,$B42),8)))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Лэндинг'!$B$5:$B$300,$B42)+SUMIFS('История'!$K$5:$K$300,'История'!$B$5:$B$300,$B42),8))</f>
        <v/>
      </c>
      <c r="L42" s="183">
        <f>IF(K42="","",IF(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&lt;=0,0,ROUND(K42/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*100,2)))</f>
        <v/>
      </c>
      <c r="M42" s="344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inlineStr">
        <is>
          <t>ELIZA/SOL</t>
        </is>
      </c>
      <c r="C43" s="240">
        <f>IF($B43="","",IF(SUMIFS('ИТОГО Торговля'!$C$5:$C$300,'ИТОГО Торговля'!$B$5:$B$300,$B43)+SUMIFS('ИТОГО Лэндинг'!$C$5:$C$300,'ИТОГО Лэндинг'!$B$5:$B$300,$B43)+SUMIFS('История'!$C$5:$C$300,'История'!$B$5:$B$300,$B43)=0,"",SUMIFS('ИТОГО Торговля'!$C$5:$C$300,'ИТОГО Торговля'!$B$5:$B$300,$B43)+SUMIFS('ИТОГО Лэндинг'!$C$5:$C$300,'ИТОГО Лэндинг'!$B$5:$B$300,$B43)+SUMIFS('История'!$C$5:$C$300,'История'!$B$5:$B$300,$B43)))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Лэндинг'!$B$5:$B$300,$B43)+SUMIFS('История'!$E$5:$E$300,'История'!$B$5:$B$300,$B43))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Лэндинг'!$B$5:$B$300,$B43)+SUMIFS('История'!$F$5:$F$300,'История'!$B$5:$B$300,$B43)=0,"",SUMIFS('ИТОГО Торговля'!$F$5:$F$300,'ИТОГО Торговля'!$B$5:$B$300,$B43)+SUMIFS('ИТОГО Лэндинг'!$F$5:$F$300,'ИТОГО Лэндинг'!$B$5:$B$300,$B43)+SUMIFS('История'!$F$5:$F$300,'История'!$B$5:$B$300,$B43)))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Лэндинг'!$B$5:$B$300,$B43)+SUMIFS('История'!$H$5:$H$300,'История'!$B$5:$B$300,$B43))</f>
        <v/>
      </c>
      <c r="I43" s="339">
        <f>IF($B43="","",IF(AND(C43="",F43=""),"",ROUND(SUMIFS('ИТОГО Торговля'!$I$5:$I$300,'ИТОГО Торговля'!$B$5:$B$300,$B43)+SUMIFS('ИТОГО Лэндинг'!$I$5:$I$300,'ИТОГО Лэндинг'!$B$5:$B$300,$B43)+SUMIFS('История'!$I$5:$I$300,'История'!$B$5:$B$300,$B43),8)))</f>
        <v/>
      </c>
      <c r="J43" s="340">
        <f>IF($B43="","",IF(AND(C43="",F43=""),"",ROUND(SUMIFS('ИТОГО Торговля'!$J$5:$J$300,'ИТОГО Торговля'!$B$5:$B$300,$B43)+SUMIFS('ИТОГО Лэндинг'!$J$5:$J$300,'ИТОГО Лэндинг'!$B$5:$B$300,$B43)+SUMIFS('История'!$J$5:$J$300,'История'!$B$5:$B$300,$B43),8)))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Лэндинг'!$B$5:$B$300,$B43)+SUMIFS('История'!$K$5:$K$300,'История'!$B$5:$B$300,$B43),8))</f>
        <v/>
      </c>
      <c r="L43" s="177">
        <f>IF(K43="","",IF(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&lt;=0,0,ROUND(K43/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*100,2)))</f>
        <v/>
      </c>
      <c r="M43" s="343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inlineStr">
        <is>
          <t>ELIZAOS/USD</t>
        </is>
      </c>
      <c r="C44" s="246">
        <f>IF($B44="","",IF(SUMIFS('ИТОГО Торговля'!$C$5:$C$300,'ИТОГО Торговля'!$B$5:$B$300,$B44)+SUMIFS('ИТОГО Лэндинг'!$C$5:$C$300,'ИТОГО Лэндинг'!$B$5:$B$300,$B44)+SUMIFS('История'!$C$5:$C$300,'История'!$B$5:$B$300,$B44)=0,"",SUMIFS('ИТОГО Торговля'!$C$5:$C$300,'ИТОГО Торговля'!$B$5:$B$300,$B44)+SUMIFS('ИТОГО Лэндинг'!$C$5:$C$300,'ИТОГО Лэндинг'!$B$5:$B$300,$B44)+SUMIFS('История'!$C$5:$C$300,'История'!$B$5:$B$300,$B44)))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Лэндинг'!$B$5:$B$300,$B44)+SUMIFS('История'!$E$5:$E$300,'История'!$B$5:$B$300,$B44))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Лэндинг'!$B$5:$B$300,$B44)+SUMIFS('История'!$F$5:$F$300,'История'!$B$5:$B$300,$B44)=0,"",SUMIFS('ИТОГО Торговля'!$F$5:$F$300,'ИТОГО Торговля'!$B$5:$B$300,$B44)+SUMIFS('ИТОГО Лэндинг'!$F$5:$F$300,'ИТОГО Лэндинг'!$B$5:$B$300,$B44)+SUMIFS('История'!$F$5:$F$300,'История'!$B$5:$B$300,$B44)))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Лэндинг'!$B$5:$B$300,$B44)+SUMIFS('История'!$H$5:$H$300,'История'!$B$5:$B$300,$B44))</f>
        <v/>
      </c>
      <c r="I44" s="341">
        <f>IF($B44="","",IF(AND(C44="",F44=""),"",ROUND(SUMIFS('ИТОГО Торговля'!$I$5:$I$300,'ИТОГО Торговля'!$B$5:$B$300,$B44)+SUMIFS('ИТОГО Лэндинг'!$I$5:$I$300,'ИТОГО Лэндинг'!$B$5:$B$300,$B44)+SUMIFS('История'!$I$5:$I$300,'История'!$B$5:$B$300,$B44),8)))</f>
        <v/>
      </c>
      <c r="J44" s="342">
        <f>IF($B44="","",IF(AND(C44="",F44=""),"",ROUND(SUMIFS('ИТОГО Торговля'!$J$5:$J$300,'ИТОГО Торговля'!$B$5:$B$300,$B44)+SUMIFS('ИТОГО Лэндинг'!$J$5:$J$300,'ИТОГО Лэндинг'!$B$5:$B$300,$B44)+SUMIFS('История'!$J$5:$J$300,'История'!$B$5:$B$300,$B44),8)))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Лэндинг'!$B$5:$B$300,$B44)+SUMIFS('История'!$K$5:$K$300,'История'!$B$5:$B$300,$B44),8))</f>
        <v/>
      </c>
      <c r="L44" s="183">
        <f>IF(K44="","",IF(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&lt;=0,0,ROUND(K44/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*100,2)))</f>
        <v/>
      </c>
      <c r="M44" s="344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inlineStr">
        <is>
          <t>EOS/BTC</t>
        </is>
      </c>
      <c r="C45" s="240">
        <f>IF($B45="","",IF(SUMIFS('ИТОГО Торговля'!$C$5:$C$300,'ИТОГО Торговля'!$B$5:$B$300,$B45)+SUMIFS('ИТОГО Лэндинг'!$C$5:$C$300,'ИТОГО Лэндинг'!$B$5:$B$300,$B45)+SUMIFS('История'!$C$5:$C$300,'История'!$B$5:$B$300,$B45)=0,"",SUMIFS('ИТОГО Торговля'!$C$5:$C$300,'ИТОГО Торговля'!$B$5:$B$300,$B45)+SUMIFS('ИТОГО Лэндинг'!$C$5:$C$300,'ИТОГО Лэндинг'!$B$5:$B$300,$B45)+SUMIFS('История'!$C$5:$C$300,'История'!$B$5:$B$300,$B45)))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Лэндинг'!$B$5:$B$300,$B45)+SUMIFS('История'!$E$5:$E$300,'История'!$B$5:$B$300,$B45))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Лэндинг'!$B$5:$B$300,$B45)+SUMIFS('История'!$F$5:$F$300,'История'!$B$5:$B$300,$B45)=0,"",SUMIFS('ИТОГО Торговля'!$F$5:$F$300,'ИТОГО Торговля'!$B$5:$B$300,$B45)+SUMIFS('ИТОГО Лэндинг'!$F$5:$F$300,'ИТОГО Лэндинг'!$B$5:$B$300,$B45)+SUMIFS('История'!$F$5:$F$300,'История'!$B$5:$B$300,$B45)))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Лэндинг'!$B$5:$B$300,$B45)+SUMIFS('История'!$H$5:$H$300,'История'!$B$5:$B$300,$B45))</f>
        <v/>
      </c>
      <c r="I45" s="339">
        <f>IF($B45="","",IF(AND(C45="",F45=""),"",ROUND(SUMIFS('ИТОГО Торговля'!$I$5:$I$300,'ИТОГО Торговля'!$B$5:$B$300,$B45)+SUMIFS('ИТОГО Лэндинг'!$I$5:$I$300,'ИТОГО Лэндинг'!$B$5:$B$300,$B45)+SUMIFS('История'!$I$5:$I$300,'История'!$B$5:$B$300,$B45),8)))</f>
        <v/>
      </c>
      <c r="J45" s="340">
        <f>IF($B45="","",IF(AND(C45="",F45=""),"",ROUND(SUMIFS('ИТОГО Торговля'!$J$5:$J$300,'ИТОГО Торговля'!$B$5:$B$300,$B45)+SUMIFS('ИТОГО Лэндинг'!$J$5:$J$300,'ИТОГО Лэндинг'!$B$5:$B$300,$B45)+SUMIFS('История'!$J$5:$J$300,'История'!$B$5:$B$300,$B45),8)))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Лэндинг'!$B$5:$B$300,$B45)+SUMIFS('История'!$K$5:$K$300,'История'!$B$5:$B$300,$B45),8))</f>
        <v/>
      </c>
      <c r="L45" s="177">
        <f>IF(K45="","",IF(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&lt;=0,0,ROUND(K45/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*100,2)))</f>
        <v/>
      </c>
      <c r="M45" s="343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inlineStr">
        <is>
          <t>EOS/ETH</t>
        </is>
      </c>
      <c r="C46" s="246">
        <f>IF($B46="","",IF(SUMIFS('ИТОГО Торговля'!$C$5:$C$300,'ИТОГО Торговля'!$B$5:$B$300,$B46)+SUMIFS('ИТОГО Лэндинг'!$C$5:$C$300,'ИТОГО Лэндинг'!$B$5:$B$300,$B46)+SUMIFS('История'!$C$5:$C$300,'История'!$B$5:$B$300,$B46)=0,"",SUMIFS('ИТОГО Торговля'!$C$5:$C$300,'ИТОГО Торговля'!$B$5:$B$300,$B46)+SUMIFS('ИТОГО Лэндинг'!$C$5:$C$300,'ИТОГО Лэндинг'!$B$5:$B$300,$B46)+SUMIFS('История'!$C$5:$C$300,'История'!$B$5:$B$300,$B46)))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Лэндинг'!$B$5:$B$300,$B46)+SUMIFS('История'!$E$5:$E$300,'История'!$B$5:$B$300,$B46))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Лэндинг'!$B$5:$B$300,$B46)+SUMIFS('История'!$F$5:$F$300,'История'!$B$5:$B$300,$B46)=0,"",SUMIFS('ИТОГО Торговля'!$F$5:$F$300,'ИТОГО Торговля'!$B$5:$B$300,$B46)+SUMIFS('ИТОГО Лэндинг'!$F$5:$F$300,'ИТОГО Лэндинг'!$B$5:$B$300,$B46)+SUMIFS('История'!$F$5:$F$300,'История'!$B$5:$B$300,$B46)))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Лэндинг'!$B$5:$B$300,$B46)+SUMIFS('История'!$H$5:$H$300,'История'!$B$5:$B$300,$B46))</f>
        <v/>
      </c>
      <c r="I46" s="341">
        <f>IF($B46="","",IF(AND(C46="",F46=""),"",ROUND(SUMIFS('ИТОГО Торговля'!$I$5:$I$300,'ИТОГО Торговля'!$B$5:$B$300,$B46)+SUMIFS('ИТОГО Лэндинг'!$I$5:$I$300,'ИТОГО Лэндинг'!$B$5:$B$300,$B46)+SUMIFS('История'!$I$5:$I$300,'История'!$B$5:$B$300,$B46),8)))</f>
        <v/>
      </c>
      <c r="J46" s="342">
        <f>IF($B46="","",IF(AND(C46="",F46=""),"",ROUND(SUMIFS('ИТОГО Торговля'!$J$5:$J$300,'ИТОГО Торговля'!$B$5:$B$300,$B46)+SUMIFS('ИТОГО Лэндинг'!$J$5:$J$300,'ИТОГО Лэндинг'!$B$5:$B$300,$B46)+SUMIFS('История'!$J$5:$J$300,'История'!$B$5:$B$300,$B46),8)))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Лэндинг'!$B$5:$B$300,$B46)+SUMIFS('История'!$K$5:$K$300,'История'!$B$5:$B$300,$B46),8))</f>
        <v/>
      </c>
      <c r="L46" s="183">
        <f>IF(K46="","",IF(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&lt;=0,0,ROUND(K46/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*100,2)))</f>
        <v/>
      </c>
      <c r="M46" s="344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inlineStr">
        <is>
          <t>EOS/USD</t>
        </is>
      </c>
      <c r="C47" s="240">
        <f>IF($B47="","",IF(SUMIFS('ИТОГО Торговля'!$C$5:$C$300,'ИТОГО Торговля'!$B$5:$B$300,$B47)+SUMIFS('ИТОГО Лэндинг'!$C$5:$C$300,'ИТОГО Лэндинг'!$B$5:$B$300,$B47)+SUMIFS('История'!$C$5:$C$300,'История'!$B$5:$B$300,$B47)=0,"",SUMIFS('ИТОГО Торговля'!$C$5:$C$300,'ИТОГО Торговля'!$B$5:$B$300,$B47)+SUMIFS('ИТОГО Лэндинг'!$C$5:$C$300,'ИТОГО Лэндинг'!$B$5:$B$300,$B47)+SUMIFS('История'!$C$5:$C$300,'История'!$B$5:$B$300,$B47)))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Лэндинг'!$B$5:$B$300,$B47)+SUMIFS('История'!$E$5:$E$300,'История'!$B$5:$B$300,$B47))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Лэндинг'!$B$5:$B$300,$B47)+SUMIFS('История'!$F$5:$F$300,'История'!$B$5:$B$300,$B47)=0,"",SUMIFS('ИТОГО Торговля'!$F$5:$F$300,'ИТОГО Торговля'!$B$5:$B$300,$B47)+SUMIFS('ИТОГО Лэндинг'!$F$5:$F$300,'ИТОГО Лэндинг'!$B$5:$B$300,$B47)+SUMIFS('История'!$F$5:$F$300,'История'!$B$5:$B$300,$B47)))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Лэндинг'!$B$5:$B$300,$B47)+SUMIFS('История'!$H$5:$H$300,'История'!$B$5:$B$300,$B47))</f>
        <v/>
      </c>
      <c r="I47" s="339">
        <f>IF($B47="","",IF(AND(C47="",F47=""),"",ROUND(SUMIFS('ИТОГО Торговля'!$I$5:$I$300,'ИТОГО Торговля'!$B$5:$B$300,$B47)+SUMIFS('ИТОГО Лэндинг'!$I$5:$I$300,'ИТОГО Лэндинг'!$B$5:$B$300,$B47)+SUMIFS('История'!$I$5:$I$300,'История'!$B$5:$B$300,$B47),8)))</f>
        <v/>
      </c>
      <c r="J47" s="340">
        <f>IF($B47="","",IF(AND(C47="",F47=""),"",ROUND(SUMIFS('ИТОГО Торговля'!$J$5:$J$300,'ИТОГО Торговля'!$B$5:$B$300,$B47)+SUMIFS('ИТОГО Лэндинг'!$J$5:$J$300,'ИТОГО Лэндинг'!$B$5:$B$300,$B47)+SUMIFS('История'!$J$5:$J$300,'История'!$B$5:$B$300,$B47),8)))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Лэндинг'!$B$5:$B$300,$B47)+SUMIFS('История'!$K$5:$K$300,'История'!$B$5:$B$300,$B47),8))</f>
        <v/>
      </c>
      <c r="L47" s="177">
        <f>IF(K47="","",IF(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&lt;=0,0,ROUND(K47/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*100,2)))</f>
        <v/>
      </c>
      <c r="M47" s="343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inlineStr">
        <is>
          <t>ETC/BNB</t>
        </is>
      </c>
      <c r="C48" s="246">
        <f>IF($B48="","",IF(SUMIFS('ИТОГО Торговля'!$C$5:$C$300,'ИТОГО Торговля'!$B$5:$B$300,$B48)+SUMIFS('ИТОГО Лэндинг'!$C$5:$C$300,'ИТОГО Лэндинг'!$B$5:$B$300,$B48)+SUMIFS('История'!$C$5:$C$300,'История'!$B$5:$B$300,$B48)=0,"",SUMIFS('ИТОГО Торговля'!$C$5:$C$300,'ИТОГО Торговля'!$B$5:$B$300,$B48)+SUMIFS('ИТОГО Лэндинг'!$C$5:$C$300,'ИТОГО Лэндинг'!$B$5:$B$300,$B48)+SUMIFS('История'!$C$5:$C$300,'История'!$B$5:$B$300,$B48)))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Лэндинг'!$B$5:$B$300,$B48)+SUMIFS('История'!$E$5:$E$300,'История'!$B$5:$B$300,$B48))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Лэндинг'!$B$5:$B$300,$B48)+SUMIFS('История'!$F$5:$F$300,'История'!$B$5:$B$300,$B48)=0,"",SUMIFS('ИТОГО Торговля'!$F$5:$F$300,'ИТОГО Торговля'!$B$5:$B$300,$B48)+SUMIFS('ИТОГО Лэндинг'!$F$5:$F$300,'ИТОГО Лэндинг'!$B$5:$B$300,$B48)+SUMIFS('История'!$F$5:$F$300,'История'!$B$5:$B$300,$B48)))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Лэндинг'!$B$5:$B$300,$B48)+SUMIFS('История'!$H$5:$H$300,'История'!$B$5:$B$300,$B48))</f>
        <v/>
      </c>
      <c r="I48" s="341">
        <f>IF($B48="","",IF(AND(C48="",F48=""),"",ROUND(SUMIFS('ИТОГО Торговля'!$I$5:$I$300,'ИТОГО Торговля'!$B$5:$B$300,$B48)+SUMIFS('ИТОГО Лэндинг'!$I$5:$I$300,'ИТОГО Лэндинг'!$B$5:$B$300,$B48)+SUMIFS('История'!$I$5:$I$300,'История'!$B$5:$B$300,$B48),8)))</f>
        <v/>
      </c>
      <c r="J48" s="342">
        <f>IF($B48="","",IF(AND(C48="",F48=""),"",ROUND(SUMIFS('ИТОГО Торговля'!$J$5:$J$300,'ИТОГО Торговля'!$B$5:$B$300,$B48)+SUMIFS('ИТОГО Лэндинг'!$J$5:$J$300,'ИТОГО Лэндинг'!$B$5:$B$300,$B48)+SUMIFS('История'!$J$5:$J$300,'История'!$B$5:$B$300,$B48),8)))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Лэндинг'!$B$5:$B$300,$B48)+SUMIFS('История'!$K$5:$K$300,'История'!$B$5:$B$300,$B48),8))</f>
        <v/>
      </c>
      <c r="L48" s="183">
        <f>IF(K48="","",IF(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&lt;=0,0,ROUND(K48/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*100,2)))</f>
        <v/>
      </c>
      <c r="M48" s="344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inlineStr">
        <is>
          <t>ETC/BTC</t>
        </is>
      </c>
      <c r="C49" s="240">
        <f>IF($B49="","",IF(SUMIFS('ИТОГО Торговля'!$C$5:$C$300,'ИТОГО Торговля'!$B$5:$B$300,$B49)+SUMIFS('ИТОГО Лэндинг'!$C$5:$C$300,'ИТОГО Лэндинг'!$B$5:$B$300,$B49)+SUMIFS('История'!$C$5:$C$300,'История'!$B$5:$B$300,$B49)=0,"",SUMIFS('ИТОГО Торговля'!$C$5:$C$300,'ИТОГО Торговля'!$B$5:$B$300,$B49)+SUMIFS('ИТОГО Лэндинг'!$C$5:$C$300,'ИТОГО Лэндинг'!$B$5:$B$300,$B49)+SUMIFS('История'!$C$5:$C$300,'История'!$B$5:$B$300,$B49)))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Лэндинг'!$B$5:$B$300,$B49)+SUMIFS('История'!$E$5:$E$300,'История'!$B$5:$B$300,$B49))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Лэндинг'!$B$5:$B$300,$B49)+SUMIFS('История'!$F$5:$F$300,'История'!$B$5:$B$300,$B49)=0,"",SUMIFS('ИТОГО Торговля'!$F$5:$F$300,'ИТОГО Торговля'!$B$5:$B$300,$B49)+SUMIFS('ИТОГО Лэндинг'!$F$5:$F$300,'ИТОГО Лэндинг'!$B$5:$B$300,$B49)+SUMIFS('История'!$F$5:$F$300,'История'!$B$5:$B$300,$B49)))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Лэндинг'!$B$5:$B$300,$B49)+SUMIFS('История'!$H$5:$H$300,'История'!$B$5:$B$300,$B49))</f>
        <v/>
      </c>
      <c r="I49" s="339">
        <f>IF($B49="","",IF(AND(C49="",F49=""),"",ROUND(SUMIFS('ИТОГО Торговля'!$I$5:$I$300,'ИТОГО Торговля'!$B$5:$B$300,$B49)+SUMIFS('ИТОГО Лэндинг'!$I$5:$I$300,'ИТОГО Лэндинг'!$B$5:$B$300,$B49)+SUMIFS('История'!$I$5:$I$300,'История'!$B$5:$B$300,$B49),8)))</f>
        <v/>
      </c>
      <c r="J49" s="340">
        <f>IF($B49="","",IF(AND(C49="",F49=""),"",ROUND(SUMIFS('ИТОГО Торговля'!$J$5:$J$300,'ИТОГО Торговля'!$B$5:$B$300,$B49)+SUMIFS('ИТОГО Лэндинг'!$J$5:$J$300,'ИТОГО Лэндинг'!$B$5:$B$300,$B49)+SUMIFS('История'!$J$5:$J$300,'История'!$B$5:$B$300,$B49),8)))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Лэндинг'!$B$5:$B$300,$B49)+SUMIFS('История'!$K$5:$K$300,'История'!$B$5:$B$300,$B49),8))</f>
        <v/>
      </c>
      <c r="L49" s="177">
        <f>IF(K49="","",IF(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&lt;=0,0,ROUND(K49/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*100,2)))</f>
        <v/>
      </c>
      <c r="M49" s="343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inlineStr">
        <is>
          <t>ETC/ETH</t>
        </is>
      </c>
      <c r="C50" s="246">
        <f>IF($B50="","",IF(SUMIFS('ИТОГО Торговля'!$C$5:$C$300,'ИТОГО Торговля'!$B$5:$B$300,$B50)+SUMIFS('ИТОГО Лэндинг'!$C$5:$C$300,'ИТОГО Лэндинг'!$B$5:$B$300,$B50)+SUMIFS('История'!$C$5:$C$300,'История'!$B$5:$B$300,$B50)=0,"",SUMIFS('ИТОГО Торговля'!$C$5:$C$300,'ИТОГО Торговля'!$B$5:$B$300,$B50)+SUMIFS('ИТОГО Лэндинг'!$C$5:$C$300,'ИТОГО Лэндинг'!$B$5:$B$300,$B50)+SUMIFS('История'!$C$5:$C$300,'История'!$B$5:$B$300,$B50)))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Лэндинг'!$B$5:$B$300,$B50)+SUMIFS('История'!$E$5:$E$300,'История'!$B$5:$B$300,$B50))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Лэндинг'!$B$5:$B$300,$B50)+SUMIFS('История'!$F$5:$F$300,'История'!$B$5:$B$300,$B50)=0,"",SUMIFS('ИТОГО Торговля'!$F$5:$F$300,'ИТОГО Торговля'!$B$5:$B$300,$B50)+SUMIFS('ИТОГО Лэндинг'!$F$5:$F$300,'ИТОГО Лэндинг'!$B$5:$B$300,$B50)+SUMIFS('История'!$F$5:$F$300,'История'!$B$5:$B$300,$B50)))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Лэндинг'!$B$5:$B$300,$B50)+SUMIFS('История'!$H$5:$H$300,'История'!$B$5:$B$300,$B50))</f>
        <v/>
      </c>
      <c r="I50" s="341">
        <f>IF($B50="","",IF(AND(C50="",F50=""),"",ROUND(SUMIFS('ИТОГО Торговля'!$I$5:$I$300,'ИТОГО Торговля'!$B$5:$B$300,$B50)+SUMIFS('ИТОГО Лэндинг'!$I$5:$I$300,'ИТОГО Лэндинг'!$B$5:$B$300,$B50)+SUMIFS('История'!$I$5:$I$300,'История'!$B$5:$B$300,$B50),8)))</f>
        <v/>
      </c>
      <c r="J50" s="342">
        <f>IF($B50="","",IF(AND(C50="",F50=""),"",ROUND(SUMIFS('ИТОГО Торговля'!$J$5:$J$300,'ИТОГО Торговля'!$B$5:$B$300,$B50)+SUMIFS('ИТОГО Лэндинг'!$J$5:$J$300,'ИТОГО Лэндинг'!$B$5:$B$300,$B50)+SUMIFS('История'!$J$5:$J$300,'История'!$B$5:$B$300,$B50),8)))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Лэндинг'!$B$5:$B$300,$B50)+SUMIFS('История'!$K$5:$K$300,'История'!$B$5:$B$300,$B50),8))</f>
        <v/>
      </c>
      <c r="L50" s="183">
        <f>IF(K50="","",IF(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&lt;=0,0,ROUND(K50/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*100,2)))</f>
        <v/>
      </c>
      <c r="M50" s="344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inlineStr">
        <is>
          <t>ETC/USD</t>
        </is>
      </c>
      <c r="C51" s="240">
        <f>IF($B51="","",IF(SUMIFS('ИТОГО Торговля'!$C$5:$C$300,'ИТОГО Торговля'!$B$5:$B$300,$B51)+SUMIFS('ИТОГО Лэндинг'!$C$5:$C$300,'ИТОГО Лэндинг'!$B$5:$B$300,$B51)+SUMIFS('История'!$C$5:$C$300,'История'!$B$5:$B$300,$B51)=0,"",SUMIFS('ИТОГО Торговля'!$C$5:$C$300,'ИТОГО Торговля'!$B$5:$B$300,$B51)+SUMIFS('ИТОГО Лэндинг'!$C$5:$C$300,'ИТОГО Лэндинг'!$B$5:$B$300,$B51)+SUMIFS('История'!$C$5:$C$300,'История'!$B$5:$B$300,$B51)))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Лэндинг'!$B$5:$B$300,$B51)+SUMIFS('История'!$E$5:$E$300,'История'!$B$5:$B$300,$B51))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Лэндинг'!$B$5:$B$300,$B51)+SUMIFS('История'!$F$5:$F$300,'История'!$B$5:$B$300,$B51)=0,"",SUMIFS('ИТОГО Торговля'!$F$5:$F$300,'ИТОГО Торговля'!$B$5:$B$300,$B51)+SUMIFS('ИТОГО Лэндинг'!$F$5:$F$300,'ИТОГО Лэндинг'!$B$5:$B$300,$B51)+SUMIFS('История'!$F$5:$F$300,'История'!$B$5:$B$300,$B51)))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Лэндинг'!$B$5:$B$300,$B51)+SUMIFS('История'!$H$5:$H$300,'История'!$B$5:$B$300,$B51))</f>
        <v/>
      </c>
      <c r="I51" s="339">
        <f>IF($B51="","",IF(AND(C51="",F51=""),"",ROUND(SUMIFS('ИТОГО Торговля'!$I$5:$I$300,'ИТОГО Торговля'!$B$5:$B$300,$B51)+SUMIFS('ИТОГО Лэндинг'!$I$5:$I$300,'ИТОГО Лэндинг'!$B$5:$B$300,$B51)+SUMIFS('История'!$I$5:$I$300,'История'!$B$5:$B$300,$B51),8)))</f>
        <v/>
      </c>
      <c r="J51" s="340">
        <f>IF($B51="","",IF(AND(C51="",F51=""),"",ROUND(SUMIFS('ИТОГО Торговля'!$J$5:$J$300,'ИТОГО Торговля'!$B$5:$B$300,$B51)+SUMIFS('ИТОГО Лэндинг'!$J$5:$J$300,'ИТОГО Лэндинг'!$B$5:$B$300,$B51)+SUMIFS('История'!$J$5:$J$300,'История'!$B$5:$B$300,$B51),8)))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Лэндинг'!$B$5:$B$300,$B51)+SUMIFS('История'!$K$5:$K$300,'История'!$B$5:$B$300,$B51),8))</f>
        <v/>
      </c>
      <c r="L51" s="177">
        <f>IF(K51="","",IF(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&lt;=0,0,ROUND(K51/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*100,2)))</f>
        <v/>
      </c>
      <c r="M51" s="343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inlineStr">
        <is>
          <t>ETH/BTC</t>
        </is>
      </c>
      <c r="C52" s="246">
        <f>IF($B52="","",IF(SUMIFS('ИТОГО Торговля'!$C$5:$C$300,'ИТОГО Торговля'!$B$5:$B$300,$B52)+SUMIFS('ИТОГО Лэндинг'!$C$5:$C$300,'ИТОГО Лэндинг'!$B$5:$B$300,$B52)+SUMIFS('История'!$C$5:$C$300,'История'!$B$5:$B$300,$B52)=0,"",SUMIFS('ИТОГО Торговля'!$C$5:$C$300,'ИТОГО Торговля'!$B$5:$B$300,$B52)+SUMIFS('ИТОГО Лэндинг'!$C$5:$C$300,'ИТОГО Лэндинг'!$B$5:$B$300,$B52)+SUMIFS('История'!$C$5:$C$300,'История'!$B$5:$B$300,$B52)))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Лэндинг'!$B$5:$B$300,$B52)+SUMIFS('История'!$E$5:$E$300,'История'!$B$5:$B$300,$B52))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Лэндинг'!$B$5:$B$300,$B52)+SUMIFS('История'!$F$5:$F$300,'История'!$B$5:$B$300,$B52)=0,"",SUMIFS('ИТОГО Торговля'!$F$5:$F$300,'ИТОГО Торговля'!$B$5:$B$300,$B52)+SUMIFS('ИТОГО Лэндинг'!$F$5:$F$300,'ИТОГО Лэндинг'!$B$5:$B$300,$B52)+SUMIFS('История'!$F$5:$F$300,'История'!$B$5:$B$300,$B52)))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Лэндинг'!$B$5:$B$300,$B52)+SUMIFS('История'!$H$5:$H$300,'История'!$B$5:$B$300,$B52))</f>
        <v/>
      </c>
      <c r="I52" s="341">
        <f>IF($B52="","",IF(AND(C52="",F52=""),"",ROUND(SUMIFS('ИТОГО Торговля'!$I$5:$I$300,'ИТОГО Торговля'!$B$5:$B$300,$B52)+SUMIFS('ИТОГО Лэндинг'!$I$5:$I$300,'ИТОГО Лэндинг'!$B$5:$B$300,$B52)+SUMIFS('История'!$I$5:$I$300,'История'!$B$5:$B$300,$B52),8)))</f>
        <v/>
      </c>
      <c r="J52" s="342">
        <f>IF($B52="","",IF(AND(C52="",F52=""),"",ROUND(SUMIFS('ИТОГО Торговля'!$J$5:$J$300,'ИТОГО Торговля'!$B$5:$B$300,$B52)+SUMIFS('ИТОГО Лэндинг'!$J$5:$J$300,'ИТОГО Лэндинг'!$B$5:$B$300,$B52)+SUMIFS('История'!$J$5:$J$300,'История'!$B$5:$B$300,$B52),8)))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Лэндинг'!$B$5:$B$300,$B52)+SUMIFS('История'!$K$5:$K$300,'История'!$B$5:$B$300,$B52),8))</f>
        <v/>
      </c>
      <c r="L52" s="183">
        <f>IF(K52="","",IF(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&lt;=0,0,ROUND(K52/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*100,2)))</f>
        <v/>
      </c>
      <c r="M52" s="344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inlineStr">
        <is>
          <t>ETH/USD</t>
        </is>
      </c>
      <c r="C53" s="240">
        <f>IF($B53="","",IF(SUMIFS('ИТОГО Торговля'!$C$5:$C$300,'ИТОГО Торговля'!$B$5:$B$300,$B53)+SUMIFS('ИТОГО Лэндинг'!$C$5:$C$300,'ИТОГО Лэндинг'!$B$5:$B$300,$B53)+SUMIFS('История'!$C$5:$C$300,'История'!$B$5:$B$300,$B53)=0,"",SUMIFS('ИТОГО Торговля'!$C$5:$C$300,'ИТОГО Торговля'!$B$5:$B$300,$B53)+SUMIFS('ИТОГО Лэндинг'!$C$5:$C$300,'ИТОГО Лэндинг'!$B$5:$B$300,$B53)+SUMIFS('История'!$C$5:$C$300,'История'!$B$5:$B$300,$B53)))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Лэндинг'!$B$5:$B$300,$B53)+SUMIFS('История'!$E$5:$E$300,'История'!$B$5:$B$300,$B53))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Лэндинг'!$B$5:$B$300,$B53)+SUMIFS('История'!$F$5:$F$300,'История'!$B$5:$B$300,$B53)=0,"",SUMIFS('ИТОГО Торговля'!$F$5:$F$300,'ИТОГО Торговля'!$B$5:$B$300,$B53)+SUMIFS('ИТОГО Лэндинг'!$F$5:$F$300,'ИТОГО Лэндинг'!$B$5:$B$300,$B53)+SUMIFS('История'!$F$5:$F$300,'История'!$B$5:$B$300,$B53)))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Лэндинг'!$B$5:$B$300,$B53)+SUMIFS('История'!$H$5:$H$300,'История'!$B$5:$B$300,$B53))</f>
        <v/>
      </c>
      <c r="I53" s="339">
        <f>IF($B53="","",IF(AND(C53="",F53=""),"",ROUND(SUMIFS('ИТОГО Торговля'!$I$5:$I$300,'ИТОГО Торговля'!$B$5:$B$300,$B53)+SUMIFS('ИТОГО Лэндинг'!$I$5:$I$300,'ИТОГО Лэндинг'!$B$5:$B$300,$B53)+SUMIFS('История'!$I$5:$I$300,'История'!$B$5:$B$300,$B53),8)))</f>
        <v/>
      </c>
      <c r="J53" s="340">
        <f>IF($B53="","",IF(AND(C53="",F53=""),"",ROUND(SUMIFS('ИТОГО Торговля'!$J$5:$J$300,'ИТОГО Торговля'!$B$5:$B$300,$B53)+SUMIFS('ИТОГО Лэндинг'!$J$5:$J$300,'ИТОГО Лэндинг'!$B$5:$B$300,$B53)+SUMIFS('История'!$J$5:$J$300,'История'!$B$5:$B$300,$B53),8)))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Лэндинг'!$B$5:$B$300,$B53)+SUMIFS('История'!$K$5:$K$300,'История'!$B$5:$B$300,$B53),8))</f>
        <v/>
      </c>
      <c r="L53" s="177">
        <f>IF(K53="","",IF(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&lt;=0,0,ROUND(K53/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*100,2)))</f>
        <v/>
      </c>
      <c r="M53" s="343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inlineStr">
        <is>
          <t>ETHW/USD</t>
        </is>
      </c>
      <c r="C54" s="246">
        <f>IF($B54="","",IF(SUMIFS('ИТОГО Торговля'!$C$5:$C$300,'ИТОГО Торговля'!$B$5:$B$300,$B54)+SUMIFS('ИТОГО Лэндинг'!$C$5:$C$300,'ИТОГО Лэндинг'!$B$5:$B$300,$B54)+SUMIFS('История'!$C$5:$C$300,'История'!$B$5:$B$300,$B54)=0,"",SUMIFS('ИТОГО Торговля'!$C$5:$C$300,'ИТОГО Торговля'!$B$5:$B$300,$B54)+SUMIFS('ИТОГО Лэндинг'!$C$5:$C$300,'ИТОГО Лэндинг'!$B$5:$B$300,$B54)+SUMIFS('История'!$C$5:$C$300,'История'!$B$5:$B$300,$B54)))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Лэндинг'!$B$5:$B$300,$B54)+SUMIFS('История'!$E$5:$E$300,'История'!$B$5:$B$300,$B54))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Лэндинг'!$B$5:$B$300,$B54)+SUMIFS('История'!$F$5:$F$300,'История'!$B$5:$B$300,$B54)=0,"",SUMIFS('ИТОГО Торговля'!$F$5:$F$300,'ИТОГО Торговля'!$B$5:$B$300,$B54)+SUMIFS('ИТОГО Лэндинг'!$F$5:$F$300,'ИТОГО Лэндинг'!$B$5:$B$300,$B54)+SUMIFS('История'!$F$5:$F$300,'История'!$B$5:$B$300,$B54)))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Лэндинг'!$B$5:$B$300,$B54)+SUMIFS('История'!$H$5:$H$300,'История'!$B$5:$B$300,$B54))</f>
        <v/>
      </c>
      <c r="I54" s="341">
        <f>IF($B54="","",IF(AND(C54="",F54=""),"",ROUND(SUMIFS('ИТОГО Торговля'!$I$5:$I$300,'ИТОГО Торговля'!$B$5:$B$300,$B54)+SUMIFS('ИТОГО Лэндинг'!$I$5:$I$300,'ИТОГО Лэндинг'!$B$5:$B$300,$B54)+SUMIFS('История'!$I$5:$I$300,'История'!$B$5:$B$300,$B54),8)))</f>
        <v/>
      </c>
      <c r="J54" s="342">
        <f>IF($B54="","",IF(AND(C54="",F54=""),"",ROUND(SUMIFS('ИТОГО Торговля'!$J$5:$J$300,'ИТОГО Торговля'!$B$5:$B$300,$B54)+SUMIFS('ИТОГО Лэндинг'!$J$5:$J$300,'ИТОГО Лэндинг'!$B$5:$B$300,$B54)+SUMIFS('История'!$J$5:$J$300,'История'!$B$5:$B$300,$B54),8)))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Лэндинг'!$B$5:$B$300,$B54)+SUMIFS('История'!$K$5:$K$300,'История'!$B$5:$B$300,$B54),8))</f>
        <v/>
      </c>
      <c r="L54" s="183">
        <f>IF(K54="","",IF(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&lt;=0,0,ROUND(K54/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*100,2)))</f>
        <v/>
      </c>
      <c r="M54" s="344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inlineStr">
        <is>
          <t>FUN/ETH</t>
        </is>
      </c>
      <c r="C55" s="240">
        <f>IF($B55="","",IF(SUMIFS('ИТОГО Торговля'!$C$5:$C$300,'ИТОГО Торговля'!$B$5:$B$300,$B55)+SUMIFS('ИТОГО Лэндинг'!$C$5:$C$300,'ИТОГО Лэндинг'!$B$5:$B$300,$B55)+SUMIFS('История'!$C$5:$C$300,'История'!$B$5:$B$300,$B55)=0,"",SUMIFS('ИТОГО Торговля'!$C$5:$C$300,'ИТОГО Торговля'!$B$5:$B$300,$B55)+SUMIFS('ИТОГО Лэндинг'!$C$5:$C$300,'ИТОГО Лэндинг'!$B$5:$B$300,$B55)+SUMIFS('История'!$C$5:$C$300,'История'!$B$5:$B$300,$B55)))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Лэндинг'!$B$5:$B$300,$B55)+SUMIFS('История'!$E$5:$E$300,'История'!$B$5:$B$300,$B55))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Лэндинг'!$B$5:$B$300,$B55)+SUMIFS('История'!$F$5:$F$300,'История'!$B$5:$B$300,$B55)=0,"",SUMIFS('ИТОГО Торговля'!$F$5:$F$300,'ИТОГО Торговля'!$B$5:$B$300,$B55)+SUMIFS('ИТОГО Лэндинг'!$F$5:$F$300,'ИТОГО Лэндинг'!$B$5:$B$300,$B55)+SUMIFS('История'!$F$5:$F$300,'История'!$B$5:$B$300,$B55)))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Лэндинг'!$B$5:$B$300,$B55)+SUMIFS('История'!$H$5:$H$300,'История'!$B$5:$B$300,$B55))</f>
        <v/>
      </c>
      <c r="I55" s="339">
        <f>IF($B55="","",IF(AND(C55="",F55=""),"",ROUND(SUMIFS('ИТОГО Торговля'!$I$5:$I$300,'ИТОГО Торговля'!$B$5:$B$300,$B55)+SUMIFS('ИТОГО Лэндинг'!$I$5:$I$300,'ИТОГО Лэндинг'!$B$5:$B$300,$B55)+SUMIFS('История'!$I$5:$I$300,'История'!$B$5:$B$300,$B55),8)))</f>
        <v/>
      </c>
      <c r="J55" s="340">
        <f>IF($B55="","",IF(AND(C55="",F55=""),"",ROUND(SUMIFS('ИТОГО Торговля'!$J$5:$J$300,'ИТОГО Торговля'!$B$5:$B$300,$B55)+SUMIFS('ИТОГО Лэндинг'!$J$5:$J$300,'ИТОГО Лэндинг'!$B$5:$B$300,$B55)+SUMIFS('История'!$J$5:$J$300,'История'!$B$5:$B$300,$B55),8)))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Лэндинг'!$B$5:$B$300,$B55)+SUMIFS('История'!$K$5:$K$300,'История'!$B$5:$B$300,$B55),8))</f>
        <v/>
      </c>
      <c r="L55" s="177">
        <f>IF(K55="","",IF(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&lt;=0,0,ROUND(K55/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*100,2)))</f>
        <v/>
      </c>
      <c r="M55" s="343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inlineStr">
        <is>
          <t>HBAR/BTC</t>
        </is>
      </c>
      <c r="C56" s="246">
        <f>IF($B56="","",IF(SUMIFS('ИТОГО Торговля'!$C$5:$C$300,'ИТОГО Торговля'!$B$5:$B$300,$B56)+SUMIFS('ИТОГО Лэндинг'!$C$5:$C$300,'ИТОГО Лэндинг'!$B$5:$B$300,$B56)+SUMIFS('История'!$C$5:$C$300,'История'!$B$5:$B$300,$B56)=0,"",SUMIFS('ИТОГО Торговля'!$C$5:$C$300,'ИТОГО Торговля'!$B$5:$B$300,$B56)+SUMIFS('ИТОГО Лэндинг'!$C$5:$C$300,'ИТОГО Лэндинг'!$B$5:$B$300,$B56)+SUMIFS('История'!$C$5:$C$300,'История'!$B$5:$B$300,$B56)))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Лэндинг'!$B$5:$B$300,$B56)+SUMIFS('История'!$E$5:$E$300,'История'!$B$5:$B$300,$B56))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Лэндинг'!$B$5:$B$300,$B56)+SUMIFS('История'!$F$5:$F$300,'История'!$B$5:$B$300,$B56)=0,"",SUMIFS('ИТОГО Торговля'!$F$5:$F$300,'ИТОГО Торговля'!$B$5:$B$300,$B56)+SUMIFS('ИТОГО Лэндинг'!$F$5:$F$300,'ИТОГО Лэндинг'!$B$5:$B$300,$B56)+SUMIFS('История'!$F$5:$F$300,'История'!$B$5:$B$300,$B56)))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Лэндинг'!$B$5:$B$300,$B56)+SUMIFS('История'!$H$5:$H$300,'История'!$B$5:$B$300,$B56))</f>
        <v/>
      </c>
      <c r="I56" s="341">
        <f>IF($B56="","",IF(AND(C56="",F56=""),"",ROUND(SUMIFS('ИТОГО Торговля'!$I$5:$I$300,'ИТОГО Торговля'!$B$5:$B$300,$B56)+SUMIFS('ИТОГО Лэндинг'!$I$5:$I$300,'ИТОГО Лэндинг'!$B$5:$B$300,$B56)+SUMIFS('История'!$I$5:$I$300,'История'!$B$5:$B$300,$B56),8)))</f>
        <v/>
      </c>
      <c r="J56" s="342">
        <f>IF($B56="","",IF(AND(C56="",F56=""),"",ROUND(SUMIFS('ИТОГО Торговля'!$J$5:$J$300,'ИТОГО Торговля'!$B$5:$B$300,$B56)+SUMIFS('ИТОГО Лэндинг'!$J$5:$J$300,'ИТОГО Лэндинг'!$B$5:$B$300,$B56)+SUMIFS('История'!$J$5:$J$300,'История'!$B$5:$B$300,$B56),8)))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Лэндинг'!$B$5:$B$300,$B56)+SUMIFS('История'!$K$5:$K$300,'История'!$B$5:$B$300,$B56),8))</f>
        <v/>
      </c>
      <c r="L56" s="183">
        <f>IF(K56="","",IF(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&lt;=0,0,ROUND(K56/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*100,2)))</f>
        <v/>
      </c>
      <c r="M56" s="344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inlineStr">
        <is>
          <t>INJ/USD</t>
        </is>
      </c>
      <c r="C57" s="240">
        <f>IF($B57="","",IF(SUMIFS('ИТОГО Торговля'!$C$5:$C$300,'ИТОГО Торговля'!$B$5:$B$300,$B57)+SUMIFS('ИТОГО Лэндинг'!$C$5:$C$300,'ИТОГО Лэндинг'!$B$5:$B$300,$B57)+SUMIFS('История'!$C$5:$C$300,'История'!$B$5:$B$300,$B57)=0,"",SUMIFS('ИТОГО Торговля'!$C$5:$C$300,'ИТОГО Торговля'!$B$5:$B$300,$B57)+SUMIFS('ИТОГО Лэндинг'!$C$5:$C$300,'ИТОГО Лэндинг'!$B$5:$B$300,$B57)+SUMIFS('История'!$C$5:$C$300,'История'!$B$5:$B$300,$B57)))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Лэндинг'!$B$5:$B$300,$B57)+SUMIFS('История'!$E$5:$E$300,'История'!$B$5:$B$300,$B57))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Лэндинг'!$B$5:$B$300,$B57)+SUMIFS('История'!$F$5:$F$300,'История'!$B$5:$B$300,$B57)=0,"",SUMIFS('ИТОГО Торговля'!$F$5:$F$300,'ИТОГО Торговля'!$B$5:$B$300,$B57)+SUMIFS('ИТОГО Лэндинг'!$F$5:$F$300,'ИТОГО Лэндинг'!$B$5:$B$300,$B57)+SUMIFS('История'!$F$5:$F$300,'История'!$B$5:$B$300,$B57)))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Лэндинг'!$B$5:$B$300,$B57)+SUMIFS('История'!$H$5:$H$300,'История'!$B$5:$B$300,$B57))</f>
        <v/>
      </c>
      <c r="I57" s="339">
        <f>IF($B57="","",IF(AND(C57="",F57=""),"",ROUND(SUMIFS('ИТОГО Торговля'!$I$5:$I$300,'ИТОГО Торговля'!$B$5:$B$300,$B57)+SUMIFS('ИТОГО Лэндинг'!$I$5:$I$300,'ИТОГО Лэндинг'!$B$5:$B$300,$B57)+SUMIFS('История'!$I$5:$I$300,'История'!$B$5:$B$300,$B57),8)))</f>
        <v/>
      </c>
      <c r="J57" s="340">
        <f>IF($B57="","",IF(AND(C57="",F57=""),"",ROUND(SUMIFS('ИТОГО Торговля'!$J$5:$J$300,'ИТОГО Торговля'!$B$5:$B$300,$B57)+SUMIFS('ИТОГО Лэндинг'!$J$5:$J$300,'ИТОГО Лэндинг'!$B$5:$B$300,$B57)+SUMIFS('История'!$J$5:$J$300,'История'!$B$5:$B$300,$B57),8)))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Лэндинг'!$B$5:$B$300,$B57)+SUMIFS('История'!$K$5:$K$300,'История'!$B$5:$B$300,$B57),8))</f>
        <v/>
      </c>
      <c r="L57" s="177">
        <f>IF(K57="","",IF(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&lt;=0,0,ROUND(K57/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*100,2)))</f>
        <v/>
      </c>
      <c r="M57" s="343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inlineStr">
        <is>
          <t>IOTX/ETH</t>
        </is>
      </c>
      <c r="C58" s="246">
        <f>IF($B58="","",IF(SUMIFS('ИТОГО Торговля'!$C$5:$C$300,'ИТОГО Торговля'!$B$5:$B$300,$B58)+SUMIFS('ИТОГО Лэндинг'!$C$5:$C$300,'ИТОГО Лэндинг'!$B$5:$B$300,$B58)+SUMIFS('История'!$C$5:$C$300,'История'!$B$5:$B$300,$B58)=0,"",SUMIFS('ИТОГО Торговля'!$C$5:$C$300,'ИТОГО Торговля'!$B$5:$B$300,$B58)+SUMIFS('ИТОГО Лэндинг'!$C$5:$C$300,'ИТОГО Лэндинг'!$B$5:$B$300,$B58)+SUMIFS('История'!$C$5:$C$300,'История'!$B$5:$B$300,$B58)))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Лэндинг'!$B$5:$B$300,$B58)+SUMIFS('История'!$E$5:$E$300,'История'!$B$5:$B$300,$B58))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Лэндинг'!$B$5:$B$300,$B58)+SUMIFS('История'!$F$5:$F$300,'История'!$B$5:$B$300,$B58)=0,"",SUMIFS('ИТОГО Торговля'!$F$5:$F$300,'ИТОГО Торговля'!$B$5:$B$300,$B58)+SUMIFS('ИТОГО Лэндинг'!$F$5:$F$300,'ИТОГО Лэндинг'!$B$5:$B$300,$B58)+SUMIFS('История'!$F$5:$F$300,'История'!$B$5:$B$300,$B58)))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Лэндинг'!$B$5:$B$300,$B58)+SUMIFS('История'!$H$5:$H$300,'История'!$B$5:$B$300,$B58))</f>
        <v/>
      </c>
      <c r="I58" s="341">
        <f>IF($B58="","",IF(AND(C58="",F58=""),"",ROUND(SUMIFS('ИТОГО Торговля'!$I$5:$I$300,'ИТОГО Торговля'!$B$5:$B$300,$B58)+SUMIFS('ИТОГО Лэндинг'!$I$5:$I$300,'ИТОГО Лэндинг'!$B$5:$B$300,$B58)+SUMIFS('История'!$I$5:$I$300,'История'!$B$5:$B$300,$B58),8)))</f>
        <v/>
      </c>
      <c r="J58" s="342">
        <f>IF($B58="","",IF(AND(C58="",F58=""),"",ROUND(SUMIFS('ИТОГО Торговля'!$J$5:$J$300,'ИТОГО Торговля'!$B$5:$B$300,$B58)+SUMIFS('ИТОГО Лэндинг'!$J$5:$J$300,'ИТОГО Лэндинг'!$B$5:$B$300,$B58)+SUMIFS('История'!$J$5:$J$300,'История'!$B$5:$B$300,$B58),8)))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Лэндинг'!$B$5:$B$300,$B58)+SUMIFS('История'!$K$5:$K$300,'История'!$B$5:$B$300,$B58),8))</f>
        <v/>
      </c>
      <c r="L58" s="183">
        <f>IF(K58="","",IF(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&lt;=0,0,ROUND(K58/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*100,2)))</f>
        <v/>
      </c>
      <c r="M58" s="344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inlineStr">
        <is>
          <t>JUV/USD</t>
        </is>
      </c>
      <c r="C59" s="240">
        <f>IF($B59="","",IF(SUMIFS('ИТОГО Торговля'!$C$5:$C$300,'ИТОГО Торговля'!$B$5:$B$300,$B59)+SUMIFS('ИТОГО Лэндинг'!$C$5:$C$300,'ИТОГО Лэндинг'!$B$5:$B$300,$B59)+SUMIFS('История'!$C$5:$C$300,'История'!$B$5:$B$300,$B59)=0,"",SUMIFS('ИТОГО Торговля'!$C$5:$C$300,'ИТОГО Торговля'!$B$5:$B$300,$B59)+SUMIFS('ИТОГО Лэндинг'!$C$5:$C$300,'ИТОГО Лэндинг'!$B$5:$B$300,$B59)+SUMIFS('История'!$C$5:$C$300,'История'!$B$5:$B$300,$B59)))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Лэндинг'!$B$5:$B$300,$B59)+SUMIFS('История'!$E$5:$E$300,'История'!$B$5:$B$300,$B59))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Лэндинг'!$B$5:$B$300,$B59)+SUMIFS('История'!$F$5:$F$300,'История'!$B$5:$B$300,$B59)=0,"",SUMIFS('ИТОГО Торговля'!$F$5:$F$300,'ИТОГО Торговля'!$B$5:$B$300,$B59)+SUMIFS('ИТОГО Лэндинг'!$F$5:$F$300,'ИТОГО Лэндинг'!$B$5:$B$300,$B59)+SUMIFS('История'!$F$5:$F$300,'История'!$B$5:$B$300,$B59)))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Лэндинг'!$B$5:$B$300,$B59)+SUMIFS('История'!$H$5:$H$300,'История'!$B$5:$B$300,$B59))</f>
        <v/>
      </c>
      <c r="I59" s="339">
        <f>IF($B59="","",IF(AND(C59="",F59=""),"",ROUND(SUMIFS('ИТОГО Торговля'!$I$5:$I$300,'ИТОГО Торговля'!$B$5:$B$300,$B59)+SUMIFS('ИТОГО Лэндинг'!$I$5:$I$300,'ИТОГО Лэндинг'!$B$5:$B$300,$B59)+SUMIFS('История'!$I$5:$I$300,'История'!$B$5:$B$300,$B59),8)))</f>
        <v/>
      </c>
      <c r="J59" s="340">
        <f>IF($B59="","",IF(AND(C59="",F59=""),"",ROUND(SUMIFS('ИТОГО Торговля'!$J$5:$J$300,'ИТОГО Торговля'!$B$5:$B$300,$B59)+SUMIFS('ИТОГО Лэндинг'!$J$5:$J$300,'ИТОГО Лэндинг'!$B$5:$B$300,$B59)+SUMIFS('История'!$J$5:$J$300,'История'!$B$5:$B$300,$B59),8)))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Лэндинг'!$B$5:$B$300,$B59)+SUMIFS('История'!$K$5:$K$300,'История'!$B$5:$B$300,$B59),8))</f>
        <v/>
      </c>
      <c r="L59" s="177">
        <f>IF(K59="","",IF(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&lt;=0,0,ROUND(K59/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*100,2)))</f>
        <v/>
      </c>
      <c r="M59" s="343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inlineStr">
        <is>
          <t>LEVER/USD</t>
        </is>
      </c>
      <c r="C60" s="246">
        <f>IF($B60="","",IF(SUMIFS('ИТОГО Торговля'!$C$5:$C$300,'ИТОГО Торговля'!$B$5:$B$300,$B60)+SUMIFS('ИТОГО Лэндинг'!$C$5:$C$300,'ИТОГО Лэндинг'!$B$5:$B$300,$B60)+SUMIFS('История'!$C$5:$C$300,'История'!$B$5:$B$300,$B60)=0,"",SUMIFS('ИТОГО Торговля'!$C$5:$C$300,'ИТОГО Торговля'!$B$5:$B$300,$B60)+SUMIFS('ИТОГО Лэндинг'!$C$5:$C$300,'ИТОГО Лэндинг'!$B$5:$B$300,$B60)+SUMIFS('История'!$C$5:$C$300,'История'!$B$5:$B$300,$B60)))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Лэндинг'!$B$5:$B$300,$B60)+SUMIFS('История'!$E$5:$E$300,'История'!$B$5:$B$300,$B60))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Лэндинг'!$B$5:$B$300,$B60)+SUMIFS('История'!$F$5:$F$300,'История'!$B$5:$B$300,$B60)=0,"",SUMIFS('ИТОГО Торговля'!$F$5:$F$300,'ИТОГО Торговля'!$B$5:$B$300,$B60)+SUMIFS('ИТОГО Лэндинг'!$F$5:$F$300,'ИТОГО Лэндинг'!$B$5:$B$300,$B60)+SUMIFS('История'!$F$5:$F$300,'История'!$B$5:$B$300,$B60)))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Лэндинг'!$B$5:$B$300,$B60)+SUMIFS('История'!$H$5:$H$300,'История'!$B$5:$B$300,$B60))</f>
        <v/>
      </c>
      <c r="I60" s="341">
        <f>IF($B60="","",IF(AND(C60="",F60=""),"",ROUND(SUMIFS('ИТОГО Торговля'!$I$5:$I$300,'ИТОГО Торговля'!$B$5:$B$300,$B60)+SUMIFS('ИТОГО Лэндинг'!$I$5:$I$300,'ИТОГО Лэндинг'!$B$5:$B$300,$B60)+SUMIFS('История'!$I$5:$I$300,'История'!$B$5:$B$300,$B60),8)))</f>
        <v/>
      </c>
      <c r="J60" s="342">
        <f>IF($B60="","",IF(AND(C60="",F60=""),"",ROUND(SUMIFS('ИТОГО Торговля'!$J$5:$J$300,'ИТОГО Торговля'!$B$5:$B$300,$B60)+SUMIFS('ИТОГО Лэндинг'!$J$5:$J$300,'ИТОГО Лэндинг'!$B$5:$B$300,$B60)+SUMIFS('История'!$J$5:$J$300,'История'!$B$5:$B$300,$B60),8)))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Лэндинг'!$B$5:$B$300,$B60)+SUMIFS('История'!$K$5:$K$300,'История'!$B$5:$B$300,$B60),8))</f>
        <v/>
      </c>
      <c r="L60" s="183">
        <f>IF(K60="","",IF(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&lt;=0,0,ROUND(K60/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*100,2)))</f>
        <v/>
      </c>
      <c r="M60" s="344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inlineStr">
        <is>
          <t>LINK/BTC</t>
        </is>
      </c>
      <c r="C61" s="240">
        <f>IF($B61="","",IF(SUMIFS('ИТОГО Торговля'!$C$5:$C$300,'ИТОГО Торговля'!$B$5:$B$300,$B61)+SUMIFS('ИТОГО Лэндинг'!$C$5:$C$300,'ИТОГО Лэндинг'!$B$5:$B$300,$B61)+SUMIFS('История'!$C$5:$C$300,'История'!$B$5:$B$300,$B61)=0,"",SUMIFS('ИТОГО Торговля'!$C$5:$C$300,'ИТОГО Торговля'!$B$5:$B$300,$B61)+SUMIFS('ИТОГО Лэндинг'!$C$5:$C$300,'ИТОГО Лэндинг'!$B$5:$B$300,$B61)+SUMIFS('История'!$C$5:$C$300,'История'!$B$5:$B$300,$B61)))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Лэндинг'!$B$5:$B$300,$B61)+SUMIFS('История'!$E$5:$E$300,'История'!$B$5:$B$300,$B61))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Лэндинг'!$B$5:$B$300,$B61)+SUMIFS('История'!$F$5:$F$300,'История'!$B$5:$B$300,$B61)=0,"",SUMIFS('ИТОГО Торговля'!$F$5:$F$300,'ИТОГО Торговля'!$B$5:$B$300,$B61)+SUMIFS('ИТОГО Лэндинг'!$F$5:$F$300,'ИТОГО Лэндинг'!$B$5:$B$300,$B61)+SUMIFS('История'!$F$5:$F$300,'История'!$B$5:$B$300,$B61)))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Лэндинг'!$B$5:$B$300,$B61)+SUMIFS('История'!$H$5:$H$300,'История'!$B$5:$B$300,$B61))</f>
        <v/>
      </c>
      <c r="I61" s="339">
        <f>IF($B61="","",IF(AND(C61="",F61=""),"",ROUND(SUMIFS('ИТОГО Торговля'!$I$5:$I$300,'ИТОГО Торговля'!$B$5:$B$300,$B61)+SUMIFS('ИТОГО Лэндинг'!$I$5:$I$300,'ИТОГО Лэндинг'!$B$5:$B$300,$B61)+SUMIFS('История'!$I$5:$I$300,'История'!$B$5:$B$300,$B61),8)))</f>
        <v/>
      </c>
      <c r="J61" s="340">
        <f>IF($B61="","",IF(AND(C61="",F61=""),"",ROUND(SUMIFS('ИТОГО Торговля'!$J$5:$J$300,'ИТОГО Торговля'!$B$5:$B$300,$B61)+SUMIFS('ИТОГО Лэндинг'!$J$5:$J$300,'ИТОГО Лэндинг'!$B$5:$B$300,$B61)+SUMIFS('История'!$J$5:$J$300,'История'!$B$5:$B$300,$B61),8)))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Лэндинг'!$B$5:$B$300,$B61)+SUMIFS('История'!$K$5:$K$300,'История'!$B$5:$B$300,$B61),8))</f>
        <v/>
      </c>
      <c r="L61" s="177">
        <f>IF(K61="","",IF(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&lt;=0,0,ROUND(K61/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*100,2)))</f>
        <v/>
      </c>
      <c r="M61" s="343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inlineStr">
        <is>
          <t>LINK/ETH</t>
        </is>
      </c>
      <c r="C62" s="246">
        <f>IF($B62="","",IF(SUMIFS('ИТОГО Торговля'!$C$5:$C$300,'ИТОГО Торговля'!$B$5:$B$300,$B62)+SUMIFS('ИТОГО Лэндинг'!$C$5:$C$300,'ИТОГО Лэндинг'!$B$5:$B$300,$B62)+SUMIFS('История'!$C$5:$C$300,'История'!$B$5:$B$300,$B62)=0,"",SUMIFS('ИТОГО Торговля'!$C$5:$C$300,'ИТОГО Торговля'!$B$5:$B$300,$B62)+SUMIFS('ИТОГО Лэндинг'!$C$5:$C$300,'ИТОГО Лэндинг'!$B$5:$B$300,$B62)+SUMIFS('История'!$C$5:$C$300,'История'!$B$5:$B$300,$B62)))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Лэндинг'!$B$5:$B$300,$B62)+SUMIFS('История'!$E$5:$E$300,'История'!$B$5:$B$300,$B62))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Лэндинг'!$B$5:$B$300,$B62)+SUMIFS('История'!$F$5:$F$300,'История'!$B$5:$B$300,$B62)=0,"",SUMIFS('ИТОГО Торговля'!$F$5:$F$300,'ИТОГО Торговля'!$B$5:$B$300,$B62)+SUMIFS('ИТОГО Лэндинг'!$F$5:$F$300,'ИТОГО Лэндинг'!$B$5:$B$300,$B62)+SUMIFS('История'!$F$5:$F$300,'История'!$B$5:$B$300,$B62)))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Лэндинг'!$B$5:$B$300,$B62)+SUMIFS('История'!$H$5:$H$300,'История'!$B$5:$B$300,$B62))</f>
        <v/>
      </c>
      <c r="I62" s="341">
        <f>IF($B62="","",IF(AND(C62="",F62=""),"",ROUND(SUMIFS('ИТОГО Торговля'!$I$5:$I$300,'ИТОГО Торговля'!$B$5:$B$300,$B62)+SUMIFS('ИТОГО Лэндинг'!$I$5:$I$300,'ИТОГО Лэндинг'!$B$5:$B$300,$B62)+SUMIFS('История'!$I$5:$I$300,'История'!$B$5:$B$300,$B62),8)))</f>
        <v/>
      </c>
      <c r="J62" s="342">
        <f>IF($B62="","",IF(AND(C62="",F62=""),"",ROUND(SUMIFS('ИТОГО Торговля'!$J$5:$J$300,'ИТОГО Торговля'!$B$5:$B$300,$B62)+SUMIFS('ИТОГО Лэндинг'!$J$5:$J$300,'ИТОГО Лэндинг'!$B$5:$B$300,$B62)+SUMIFS('История'!$J$5:$J$300,'История'!$B$5:$B$300,$B62),8)))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Лэндинг'!$B$5:$B$300,$B62)+SUMIFS('История'!$K$5:$K$300,'История'!$B$5:$B$300,$B62),8))</f>
        <v/>
      </c>
      <c r="L62" s="183">
        <f>IF(K62="","",IF(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&lt;=0,0,ROUND(K62/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*100,2)))</f>
        <v/>
      </c>
      <c r="M62" s="344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inlineStr">
        <is>
          <t>LINK/USD</t>
        </is>
      </c>
      <c r="C63" s="240">
        <f>IF($B63="","",IF(SUMIFS('ИТОГО Торговля'!$C$5:$C$300,'ИТОГО Торговля'!$B$5:$B$300,$B63)+SUMIFS('ИТОГО Лэндинг'!$C$5:$C$300,'ИТОГО Лэндинг'!$B$5:$B$300,$B63)+SUMIFS('История'!$C$5:$C$300,'История'!$B$5:$B$300,$B63)=0,"",SUMIFS('ИТОГО Торговля'!$C$5:$C$300,'ИТОГО Торговля'!$B$5:$B$300,$B63)+SUMIFS('ИТОГО Лэндинг'!$C$5:$C$300,'ИТОГО Лэндинг'!$B$5:$B$300,$B63)+SUMIFS('История'!$C$5:$C$300,'История'!$B$5:$B$300,$B63)))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Лэндинг'!$B$5:$B$300,$B63)+SUMIFS('История'!$E$5:$E$300,'История'!$B$5:$B$300,$B63))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Лэндинг'!$B$5:$B$300,$B63)+SUMIFS('История'!$F$5:$F$300,'История'!$B$5:$B$300,$B63)=0,"",SUMIFS('ИТОГО Торговля'!$F$5:$F$300,'ИТОГО Торговля'!$B$5:$B$300,$B63)+SUMIFS('ИТОГО Лэндинг'!$F$5:$F$300,'ИТОГО Лэндинг'!$B$5:$B$300,$B63)+SUMIFS('История'!$F$5:$F$300,'История'!$B$5:$B$300,$B63)))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Лэндинг'!$B$5:$B$300,$B63)+SUMIFS('История'!$H$5:$H$300,'История'!$B$5:$B$300,$B63))</f>
        <v/>
      </c>
      <c r="I63" s="339">
        <f>IF($B63="","",IF(AND(C63="",F63=""),"",ROUND(SUMIFS('ИТОГО Торговля'!$I$5:$I$300,'ИТОГО Торговля'!$B$5:$B$300,$B63)+SUMIFS('ИТОГО Лэндинг'!$I$5:$I$300,'ИТОГО Лэндинг'!$B$5:$B$300,$B63)+SUMIFS('История'!$I$5:$I$300,'История'!$B$5:$B$300,$B63),8)))</f>
        <v/>
      </c>
      <c r="J63" s="340">
        <f>IF($B63="","",IF(AND(C63="",F63=""),"",ROUND(SUMIFS('ИТОГО Торговля'!$J$5:$J$300,'ИТОГО Торговля'!$B$5:$B$300,$B63)+SUMIFS('ИТОГО Лэндинг'!$J$5:$J$300,'ИТОГО Лэндинг'!$B$5:$B$300,$B63)+SUMIFS('История'!$J$5:$J$300,'История'!$B$5:$B$300,$B63),8)))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Лэндинг'!$B$5:$B$300,$B63)+SUMIFS('История'!$K$5:$K$300,'История'!$B$5:$B$300,$B63),8))</f>
        <v/>
      </c>
      <c r="L63" s="177">
        <f>IF(K63="","",IF(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&lt;=0,0,ROUND(K63/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*100,2)))</f>
        <v/>
      </c>
      <c r="M63" s="343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inlineStr">
        <is>
          <t>LOOM/ETH</t>
        </is>
      </c>
      <c r="C64" s="246">
        <f>IF($B64="","",IF(SUMIFS('ИТОГО Торговля'!$C$5:$C$300,'ИТОГО Торговля'!$B$5:$B$300,$B64)+SUMIFS('ИТОГО Лэндинг'!$C$5:$C$300,'ИТОГО Лэндинг'!$B$5:$B$300,$B64)+SUMIFS('История'!$C$5:$C$300,'История'!$B$5:$B$300,$B64)=0,"",SUMIFS('ИТОГО Торговля'!$C$5:$C$300,'ИТОГО Торговля'!$B$5:$B$300,$B64)+SUMIFS('ИТОГО Лэндинг'!$C$5:$C$300,'ИТОГО Лэндинг'!$B$5:$B$300,$B64)+SUMIFS('История'!$C$5:$C$300,'История'!$B$5:$B$300,$B64)))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Лэндинг'!$B$5:$B$300,$B64)+SUMIFS('История'!$E$5:$E$300,'История'!$B$5:$B$300,$B64))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Лэндинг'!$B$5:$B$300,$B64)+SUMIFS('История'!$F$5:$F$300,'История'!$B$5:$B$300,$B64)=0,"",SUMIFS('ИТОГО Торговля'!$F$5:$F$300,'ИТОГО Торговля'!$B$5:$B$300,$B64)+SUMIFS('ИТОГО Лэндинг'!$F$5:$F$300,'ИТОГО Лэндинг'!$B$5:$B$300,$B64)+SUMIFS('История'!$F$5:$F$300,'История'!$B$5:$B$300,$B64)))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Лэндинг'!$B$5:$B$300,$B64)+SUMIFS('История'!$H$5:$H$300,'История'!$B$5:$B$300,$B64))</f>
        <v/>
      </c>
      <c r="I64" s="341">
        <f>IF($B64="","",IF(AND(C64="",F64=""),"",ROUND(SUMIFS('ИТОГО Торговля'!$I$5:$I$300,'ИТОГО Торговля'!$B$5:$B$300,$B64)+SUMIFS('ИТОГО Лэндинг'!$I$5:$I$300,'ИТОГО Лэндинг'!$B$5:$B$300,$B64)+SUMIFS('История'!$I$5:$I$300,'История'!$B$5:$B$300,$B64),8)))</f>
        <v/>
      </c>
      <c r="J64" s="342">
        <f>IF($B64="","",IF(AND(C64="",F64=""),"",ROUND(SUMIFS('ИТОГО Торговля'!$J$5:$J$300,'ИТОГО Торговля'!$B$5:$B$300,$B64)+SUMIFS('ИТОГО Лэндинг'!$J$5:$J$300,'ИТОГО Лэндинг'!$B$5:$B$300,$B64)+SUMIFS('История'!$J$5:$J$300,'История'!$B$5:$B$300,$B64),8)))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Лэндинг'!$B$5:$B$300,$B64)+SUMIFS('История'!$K$5:$K$300,'История'!$B$5:$B$300,$B64),8))</f>
        <v/>
      </c>
      <c r="L64" s="183">
        <f>IF(K64="","",IF(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&lt;=0,0,ROUND(K64/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*100,2)))</f>
        <v/>
      </c>
      <c r="M64" s="344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inlineStr">
        <is>
          <t>LTC/BCH</t>
        </is>
      </c>
      <c r="C65" s="240">
        <f>IF($B65="","",IF(SUMIFS('ИТОГО Торговля'!$C$5:$C$300,'ИТОГО Торговля'!$B$5:$B$300,$B65)+SUMIFS('ИТОГО Лэндинг'!$C$5:$C$300,'ИТОГО Лэндинг'!$B$5:$B$300,$B65)+SUMIFS('История'!$C$5:$C$300,'История'!$B$5:$B$300,$B65)=0,"",SUMIFS('ИТОГО Торговля'!$C$5:$C$300,'ИТОГО Торговля'!$B$5:$B$300,$B65)+SUMIFS('ИТОГО Лэндинг'!$C$5:$C$300,'ИТОГО Лэндинг'!$B$5:$B$300,$B65)+SUMIFS('История'!$C$5:$C$300,'История'!$B$5:$B$300,$B65)))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Лэндинг'!$B$5:$B$300,$B65)+SUMIFS('История'!$E$5:$E$300,'История'!$B$5:$B$300,$B65))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Лэндинг'!$B$5:$B$300,$B65)+SUMIFS('История'!$F$5:$F$300,'История'!$B$5:$B$300,$B65)=0,"",SUMIFS('ИТОГО Торговля'!$F$5:$F$300,'ИТОГО Торговля'!$B$5:$B$300,$B65)+SUMIFS('ИТОГО Лэндинг'!$F$5:$F$300,'ИТОГО Лэндинг'!$B$5:$B$300,$B65)+SUMIFS('История'!$F$5:$F$300,'История'!$B$5:$B$300,$B65)))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Лэндинг'!$B$5:$B$300,$B65)+SUMIFS('История'!$H$5:$H$300,'История'!$B$5:$B$300,$B65))</f>
        <v/>
      </c>
      <c r="I65" s="339">
        <f>IF($B65="","",IF(AND(C65="",F65=""),"",ROUND(SUMIFS('ИТОГО Торговля'!$I$5:$I$300,'ИТОГО Торговля'!$B$5:$B$300,$B65)+SUMIFS('ИТОГО Лэндинг'!$I$5:$I$300,'ИТОГО Лэндинг'!$B$5:$B$300,$B65)+SUMIFS('История'!$I$5:$I$300,'История'!$B$5:$B$300,$B65),8)))</f>
        <v/>
      </c>
      <c r="J65" s="340">
        <f>IF($B65="","",IF(AND(C65="",F65=""),"",ROUND(SUMIFS('ИТОГО Торговля'!$J$5:$J$300,'ИТОГО Торговля'!$B$5:$B$300,$B65)+SUMIFS('ИТОГО Лэндинг'!$J$5:$J$300,'ИТОГО Лэндинг'!$B$5:$B$300,$B65)+SUMIFS('История'!$J$5:$J$300,'История'!$B$5:$B$300,$B65),8)))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Лэндинг'!$B$5:$B$300,$B65)+SUMIFS('История'!$K$5:$K$300,'История'!$B$5:$B$300,$B65),8))</f>
        <v/>
      </c>
      <c r="L65" s="177">
        <f>IF(K65="","",IF(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&lt;=0,0,ROUND(K65/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*100,2)))</f>
        <v/>
      </c>
      <c r="M65" s="343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inlineStr">
        <is>
          <t>LTC/BTC</t>
        </is>
      </c>
      <c r="C66" s="246">
        <f>IF($B66="","",IF(SUMIFS('ИТОГО Торговля'!$C$5:$C$300,'ИТОГО Торговля'!$B$5:$B$300,$B66)+SUMIFS('ИТОГО Лэндинг'!$C$5:$C$300,'ИТОГО Лэндинг'!$B$5:$B$300,$B66)+SUMIFS('История'!$C$5:$C$300,'История'!$B$5:$B$300,$B66)=0,"",SUMIFS('ИТОГО Торговля'!$C$5:$C$300,'ИТОГО Торговля'!$B$5:$B$300,$B66)+SUMIFS('ИТОГО Лэндинг'!$C$5:$C$300,'ИТОГО Лэндинг'!$B$5:$B$300,$B66)+SUMIFS('История'!$C$5:$C$300,'История'!$B$5:$B$300,$B66)))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Лэндинг'!$B$5:$B$300,$B66)+SUMIFS('История'!$E$5:$E$300,'История'!$B$5:$B$300,$B66))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Лэндинг'!$B$5:$B$300,$B66)+SUMIFS('История'!$F$5:$F$300,'История'!$B$5:$B$300,$B66)=0,"",SUMIFS('ИТОГО Торговля'!$F$5:$F$300,'ИТОГО Торговля'!$B$5:$B$300,$B66)+SUMIFS('ИТОГО Лэндинг'!$F$5:$F$300,'ИТОГО Лэндинг'!$B$5:$B$300,$B66)+SUMIFS('История'!$F$5:$F$300,'История'!$B$5:$B$300,$B66)))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Лэндинг'!$B$5:$B$300,$B66)+SUMIFS('История'!$H$5:$H$300,'История'!$B$5:$B$300,$B66))</f>
        <v/>
      </c>
      <c r="I66" s="341">
        <f>IF($B66="","",IF(AND(C66="",F66=""),"",ROUND(SUMIFS('ИТОГО Торговля'!$I$5:$I$300,'ИТОГО Торговля'!$B$5:$B$300,$B66)+SUMIFS('ИТОГО Лэндинг'!$I$5:$I$300,'ИТОГО Лэндинг'!$B$5:$B$300,$B66)+SUMIFS('История'!$I$5:$I$300,'История'!$B$5:$B$300,$B66),8)))</f>
        <v/>
      </c>
      <c r="J66" s="342">
        <f>IF($B66="","",IF(AND(C66="",F66=""),"",ROUND(SUMIFS('ИТОГО Торговля'!$J$5:$J$300,'ИТОГО Торговля'!$B$5:$B$300,$B66)+SUMIFS('ИТОГО Лэндинг'!$J$5:$J$300,'ИТОГО Лэндинг'!$B$5:$B$300,$B66)+SUMIFS('История'!$J$5:$J$300,'История'!$B$5:$B$300,$B66),8)))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Лэндинг'!$B$5:$B$300,$B66)+SUMIFS('История'!$K$5:$K$300,'История'!$B$5:$B$300,$B66),8))</f>
        <v/>
      </c>
      <c r="L66" s="183">
        <f>IF(K66="","",IF(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&lt;=0,0,ROUND(K66/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*100,2)))</f>
        <v/>
      </c>
      <c r="M66" s="344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inlineStr">
        <is>
          <t>LTC/ETH</t>
        </is>
      </c>
      <c r="C67" s="240">
        <f>IF($B67="","",IF(SUMIFS('ИТОГО Торговля'!$C$5:$C$300,'ИТОГО Торговля'!$B$5:$B$300,$B67)+SUMIFS('ИТОГО Лэндинг'!$C$5:$C$300,'ИТОГО Лэндинг'!$B$5:$B$300,$B67)+SUMIFS('История'!$C$5:$C$300,'История'!$B$5:$B$300,$B67)=0,"",SUMIFS('ИТОГО Торговля'!$C$5:$C$300,'ИТОГО Торговля'!$B$5:$B$300,$B67)+SUMIFS('ИТОГО Лэндинг'!$C$5:$C$300,'ИТОГО Лэндинг'!$B$5:$B$300,$B67)+SUMIFS('История'!$C$5:$C$300,'История'!$B$5:$B$300,$B67)))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Лэндинг'!$B$5:$B$300,$B67)+SUMIFS('История'!$E$5:$E$300,'История'!$B$5:$B$300,$B67))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Лэндинг'!$B$5:$B$300,$B67)+SUMIFS('История'!$F$5:$F$300,'История'!$B$5:$B$300,$B67)=0,"",SUMIFS('ИТОГО Торговля'!$F$5:$F$300,'ИТОГО Торговля'!$B$5:$B$300,$B67)+SUMIFS('ИТОГО Лэндинг'!$F$5:$F$300,'ИТОГО Лэндинг'!$B$5:$B$300,$B67)+SUMIFS('История'!$F$5:$F$300,'История'!$B$5:$B$300,$B67)))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Лэндинг'!$B$5:$B$300,$B67)+SUMIFS('История'!$H$5:$H$300,'История'!$B$5:$B$300,$B67))</f>
        <v/>
      </c>
      <c r="I67" s="339">
        <f>IF($B67="","",IF(AND(C67="",F67=""),"",ROUND(SUMIFS('ИТОГО Торговля'!$I$5:$I$300,'ИТОГО Торговля'!$B$5:$B$300,$B67)+SUMIFS('ИТОГО Лэндинг'!$I$5:$I$300,'ИТОГО Лэндинг'!$B$5:$B$300,$B67)+SUMIFS('История'!$I$5:$I$300,'История'!$B$5:$B$300,$B67),8)))</f>
        <v/>
      </c>
      <c r="J67" s="340">
        <f>IF($B67="","",IF(AND(C67="",F67=""),"",ROUND(SUMIFS('ИТОГО Торговля'!$J$5:$J$300,'ИТОГО Торговля'!$B$5:$B$300,$B67)+SUMIFS('ИТОГО Лэндинг'!$J$5:$J$300,'ИТОГО Лэндинг'!$B$5:$B$300,$B67)+SUMIFS('История'!$J$5:$J$300,'История'!$B$5:$B$300,$B67),8)))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Лэндинг'!$B$5:$B$300,$B67)+SUMIFS('История'!$K$5:$K$300,'История'!$B$5:$B$300,$B67),8))</f>
        <v/>
      </c>
      <c r="L67" s="177">
        <f>IF(K67="","",IF(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&lt;=0,0,ROUND(K67/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*100,2)))</f>
        <v/>
      </c>
      <c r="M67" s="343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inlineStr">
        <is>
          <t>LTC/USD</t>
        </is>
      </c>
      <c r="C68" s="246">
        <f>IF($B68="","",IF(SUMIFS('ИТОГО Торговля'!$C$5:$C$300,'ИТОГО Торговля'!$B$5:$B$300,$B68)+SUMIFS('ИТОГО Лэндинг'!$C$5:$C$300,'ИТОГО Лэндинг'!$B$5:$B$300,$B68)+SUMIFS('История'!$C$5:$C$300,'История'!$B$5:$B$300,$B68)=0,"",SUMIFS('ИТОГО Торговля'!$C$5:$C$300,'ИТОГО Торговля'!$B$5:$B$300,$B68)+SUMIFS('ИТОГО Лэндинг'!$C$5:$C$300,'ИТОГО Лэндинг'!$B$5:$B$300,$B68)+SUMIFS('История'!$C$5:$C$300,'История'!$B$5:$B$300,$B68)))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Лэндинг'!$B$5:$B$300,$B68)+SUMIFS('История'!$E$5:$E$300,'История'!$B$5:$B$300,$B68))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Лэндинг'!$B$5:$B$300,$B68)+SUMIFS('История'!$F$5:$F$300,'История'!$B$5:$B$300,$B68)=0,"",SUMIFS('ИТОГО Торговля'!$F$5:$F$300,'ИТОГО Торговля'!$B$5:$B$300,$B68)+SUMIFS('ИТОГО Лэндинг'!$F$5:$F$300,'ИТОГО Лэндинг'!$B$5:$B$300,$B68)+SUMIFS('История'!$F$5:$F$300,'История'!$B$5:$B$300,$B68)))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Лэндинг'!$B$5:$B$300,$B68)+SUMIFS('История'!$H$5:$H$300,'История'!$B$5:$B$300,$B68))</f>
        <v/>
      </c>
      <c r="I68" s="341">
        <f>IF($B68="","",IF(AND(C68="",F68=""),"",ROUND(SUMIFS('ИТОГО Торговля'!$I$5:$I$300,'ИТОГО Торговля'!$B$5:$B$300,$B68)+SUMIFS('ИТОГО Лэндинг'!$I$5:$I$300,'ИТОГО Лэндинг'!$B$5:$B$300,$B68)+SUMIFS('История'!$I$5:$I$300,'История'!$B$5:$B$300,$B68),8)))</f>
        <v/>
      </c>
      <c r="J68" s="342">
        <f>IF($B68="","",IF(AND(C68="",F68=""),"",ROUND(SUMIFS('ИТОГО Торговля'!$J$5:$J$300,'ИТОГО Торговля'!$B$5:$B$300,$B68)+SUMIFS('ИТОГО Лэндинг'!$J$5:$J$300,'ИТОГО Лэндинг'!$B$5:$B$300,$B68)+SUMIFS('История'!$J$5:$J$300,'История'!$B$5:$B$300,$B68),8)))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Лэндинг'!$B$5:$B$300,$B68)+SUMIFS('История'!$K$5:$K$300,'История'!$B$5:$B$300,$B68),8))</f>
        <v/>
      </c>
      <c r="L68" s="183">
        <f>IF(K68="","",IF(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&lt;=0,0,ROUND(K68/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*100,2)))</f>
        <v/>
      </c>
      <c r="M68" s="344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inlineStr">
        <is>
          <t>LUNA/USD</t>
        </is>
      </c>
      <c r="C69" s="240">
        <f>IF($B69="","",IF(SUMIFS('ИТОГО Торговля'!$C$5:$C$300,'ИТОГО Торговля'!$B$5:$B$300,$B69)+SUMIFS('ИТОГО Лэндинг'!$C$5:$C$300,'ИТОГО Лэндинг'!$B$5:$B$300,$B69)+SUMIFS('История'!$C$5:$C$300,'История'!$B$5:$B$300,$B69)=0,"",SUMIFS('ИТОГО Торговля'!$C$5:$C$300,'ИТОГО Торговля'!$B$5:$B$300,$B69)+SUMIFS('ИТОГО Лэндинг'!$C$5:$C$300,'ИТОГО Лэндинг'!$B$5:$B$300,$B69)+SUMIFS('История'!$C$5:$C$300,'История'!$B$5:$B$300,$B69)))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Лэндинг'!$B$5:$B$300,$B69)+SUMIFS('История'!$E$5:$E$300,'История'!$B$5:$B$300,$B69))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Лэндинг'!$B$5:$B$300,$B69)+SUMIFS('История'!$F$5:$F$300,'История'!$B$5:$B$300,$B69)=0,"",SUMIFS('ИТОГО Торговля'!$F$5:$F$300,'ИТОГО Торговля'!$B$5:$B$300,$B69)+SUMIFS('ИТОГО Лэндинг'!$F$5:$F$300,'ИТОГО Лэндинг'!$B$5:$B$300,$B69)+SUMIFS('История'!$F$5:$F$300,'История'!$B$5:$B$300,$B69)))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Лэндинг'!$B$5:$B$300,$B69)+SUMIFS('История'!$H$5:$H$300,'История'!$B$5:$B$300,$B69))</f>
        <v/>
      </c>
      <c r="I69" s="339">
        <f>IF($B69="","",IF(AND(C69="",F69=""),"",ROUND(SUMIFS('ИТОГО Торговля'!$I$5:$I$300,'ИТОГО Торговля'!$B$5:$B$300,$B69)+SUMIFS('ИТОГО Лэндинг'!$I$5:$I$300,'ИТОГО Лэндинг'!$B$5:$B$300,$B69)+SUMIFS('История'!$I$5:$I$300,'История'!$B$5:$B$300,$B69),8)))</f>
        <v/>
      </c>
      <c r="J69" s="340">
        <f>IF($B69="","",IF(AND(C69="",F69=""),"",ROUND(SUMIFS('ИТОГО Торговля'!$J$5:$J$300,'ИТОГО Торговля'!$B$5:$B$300,$B69)+SUMIFS('ИТОГО Лэндинг'!$J$5:$J$300,'ИТОГО Лэндинг'!$B$5:$B$300,$B69)+SUMIFS('История'!$J$5:$J$300,'История'!$B$5:$B$300,$B69),8)))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Лэндинг'!$B$5:$B$300,$B69)+SUMIFS('История'!$K$5:$K$300,'История'!$B$5:$B$300,$B69),8))</f>
        <v/>
      </c>
      <c r="L69" s="177">
        <f>IF(K69="","",IF(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&lt;=0,0,ROUND(K69/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*100,2)))</f>
        <v/>
      </c>
      <c r="M69" s="343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inlineStr">
        <is>
          <t>MAGIC/BTC</t>
        </is>
      </c>
      <c r="C70" s="246">
        <f>IF($B70="","",IF(SUMIFS('ИТОГО Торговля'!$C$5:$C$300,'ИТОГО Торговля'!$B$5:$B$300,$B70)+SUMIFS('ИТОГО Лэндинг'!$C$5:$C$300,'ИТОГО Лэндинг'!$B$5:$B$300,$B70)+SUMIFS('История'!$C$5:$C$300,'История'!$B$5:$B$300,$B70)=0,"",SUMIFS('ИТОГО Торговля'!$C$5:$C$300,'ИТОГО Торговля'!$B$5:$B$300,$B70)+SUMIFS('ИТОГО Лэндинг'!$C$5:$C$300,'ИТОГО Лэндинг'!$B$5:$B$300,$B70)+SUMIFS('История'!$C$5:$C$300,'История'!$B$5:$B$300,$B70)))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Лэндинг'!$B$5:$B$300,$B70)+SUMIFS('История'!$E$5:$E$300,'История'!$B$5:$B$300,$B70))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Лэндинг'!$B$5:$B$300,$B70)+SUMIFS('История'!$F$5:$F$300,'История'!$B$5:$B$300,$B70)=0,"",SUMIFS('ИТОГО Торговля'!$F$5:$F$300,'ИТОГО Торговля'!$B$5:$B$300,$B70)+SUMIFS('ИТОГО Лэндинг'!$F$5:$F$300,'ИТОГО Лэндинг'!$B$5:$B$300,$B70)+SUMIFS('История'!$F$5:$F$300,'История'!$B$5:$B$300,$B70)))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Лэндинг'!$B$5:$B$300,$B70)+SUMIFS('История'!$H$5:$H$300,'История'!$B$5:$B$300,$B70))</f>
        <v/>
      </c>
      <c r="I70" s="341">
        <f>IF($B70="","",IF(AND(C70="",F70=""),"",ROUND(SUMIFS('ИТОГО Торговля'!$I$5:$I$300,'ИТОГО Торговля'!$B$5:$B$300,$B70)+SUMIFS('ИТОГО Лэндинг'!$I$5:$I$300,'ИТОГО Лэндинг'!$B$5:$B$300,$B70)+SUMIFS('История'!$I$5:$I$300,'История'!$B$5:$B$300,$B70),8)))</f>
        <v/>
      </c>
      <c r="J70" s="342">
        <f>IF($B70="","",IF(AND(C70="",F70=""),"",ROUND(SUMIFS('ИТОГО Торговля'!$J$5:$J$300,'ИТОГО Торговля'!$B$5:$B$300,$B70)+SUMIFS('ИТОГО Лэндинг'!$J$5:$J$300,'ИТОГО Лэндинг'!$B$5:$B$300,$B70)+SUMIFS('История'!$J$5:$J$300,'История'!$B$5:$B$300,$B70),8)))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Лэндинг'!$B$5:$B$300,$B70)+SUMIFS('История'!$K$5:$K$300,'История'!$B$5:$B$300,$B70),8))</f>
        <v/>
      </c>
      <c r="L70" s="183">
        <f>IF(K70="","",IF(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&lt;=0,0,ROUND(K70/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*100,2)))</f>
        <v/>
      </c>
      <c r="M70" s="344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inlineStr">
        <is>
          <t>MATIC/BTC</t>
        </is>
      </c>
      <c r="C71" s="240">
        <f>IF($B71="","",IF(SUMIFS('ИТОГО Торговля'!$C$5:$C$300,'ИТОГО Торговля'!$B$5:$B$300,$B71)+SUMIFS('ИТОГО Лэндинг'!$C$5:$C$300,'ИТОГО Лэндинг'!$B$5:$B$300,$B71)+SUMIFS('История'!$C$5:$C$300,'История'!$B$5:$B$300,$B71)=0,"",SUMIFS('ИТОГО Торговля'!$C$5:$C$300,'ИТОГО Торговля'!$B$5:$B$300,$B71)+SUMIFS('ИТОГО Лэндинг'!$C$5:$C$300,'ИТОГО Лэндинг'!$B$5:$B$300,$B71)+SUMIFS('История'!$C$5:$C$300,'История'!$B$5:$B$300,$B71)))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Лэндинг'!$B$5:$B$300,$B71)+SUMIFS('История'!$E$5:$E$300,'История'!$B$5:$B$300,$B71))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Лэндинг'!$B$5:$B$300,$B71)+SUMIFS('История'!$F$5:$F$300,'История'!$B$5:$B$300,$B71)=0,"",SUMIFS('ИТОГО Торговля'!$F$5:$F$300,'ИТОГО Торговля'!$B$5:$B$300,$B71)+SUMIFS('ИТОГО Лэндинг'!$F$5:$F$300,'ИТОГО Лэндинг'!$B$5:$B$300,$B71)+SUMIFS('История'!$F$5:$F$300,'История'!$B$5:$B$300,$B71)))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Лэндинг'!$B$5:$B$300,$B71)+SUMIFS('История'!$H$5:$H$300,'История'!$B$5:$B$300,$B71))</f>
        <v/>
      </c>
      <c r="I71" s="339">
        <f>IF($B71="","",IF(AND(C71="",F71=""),"",ROUND(SUMIFS('ИТОГО Торговля'!$I$5:$I$300,'ИТОГО Торговля'!$B$5:$B$300,$B71)+SUMIFS('ИТОГО Лэндинг'!$I$5:$I$300,'ИТОГО Лэндинг'!$B$5:$B$300,$B71)+SUMIFS('История'!$I$5:$I$300,'История'!$B$5:$B$300,$B71),8)))</f>
        <v/>
      </c>
      <c r="J71" s="340">
        <f>IF($B71="","",IF(AND(C71="",F71=""),"",ROUND(SUMIFS('ИТОГО Торговля'!$J$5:$J$300,'ИТОГО Торговля'!$B$5:$B$300,$B71)+SUMIFS('ИТОГО Лэндинг'!$J$5:$J$300,'ИТОГО Лэндинг'!$B$5:$B$300,$B71)+SUMIFS('История'!$J$5:$J$300,'История'!$B$5:$B$300,$B71),8)))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Лэндинг'!$B$5:$B$300,$B71)+SUMIFS('История'!$K$5:$K$300,'История'!$B$5:$B$300,$B71),8))</f>
        <v/>
      </c>
      <c r="L71" s="177">
        <f>IF(K71="","",IF(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&lt;=0,0,ROUND(K71/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*100,2)))</f>
        <v/>
      </c>
      <c r="M71" s="343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inlineStr">
        <is>
          <t>MATIC/USD</t>
        </is>
      </c>
      <c r="C72" s="246">
        <f>IF($B72="","",IF(SUMIFS('ИТОГО Торговля'!$C$5:$C$300,'ИТОГО Торговля'!$B$5:$B$300,$B72)+SUMIFS('ИТОГО Лэндинг'!$C$5:$C$300,'ИТОГО Лэндинг'!$B$5:$B$300,$B72)+SUMIFS('История'!$C$5:$C$300,'История'!$B$5:$B$300,$B72)=0,"",SUMIFS('ИТОГО Торговля'!$C$5:$C$300,'ИТОГО Торговля'!$B$5:$B$300,$B72)+SUMIFS('ИТОГО Лэндинг'!$C$5:$C$300,'ИТОГО Лэндинг'!$B$5:$B$300,$B72)+SUMIFS('История'!$C$5:$C$300,'История'!$B$5:$B$300,$B72)))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Лэндинг'!$B$5:$B$300,$B72)+SUMIFS('История'!$E$5:$E$300,'История'!$B$5:$B$300,$B72))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Лэндинг'!$B$5:$B$300,$B72)+SUMIFS('История'!$F$5:$F$300,'История'!$B$5:$B$300,$B72)=0,"",SUMIFS('ИТОГО Торговля'!$F$5:$F$300,'ИТОГО Торговля'!$B$5:$B$300,$B72)+SUMIFS('ИТОГО Лэндинг'!$F$5:$F$300,'ИТОГО Лэндинг'!$B$5:$B$300,$B72)+SUMIFS('История'!$F$5:$F$300,'История'!$B$5:$B$300,$B72)))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Лэндинг'!$B$5:$B$300,$B72)+SUMIFS('История'!$H$5:$H$300,'История'!$B$5:$B$300,$B72))</f>
        <v/>
      </c>
      <c r="I72" s="341">
        <f>IF($B72="","",IF(AND(C72="",F72=""),"",ROUND(SUMIFS('ИТОГО Торговля'!$I$5:$I$300,'ИТОГО Торговля'!$B$5:$B$300,$B72)+SUMIFS('ИТОГО Лэндинг'!$I$5:$I$300,'ИТОГО Лэндинг'!$B$5:$B$300,$B72)+SUMIFS('История'!$I$5:$I$300,'История'!$B$5:$B$300,$B72),8)))</f>
        <v/>
      </c>
      <c r="J72" s="342">
        <f>IF($B72="","",IF(AND(C72="",F72=""),"",ROUND(SUMIFS('ИТОГО Торговля'!$J$5:$J$300,'ИТОГО Торговля'!$B$5:$B$300,$B72)+SUMIFS('ИТОГО Лэндинг'!$J$5:$J$300,'ИТОГО Лэндинг'!$B$5:$B$300,$B72)+SUMIFS('История'!$J$5:$J$300,'История'!$B$5:$B$300,$B72),8)))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Лэндинг'!$B$5:$B$300,$B72)+SUMIFS('История'!$K$5:$K$300,'История'!$B$5:$B$300,$B72),8))</f>
        <v/>
      </c>
      <c r="L72" s="183">
        <f>IF(K72="","",IF(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&lt;=0,0,ROUND(K72/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*100,2)))</f>
        <v/>
      </c>
      <c r="M72" s="344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inlineStr">
        <is>
          <t>MNT/USDT</t>
        </is>
      </c>
      <c r="C73" s="240">
        <f>IF($B73="","",IF(SUMIFS('ИТОГО Торговля'!$C$5:$C$300,'ИТОГО Торговля'!$B$5:$B$300,$B73)+SUMIFS('ИТОГО Лэндинг'!$C$5:$C$300,'ИТОГО Лэндинг'!$B$5:$B$300,$B73)+SUMIFS('История'!$C$5:$C$300,'История'!$B$5:$B$300,$B73)=0,"",SUMIFS('ИТОГО Торговля'!$C$5:$C$300,'ИТОГО Торговля'!$B$5:$B$300,$B73)+SUMIFS('ИТОГО Лэндинг'!$C$5:$C$300,'ИТОГО Лэндинг'!$B$5:$B$300,$B73)+SUMIFS('История'!$C$5:$C$300,'История'!$B$5:$B$300,$B73)))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Лэндинг'!$B$5:$B$300,$B73)+SUMIFS('История'!$E$5:$E$300,'История'!$B$5:$B$300,$B73))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Лэндинг'!$B$5:$B$300,$B73)+SUMIFS('История'!$F$5:$F$300,'История'!$B$5:$B$300,$B73)=0,"",SUMIFS('ИТОГО Торговля'!$F$5:$F$300,'ИТОГО Торговля'!$B$5:$B$300,$B73)+SUMIFS('ИТОГО Лэндинг'!$F$5:$F$300,'ИТОГО Лэндинг'!$B$5:$B$300,$B73)+SUMIFS('История'!$F$5:$F$300,'История'!$B$5:$B$300,$B73)))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Лэндинг'!$B$5:$B$300,$B73)+SUMIFS('История'!$H$5:$H$300,'История'!$B$5:$B$300,$B73))</f>
        <v/>
      </c>
      <c r="I73" s="339">
        <f>IF($B73="","",IF(AND(C73="",F73=""),"",ROUND(SUMIFS('ИТОГО Торговля'!$I$5:$I$300,'ИТОГО Торговля'!$B$5:$B$300,$B73)+SUMIFS('ИТОГО Лэндинг'!$I$5:$I$300,'ИТОГО Лэндинг'!$B$5:$B$300,$B73)+SUMIFS('История'!$I$5:$I$300,'История'!$B$5:$B$300,$B73),8)))</f>
        <v/>
      </c>
      <c r="J73" s="340">
        <f>IF($B73="","",IF(AND(C73="",F73=""),"",ROUND(SUMIFS('ИТОГО Торговля'!$J$5:$J$300,'ИТОГО Торговля'!$B$5:$B$300,$B73)+SUMIFS('ИТОГО Лэндинг'!$J$5:$J$300,'ИТОГО Лэндинг'!$B$5:$B$300,$B73)+SUMIFS('История'!$J$5:$J$300,'История'!$B$5:$B$300,$B73),8)))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Лэндинг'!$B$5:$B$300,$B73)+SUMIFS('История'!$K$5:$K$300,'История'!$B$5:$B$300,$B73),8))</f>
        <v/>
      </c>
      <c r="L73" s="177">
        <f>IF(K73="","",IF(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&lt;=0,0,ROUND(K73/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*100,2)))</f>
        <v/>
      </c>
      <c r="M73" s="343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inlineStr">
        <is>
          <t>NEAR/BTC</t>
        </is>
      </c>
      <c r="C74" s="246">
        <f>IF($B74="","",IF(SUMIFS('ИТОГО Торговля'!$C$5:$C$300,'ИТОГО Торговля'!$B$5:$B$300,$B74)+SUMIFS('ИТОГО Лэндинг'!$C$5:$C$300,'ИТОГО Лэндинг'!$B$5:$B$300,$B74)+SUMIFS('История'!$C$5:$C$300,'История'!$B$5:$B$300,$B74)=0,"",SUMIFS('ИТОГО Торговля'!$C$5:$C$300,'ИТОГО Торговля'!$B$5:$B$300,$B74)+SUMIFS('ИТОГО Лэндинг'!$C$5:$C$300,'ИТОГО Лэндинг'!$B$5:$B$300,$B74)+SUMIFS('История'!$C$5:$C$300,'История'!$B$5:$B$300,$B74)))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Лэндинг'!$B$5:$B$300,$B74)+SUMIFS('История'!$E$5:$E$300,'История'!$B$5:$B$300,$B74))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Лэндинг'!$B$5:$B$300,$B74)+SUMIFS('История'!$F$5:$F$300,'История'!$B$5:$B$300,$B74)=0,"",SUMIFS('ИТОГО Торговля'!$F$5:$F$300,'ИТОГО Торговля'!$B$5:$B$300,$B74)+SUMIFS('ИТОГО Лэндинг'!$F$5:$F$300,'ИТОГО Лэндинг'!$B$5:$B$300,$B74)+SUMIFS('История'!$F$5:$F$300,'История'!$B$5:$B$300,$B74)))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Лэндинг'!$B$5:$B$300,$B74)+SUMIFS('История'!$H$5:$H$300,'История'!$B$5:$B$300,$B74))</f>
        <v/>
      </c>
      <c r="I74" s="341">
        <f>IF($B74="","",IF(AND(C74="",F74=""),"",ROUND(SUMIFS('ИТОГО Торговля'!$I$5:$I$300,'ИТОГО Торговля'!$B$5:$B$300,$B74)+SUMIFS('ИТОГО Лэндинг'!$I$5:$I$300,'ИТОГО Лэндинг'!$B$5:$B$300,$B74)+SUMIFS('История'!$I$5:$I$300,'История'!$B$5:$B$300,$B74),8)))</f>
        <v/>
      </c>
      <c r="J74" s="342">
        <f>IF($B74="","",IF(AND(C74="",F74=""),"",ROUND(SUMIFS('ИТОГО Торговля'!$J$5:$J$300,'ИТОГО Торговля'!$B$5:$B$300,$B74)+SUMIFS('ИТОГО Лэндинг'!$J$5:$J$300,'ИТОГО Лэндинг'!$B$5:$B$300,$B74)+SUMIFS('История'!$J$5:$J$300,'История'!$B$5:$B$300,$B74),8)))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Лэндинг'!$B$5:$B$300,$B74)+SUMIFS('История'!$K$5:$K$300,'История'!$B$5:$B$300,$B74),8))</f>
        <v/>
      </c>
      <c r="L74" s="183">
        <f>IF(K74="","",IF(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&lt;=0,0,ROUND(K74/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*100,2)))</f>
        <v/>
      </c>
      <c r="M74" s="344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inlineStr">
        <is>
          <t>NEAR/ETH</t>
        </is>
      </c>
      <c r="C75" s="240">
        <f>IF($B75="","",IF(SUMIFS('ИТОГО Торговля'!$C$5:$C$300,'ИТОГО Торговля'!$B$5:$B$300,$B75)+SUMIFS('ИТОГО Лэндинг'!$C$5:$C$300,'ИТОГО Лэндинг'!$B$5:$B$300,$B75)+SUMIFS('История'!$C$5:$C$300,'История'!$B$5:$B$300,$B75)=0,"",SUMIFS('ИТОГО Торговля'!$C$5:$C$300,'ИТОГО Торговля'!$B$5:$B$300,$B75)+SUMIFS('ИТОГО Лэндинг'!$C$5:$C$300,'ИТОГО Лэндинг'!$B$5:$B$300,$B75)+SUMIFS('История'!$C$5:$C$300,'История'!$B$5:$B$300,$B75)))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Лэндинг'!$B$5:$B$300,$B75)+SUMIFS('История'!$E$5:$E$300,'История'!$B$5:$B$300,$B75))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Лэндинг'!$B$5:$B$300,$B75)+SUMIFS('История'!$F$5:$F$300,'История'!$B$5:$B$300,$B75)=0,"",SUMIFS('ИТОГО Торговля'!$F$5:$F$300,'ИТОГО Торговля'!$B$5:$B$300,$B75)+SUMIFS('ИТОГО Лэндинг'!$F$5:$F$300,'ИТОГО Лэндинг'!$B$5:$B$300,$B75)+SUMIFS('История'!$F$5:$F$300,'История'!$B$5:$B$300,$B75)))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Лэндинг'!$B$5:$B$300,$B75)+SUMIFS('История'!$H$5:$H$300,'История'!$B$5:$B$300,$B75))</f>
        <v/>
      </c>
      <c r="I75" s="339">
        <f>IF($B75="","",IF(AND(C75="",F75=""),"",ROUND(SUMIFS('ИТОГО Торговля'!$I$5:$I$300,'ИТОГО Торговля'!$B$5:$B$300,$B75)+SUMIFS('ИТОГО Лэндинг'!$I$5:$I$300,'ИТОГО Лэндинг'!$B$5:$B$300,$B75)+SUMIFS('История'!$I$5:$I$300,'История'!$B$5:$B$300,$B75),8)))</f>
        <v/>
      </c>
      <c r="J75" s="340">
        <f>IF($B75="","",IF(AND(C75="",F75=""),"",ROUND(SUMIFS('ИТОГО Торговля'!$J$5:$J$300,'ИТОГО Торговля'!$B$5:$B$300,$B75)+SUMIFS('ИТОГО Лэндинг'!$J$5:$J$300,'ИТОГО Лэндинг'!$B$5:$B$300,$B75)+SUMIFS('История'!$J$5:$J$300,'История'!$B$5:$B$300,$B75),8)))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Лэндинг'!$B$5:$B$300,$B75)+SUMIFS('История'!$K$5:$K$300,'История'!$B$5:$B$300,$B75),8))</f>
        <v/>
      </c>
      <c r="L75" s="177">
        <f>IF(K75="","",IF(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&lt;=0,0,ROUND(K75/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*100,2)))</f>
        <v/>
      </c>
      <c r="M75" s="343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inlineStr">
        <is>
          <t>NEAR/USD</t>
        </is>
      </c>
      <c r="C76" s="246">
        <f>IF($B76="","",IF(SUMIFS('ИТОГО Торговля'!$C$5:$C$300,'ИТОГО Торговля'!$B$5:$B$300,$B76)+SUMIFS('ИТОГО Лэндинг'!$C$5:$C$300,'ИТОГО Лэндинг'!$B$5:$B$300,$B76)+SUMIFS('История'!$C$5:$C$300,'История'!$B$5:$B$300,$B76)=0,"",SUMIFS('ИТОГО Торговля'!$C$5:$C$300,'ИТОГО Торговля'!$B$5:$B$300,$B76)+SUMIFS('ИТОГО Лэндинг'!$C$5:$C$300,'ИТОГО Лэндинг'!$B$5:$B$300,$B76)+SUMIFS('История'!$C$5:$C$300,'История'!$B$5:$B$300,$B76)))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Лэндинг'!$B$5:$B$300,$B76)+SUMIFS('История'!$E$5:$E$300,'История'!$B$5:$B$300,$B76))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Лэндинг'!$B$5:$B$300,$B76)+SUMIFS('История'!$F$5:$F$300,'История'!$B$5:$B$300,$B76)=0,"",SUMIFS('ИТОГО Торговля'!$F$5:$F$300,'ИТОГО Торговля'!$B$5:$B$300,$B76)+SUMIFS('ИТОГО Лэндинг'!$F$5:$F$300,'ИТОГО Лэндинг'!$B$5:$B$300,$B76)+SUMIFS('История'!$F$5:$F$300,'История'!$B$5:$B$300,$B76)))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Лэндинг'!$B$5:$B$300,$B76)+SUMIFS('История'!$H$5:$H$300,'История'!$B$5:$B$300,$B76))</f>
        <v/>
      </c>
      <c r="I76" s="341">
        <f>IF($B76="","",IF(AND(C76="",F76=""),"",ROUND(SUMIFS('ИТОГО Торговля'!$I$5:$I$300,'ИТОГО Торговля'!$B$5:$B$300,$B76)+SUMIFS('ИТОГО Лэндинг'!$I$5:$I$300,'ИТОГО Лэндинг'!$B$5:$B$300,$B76)+SUMIFS('История'!$I$5:$I$300,'История'!$B$5:$B$300,$B76),8)))</f>
        <v/>
      </c>
      <c r="J76" s="342">
        <f>IF($B76="","",IF(AND(C76="",F76=""),"",ROUND(SUMIFS('ИТОГО Торговля'!$J$5:$J$300,'ИТОГО Торговля'!$B$5:$B$300,$B76)+SUMIFS('ИТОГО Лэндинг'!$J$5:$J$300,'ИТОГО Лэндинг'!$B$5:$B$300,$B76)+SUMIFS('История'!$J$5:$J$300,'История'!$B$5:$B$300,$B76),8)))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Лэндинг'!$B$5:$B$300,$B76)+SUMIFS('История'!$K$5:$K$300,'История'!$B$5:$B$300,$B76),8))</f>
        <v/>
      </c>
      <c r="L76" s="183">
        <f>IF(K76="","",IF(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&lt;=0,0,ROUND(K76/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*100,2)))</f>
        <v/>
      </c>
      <c r="M76" s="344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inlineStr">
        <is>
          <t>NEO/BTC</t>
        </is>
      </c>
      <c r="C77" s="240">
        <f>IF($B77="","",IF(SUMIFS('ИТОГО Торговля'!$C$5:$C$300,'ИТОГО Торговля'!$B$5:$B$300,$B77)+SUMIFS('ИТОГО Лэндинг'!$C$5:$C$300,'ИТОГО Лэндинг'!$B$5:$B$300,$B77)+SUMIFS('История'!$C$5:$C$300,'История'!$B$5:$B$300,$B77)=0,"",SUMIFS('ИТОГО Торговля'!$C$5:$C$300,'ИТОГО Торговля'!$B$5:$B$300,$B77)+SUMIFS('ИТОГО Лэндинг'!$C$5:$C$300,'ИТОГО Лэндинг'!$B$5:$B$300,$B77)+SUMIFS('История'!$C$5:$C$300,'История'!$B$5:$B$300,$B77)))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Лэндинг'!$B$5:$B$300,$B77)+SUMIFS('История'!$E$5:$E$300,'История'!$B$5:$B$300,$B77))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Лэндинг'!$B$5:$B$300,$B77)+SUMIFS('История'!$F$5:$F$300,'История'!$B$5:$B$300,$B77)=0,"",SUMIFS('ИТОГО Торговля'!$F$5:$F$300,'ИТОГО Торговля'!$B$5:$B$300,$B77)+SUMIFS('ИТОГО Лэндинг'!$F$5:$F$300,'ИТОГО Лэндинг'!$B$5:$B$300,$B77)+SUMIFS('История'!$F$5:$F$300,'История'!$B$5:$B$300,$B77)))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Лэндинг'!$B$5:$B$300,$B77)+SUMIFS('История'!$H$5:$H$300,'История'!$B$5:$B$300,$B77))</f>
        <v/>
      </c>
      <c r="I77" s="339">
        <f>IF($B77="","",IF(AND(C77="",F77=""),"",ROUND(SUMIFS('ИТОГО Торговля'!$I$5:$I$300,'ИТОГО Торговля'!$B$5:$B$300,$B77)+SUMIFS('ИТОГО Лэндинг'!$I$5:$I$300,'ИТОГО Лэндинг'!$B$5:$B$300,$B77)+SUMIFS('История'!$I$5:$I$300,'История'!$B$5:$B$300,$B77),8)))</f>
        <v/>
      </c>
      <c r="J77" s="340">
        <f>IF($B77="","",IF(AND(C77="",F77=""),"",ROUND(SUMIFS('ИТОГО Торговля'!$J$5:$J$300,'ИТОГО Торговля'!$B$5:$B$300,$B77)+SUMIFS('ИТОГО Лэндинг'!$J$5:$J$300,'ИТОГО Лэндинг'!$B$5:$B$300,$B77)+SUMIFS('История'!$J$5:$J$300,'История'!$B$5:$B$300,$B77),8)))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Лэндинг'!$B$5:$B$300,$B77)+SUMIFS('История'!$K$5:$K$300,'История'!$B$5:$B$300,$B77),8))</f>
        <v/>
      </c>
      <c r="L77" s="177">
        <f>IF(K77="","",IF(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&lt;=0,0,ROUND(K77/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*100,2)))</f>
        <v/>
      </c>
      <c r="M77" s="343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inlineStr">
        <is>
          <t>NEO/ETH</t>
        </is>
      </c>
      <c r="C78" s="246">
        <f>IF($B78="","",IF(SUMIFS('ИТОГО Торговля'!$C$5:$C$300,'ИТОГО Торговля'!$B$5:$B$300,$B78)+SUMIFS('ИТОГО Лэндинг'!$C$5:$C$300,'ИТОГО Лэндинг'!$B$5:$B$300,$B78)+SUMIFS('История'!$C$5:$C$300,'История'!$B$5:$B$300,$B78)=0,"",SUMIFS('ИТОГО Торговля'!$C$5:$C$300,'ИТОГО Торговля'!$B$5:$B$300,$B78)+SUMIFS('ИТОГО Лэндинг'!$C$5:$C$300,'ИТОГО Лэндинг'!$B$5:$B$300,$B78)+SUMIFS('История'!$C$5:$C$300,'История'!$B$5:$B$300,$B78)))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Лэндинг'!$B$5:$B$300,$B78)+SUMIFS('История'!$E$5:$E$300,'История'!$B$5:$B$300,$B78))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Лэндинг'!$B$5:$B$300,$B78)+SUMIFS('История'!$F$5:$F$300,'История'!$B$5:$B$300,$B78)=0,"",SUMIFS('ИТОГО Торговля'!$F$5:$F$300,'ИТОГО Торговля'!$B$5:$B$300,$B78)+SUMIFS('ИТОГО Лэндинг'!$F$5:$F$300,'ИТОГО Лэндинг'!$B$5:$B$300,$B78)+SUMIFS('История'!$F$5:$F$300,'История'!$B$5:$B$300,$B78)))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Лэндинг'!$B$5:$B$300,$B78)+SUMIFS('История'!$H$5:$H$300,'История'!$B$5:$B$300,$B78))</f>
        <v/>
      </c>
      <c r="I78" s="341">
        <f>IF($B78="","",IF(AND(C78="",F78=""),"",ROUND(SUMIFS('ИТОГО Торговля'!$I$5:$I$300,'ИТОГО Торговля'!$B$5:$B$300,$B78)+SUMIFS('ИТОГО Лэндинг'!$I$5:$I$300,'ИТОГО Лэндинг'!$B$5:$B$300,$B78)+SUMIFS('История'!$I$5:$I$300,'История'!$B$5:$B$300,$B78),8)))</f>
        <v/>
      </c>
      <c r="J78" s="342">
        <f>IF($B78="","",IF(AND(C78="",F78=""),"",ROUND(SUMIFS('ИТОГО Торговля'!$J$5:$J$300,'ИТОГО Торговля'!$B$5:$B$300,$B78)+SUMIFS('ИТОГО Лэндинг'!$J$5:$J$300,'ИТОГО Лэндинг'!$B$5:$B$300,$B78)+SUMIFS('История'!$J$5:$J$300,'История'!$B$5:$B$300,$B78),8)))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Лэндинг'!$B$5:$B$300,$B78)+SUMIFS('История'!$K$5:$K$300,'История'!$B$5:$B$300,$B78),8))</f>
        <v/>
      </c>
      <c r="L78" s="183">
        <f>IF(K78="","",IF(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&lt;=0,0,ROUND(K78/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*100,2)))</f>
        <v/>
      </c>
      <c r="M78" s="344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inlineStr">
        <is>
          <t>NEO/USD</t>
        </is>
      </c>
      <c r="C79" s="240">
        <f>IF($B79="","",IF(SUMIFS('ИТОГО Торговля'!$C$5:$C$300,'ИТОГО Торговля'!$B$5:$B$300,$B79)+SUMIFS('ИТОГО Лэндинг'!$C$5:$C$300,'ИТОГО Лэндинг'!$B$5:$B$300,$B79)+SUMIFS('История'!$C$5:$C$300,'История'!$B$5:$B$300,$B79)=0,"",SUMIFS('ИТОГО Торговля'!$C$5:$C$300,'ИТОГО Торговля'!$B$5:$B$300,$B79)+SUMIFS('ИТОГО Лэндинг'!$C$5:$C$300,'ИТОГО Лэндинг'!$B$5:$B$300,$B79)+SUMIFS('История'!$C$5:$C$300,'История'!$B$5:$B$300,$B79)))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Лэндинг'!$B$5:$B$300,$B79)+SUMIFS('История'!$E$5:$E$300,'История'!$B$5:$B$300,$B79))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Лэндинг'!$B$5:$B$300,$B79)+SUMIFS('История'!$F$5:$F$300,'История'!$B$5:$B$300,$B79)=0,"",SUMIFS('ИТОГО Торговля'!$F$5:$F$300,'ИТОГО Торговля'!$B$5:$B$300,$B79)+SUMIFS('ИТОГО Лэндинг'!$F$5:$F$300,'ИТОГО Лэндинг'!$B$5:$B$300,$B79)+SUMIFS('История'!$F$5:$F$300,'История'!$B$5:$B$300,$B79)))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Лэндинг'!$B$5:$B$300,$B79)+SUMIFS('История'!$H$5:$H$300,'История'!$B$5:$B$300,$B79))</f>
        <v/>
      </c>
      <c r="I79" s="339">
        <f>IF($B79="","",IF(AND(C79="",F79=""),"",ROUND(SUMIFS('ИТОГО Торговля'!$I$5:$I$300,'ИТОГО Торговля'!$B$5:$B$300,$B79)+SUMIFS('ИТОГО Лэндинг'!$I$5:$I$300,'ИТОГО Лэндинг'!$B$5:$B$300,$B79)+SUMIFS('История'!$I$5:$I$300,'История'!$B$5:$B$300,$B79),8)))</f>
        <v/>
      </c>
      <c r="J79" s="340">
        <f>IF($B79="","",IF(AND(C79="",F79=""),"",ROUND(SUMIFS('ИТОГО Торговля'!$J$5:$J$300,'ИТОГО Торговля'!$B$5:$B$300,$B79)+SUMIFS('ИТОГО Лэндинг'!$J$5:$J$300,'ИТОГО Лэндинг'!$B$5:$B$300,$B79)+SUMIFS('История'!$J$5:$J$300,'История'!$B$5:$B$300,$B79),8)))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Лэндинг'!$B$5:$B$300,$B79)+SUMIFS('История'!$K$5:$K$300,'История'!$B$5:$B$300,$B79),8))</f>
        <v/>
      </c>
      <c r="L79" s="177">
        <f>IF(K79="","",IF(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&lt;=0,0,ROUND(K79/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*100,2)))</f>
        <v/>
      </c>
      <c r="M79" s="343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inlineStr">
        <is>
          <t>NFT/USD</t>
        </is>
      </c>
      <c r="C80" s="246">
        <f>IF($B80="","",IF(SUMIFS('ИТОГО Торговля'!$C$5:$C$300,'ИТОГО Торговля'!$B$5:$B$300,$B80)+SUMIFS('ИТОГО Лэндинг'!$C$5:$C$300,'ИТОГО Лэндинг'!$B$5:$B$300,$B80)+SUMIFS('История'!$C$5:$C$300,'История'!$B$5:$B$300,$B80)=0,"",SUMIFS('ИТОГО Торговля'!$C$5:$C$300,'ИТОГО Торговля'!$B$5:$B$300,$B80)+SUMIFS('ИТОГО Лэндинг'!$C$5:$C$300,'ИТОГО Лэндинг'!$B$5:$B$300,$B80)+SUMIFS('История'!$C$5:$C$300,'История'!$B$5:$B$300,$B80)))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Лэндинг'!$B$5:$B$300,$B80)+SUMIFS('История'!$E$5:$E$300,'История'!$B$5:$B$300,$B80))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Лэндинг'!$B$5:$B$300,$B80)+SUMIFS('История'!$F$5:$F$300,'История'!$B$5:$B$300,$B80)=0,"",SUMIFS('ИТОГО Торговля'!$F$5:$F$300,'ИТОГО Торговля'!$B$5:$B$300,$B80)+SUMIFS('ИТОГО Лэндинг'!$F$5:$F$300,'ИТОГО Лэндинг'!$B$5:$B$300,$B80)+SUMIFS('История'!$F$5:$F$300,'История'!$B$5:$B$300,$B80)))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Лэндинг'!$B$5:$B$300,$B80)+SUMIFS('История'!$H$5:$H$300,'История'!$B$5:$B$300,$B80))</f>
        <v/>
      </c>
      <c r="I80" s="341">
        <f>IF($B80="","",IF(AND(C80="",F80=""),"",ROUND(SUMIFS('ИТОГО Торговля'!$I$5:$I$300,'ИТОГО Торговля'!$B$5:$B$300,$B80)+SUMIFS('ИТОГО Лэндинг'!$I$5:$I$300,'ИТОГО Лэндинг'!$B$5:$B$300,$B80)+SUMIFS('История'!$I$5:$I$300,'История'!$B$5:$B$300,$B80),8)))</f>
        <v/>
      </c>
      <c r="J80" s="342">
        <f>IF($B80="","",IF(AND(C80="",F80=""),"",ROUND(SUMIFS('ИТОГО Торговля'!$J$5:$J$300,'ИТОГО Торговля'!$B$5:$B$300,$B80)+SUMIFS('ИТОГО Лэндинг'!$J$5:$J$300,'ИТОГО Лэндинг'!$B$5:$B$300,$B80)+SUMIFS('История'!$J$5:$J$300,'История'!$B$5:$B$300,$B80),8)))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Лэндинг'!$B$5:$B$300,$B80)+SUMIFS('История'!$K$5:$K$300,'История'!$B$5:$B$300,$B80),8))</f>
        <v/>
      </c>
      <c r="L80" s="183">
        <f>IF(K80="","",IF(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&lt;=0,0,ROUND(K80/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*100,2)))</f>
        <v/>
      </c>
      <c r="M80" s="344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inlineStr">
        <is>
          <t>PAXG/USD</t>
        </is>
      </c>
      <c r="C81" s="240">
        <f>IF($B81="","",IF(SUMIFS('ИТОГО Торговля'!$C$5:$C$300,'ИТОГО Торговля'!$B$5:$B$300,$B81)+SUMIFS('ИТОГО Лэндинг'!$C$5:$C$300,'ИТОГО Лэндинг'!$B$5:$B$300,$B81)+SUMIFS('История'!$C$5:$C$300,'История'!$B$5:$B$300,$B81)=0,"",SUMIFS('ИТОГО Торговля'!$C$5:$C$300,'ИТОГО Торговля'!$B$5:$B$300,$B81)+SUMIFS('ИТОГО Лэндинг'!$C$5:$C$300,'ИТОГО Лэндинг'!$B$5:$B$300,$B81)+SUMIFS('История'!$C$5:$C$300,'История'!$B$5:$B$300,$B81)))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Лэндинг'!$B$5:$B$300,$B81)+SUMIFS('История'!$E$5:$E$300,'История'!$B$5:$B$300,$B81))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Лэндинг'!$B$5:$B$300,$B81)+SUMIFS('История'!$F$5:$F$300,'История'!$B$5:$B$300,$B81)=0,"",SUMIFS('ИТОГО Торговля'!$F$5:$F$300,'ИТОГО Торговля'!$B$5:$B$300,$B81)+SUMIFS('ИТОГО Лэндинг'!$F$5:$F$300,'ИТОГО Лэндинг'!$B$5:$B$300,$B81)+SUMIFS('История'!$F$5:$F$300,'История'!$B$5:$B$300,$B81)))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Лэндинг'!$B$5:$B$300,$B81)+SUMIFS('История'!$H$5:$H$300,'История'!$B$5:$B$300,$B81))</f>
        <v/>
      </c>
      <c r="I81" s="339">
        <f>IF($B81="","",IF(AND(C81="",F81=""),"",ROUND(SUMIFS('ИТОГО Торговля'!$I$5:$I$300,'ИТОГО Торговля'!$B$5:$B$300,$B81)+SUMIFS('ИТОГО Лэндинг'!$I$5:$I$300,'ИТОГО Лэндинг'!$B$5:$B$300,$B81)+SUMIFS('История'!$I$5:$I$300,'История'!$B$5:$B$300,$B81),8)))</f>
        <v/>
      </c>
      <c r="J81" s="340">
        <f>IF($B81="","",IF(AND(C81="",F81=""),"",ROUND(SUMIFS('ИТОГО Торговля'!$J$5:$J$300,'ИТОГО Торговля'!$B$5:$B$300,$B81)+SUMIFS('ИТОГО Лэндинг'!$J$5:$J$300,'ИТОГО Лэндинг'!$B$5:$B$300,$B81)+SUMIFS('История'!$J$5:$J$300,'История'!$B$5:$B$300,$B81),8)))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Лэндинг'!$B$5:$B$300,$B81)+SUMIFS('История'!$K$5:$K$300,'История'!$B$5:$B$300,$B81),8))</f>
        <v/>
      </c>
      <c r="L81" s="177">
        <f>IF(K81="","",IF(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&lt;=0,0,ROUND(K81/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*100,2)))</f>
        <v/>
      </c>
      <c r="M81" s="343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inlineStr">
        <is>
          <t>PHA/BTC</t>
        </is>
      </c>
      <c r="C82" s="246">
        <f>IF($B82="","",IF(SUMIFS('ИТОГО Торговля'!$C$5:$C$300,'ИТОГО Торговля'!$B$5:$B$300,$B82)+SUMIFS('ИТОГО Лэндинг'!$C$5:$C$300,'ИТОГО Лэндинг'!$B$5:$B$300,$B82)+SUMIFS('История'!$C$5:$C$300,'История'!$B$5:$B$300,$B82)=0,"",SUMIFS('ИТОГО Торговля'!$C$5:$C$300,'ИТОГО Торговля'!$B$5:$B$300,$B82)+SUMIFS('ИТОГО Лэндинг'!$C$5:$C$300,'ИТОГО Лэндинг'!$B$5:$B$300,$B82)+SUMIFS('История'!$C$5:$C$300,'История'!$B$5:$B$300,$B82)))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Лэндинг'!$B$5:$B$300,$B82)+SUMIFS('История'!$E$5:$E$300,'История'!$B$5:$B$300,$B82))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Лэндинг'!$B$5:$B$300,$B82)+SUMIFS('История'!$F$5:$F$300,'История'!$B$5:$B$300,$B82)=0,"",SUMIFS('ИТОГО Торговля'!$F$5:$F$300,'ИТОГО Торговля'!$B$5:$B$300,$B82)+SUMIFS('ИТОГО Лэндинг'!$F$5:$F$300,'ИТОГО Лэндинг'!$B$5:$B$300,$B82)+SUMIFS('История'!$F$5:$F$300,'История'!$B$5:$B$300,$B82)))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Лэндинг'!$B$5:$B$300,$B82)+SUMIFS('История'!$H$5:$H$300,'История'!$B$5:$B$300,$B82))</f>
        <v/>
      </c>
      <c r="I82" s="341">
        <f>IF($B82="","",IF(AND(C82="",F82=""),"",ROUND(SUMIFS('ИТОГО Торговля'!$I$5:$I$300,'ИТОГО Торговля'!$B$5:$B$300,$B82)+SUMIFS('ИТОГО Лэндинг'!$I$5:$I$300,'ИТОГО Лэндинг'!$B$5:$B$300,$B82)+SUMIFS('История'!$I$5:$I$300,'История'!$B$5:$B$300,$B82),8)))</f>
        <v/>
      </c>
      <c r="J82" s="342">
        <f>IF($B82="","",IF(AND(C82="",F82=""),"",ROUND(SUMIFS('ИТОГО Торговля'!$J$5:$J$300,'ИТОГО Торговля'!$B$5:$B$300,$B82)+SUMIFS('ИТОГО Лэндинг'!$J$5:$J$300,'ИТОГО Лэндинг'!$B$5:$B$300,$B82)+SUMIFS('История'!$J$5:$J$300,'История'!$B$5:$B$300,$B82),8)))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Лэндинг'!$B$5:$B$300,$B82)+SUMIFS('История'!$K$5:$K$300,'История'!$B$5:$B$300,$B82),8))</f>
        <v/>
      </c>
      <c r="L82" s="183">
        <f>IF(K82="","",IF(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&lt;=0,0,ROUND(K82/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*100,2)))</f>
        <v/>
      </c>
      <c r="M82" s="344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inlineStr">
        <is>
          <t>PHA/USD</t>
        </is>
      </c>
      <c r="C83" s="240">
        <f>IF($B83="","",IF(SUMIFS('ИТОГО Торговля'!$C$5:$C$300,'ИТОГО Торговля'!$B$5:$B$300,$B83)+SUMIFS('ИТОГО Лэндинг'!$C$5:$C$300,'ИТОГО Лэндинг'!$B$5:$B$300,$B83)+SUMIFS('История'!$C$5:$C$300,'История'!$B$5:$B$300,$B83)=0,"",SUMIFS('ИТОГО Торговля'!$C$5:$C$300,'ИТОГО Торговля'!$B$5:$B$300,$B83)+SUMIFS('ИТОГО Лэндинг'!$C$5:$C$300,'ИТОГО Лэндинг'!$B$5:$B$300,$B83)+SUMIFS('История'!$C$5:$C$300,'История'!$B$5:$B$300,$B83)))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Лэндинг'!$B$5:$B$300,$B83)+SUMIFS('История'!$E$5:$E$300,'История'!$B$5:$B$300,$B83))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Лэндинг'!$B$5:$B$300,$B83)+SUMIFS('История'!$F$5:$F$300,'История'!$B$5:$B$300,$B83)=0,"",SUMIFS('ИТОГО Торговля'!$F$5:$F$300,'ИТОГО Торговля'!$B$5:$B$300,$B83)+SUMIFS('ИТОГО Лэндинг'!$F$5:$F$300,'ИТОГО Лэндинг'!$B$5:$B$300,$B83)+SUMIFS('История'!$F$5:$F$300,'История'!$B$5:$B$300,$B83)))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Лэндинг'!$B$5:$B$300,$B83)+SUMIFS('История'!$H$5:$H$300,'История'!$B$5:$B$300,$B83))</f>
        <v/>
      </c>
      <c r="I83" s="339">
        <f>IF($B83="","",IF(AND(C83="",F83=""),"",ROUND(SUMIFS('ИТОГО Торговля'!$I$5:$I$300,'ИТОГО Торговля'!$B$5:$B$300,$B83)+SUMIFS('ИТОГО Лэндинг'!$I$5:$I$300,'ИТОГО Лэндинг'!$B$5:$B$300,$B83)+SUMIFS('История'!$I$5:$I$300,'История'!$B$5:$B$300,$B83),8)))</f>
        <v/>
      </c>
      <c r="J83" s="340">
        <f>IF($B83="","",IF(AND(C83="",F83=""),"",ROUND(SUMIFS('ИТОГО Торговля'!$J$5:$J$300,'ИТОГО Торговля'!$B$5:$B$300,$B83)+SUMIFS('ИТОГО Лэндинг'!$J$5:$J$300,'ИТОГО Лэндинг'!$B$5:$B$300,$B83)+SUMIFS('История'!$J$5:$J$300,'История'!$B$5:$B$300,$B83),8)))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Лэндинг'!$B$5:$B$300,$B83)+SUMIFS('История'!$K$5:$K$300,'История'!$B$5:$B$300,$B83),8))</f>
        <v/>
      </c>
      <c r="L83" s="177">
        <f>IF(K83="","",IF(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&lt;=0,0,ROUND(K83/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*100,2)))</f>
        <v/>
      </c>
      <c r="M83" s="343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inlineStr">
        <is>
          <t>PYTH/SOL</t>
        </is>
      </c>
      <c r="C84" s="246">
        <f>IF($B84="","",IF(SUMIFS('ИТОГО Торговля'!$C$5:$C$300,'ИТОГО Торговля'!$B$5:$B$300,$B84)+SUMIFS('ИТОГО Лэндинг'!$C$5:$C$300,'ИТОГО Лэндинг'!$B$5:$B$300,$B84)+SUMIFS('История'!$C$5:$C$300,'История'!$B$5:$B$300,$B84)=0,"",SUMIFS('ИТОГО Торговля'!$C$5:$C$300,'ИТОГО Торговля'!$B$5:$B$300,$B84)+SUMIFS('ИТОГО Лэндинг'!$C$5:$C$300,'ИТОГО Лэндинг'!$B$5:$B$300,$B84)+SUMIFS('История'!$C$5:$C$300,'История'!$B$5:$B$300,$B84)))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Лэндинг'!$B$5:$B$300,$B84)+SUMIFS('История'!$E$5:$E$300,'История'!$B$5:$B$300,$B84))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Лэндинг'!$B$5:$B$300,$B84)+SUMIFS('История'!$F$5:$F$300,'История'!$B$5:$B$300,$B84)=0,"",SUMIFS('ИТОГО Торговля'!$F$5:$F$300,'ИТОГО Торговля'!$B$5:$B$300,$B84)+SUMIFS('ИТОГО Лэндинг'!$F$5:$F$300,'ИТОГО Лэндинг'!$B$5:$B$300,$B84)+SUMIFS('История'!$F$5:$F$300,'История'!$B$5:$B$300,$B84)))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Лэндинг'!$B$5:$B$300,$B84)+SUMIFS('История'!$H$5:$H$300,'История'!$B$5:$B$300,$B84))</f>
        <v/>
      </c>
      <c r="I84" s="341">
        <f>IF($B84="","",IF(AND(C84="",F84=""),"",ROUND(SUMIFS('ИТОГО Торговля'!$I$5:$I$300,'ИТОГО Торговля'!$B$5:$B$300,$B84)+SUMIFS('ИТОГО Лэндинг'!$I$5:$I$300,'ИТОГО Лэндинг'!$B$5:$B$300,$B84)+SUMIFS('История'!$I$5:$I$300,'История'!$B$5:$B$300,$B84),8)))</f>
        <v/>
      </c>
      <c r="J84" s="342">
        <f>IF($B84="","",IF(AND(C84="",F84=""),"",ROUND(SUMIFS('ИТОГО Торговля'!$J$5:$J$300,'ИТОГО Торговля'!$B$5:$B$300,$B84)+SUMIFS('ИТОГО Лэндинг'!$J$5:$J$300,'ИТОГО Лэндинг'!$B$5:$B$300,$B84)+SUMIFS('История'!$J$5:$J$300,'История'!$B$5:$B$300,$B84),8)))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Лэндинг'!$B$5:$B$300,$B84)+SUMIFS('История'!$K$5:$K$300,'История'!$B$5:$B$300,$B84),8))</f>
        <v/>
      </c>
      <c r="L84" s="183">
        <f>IF(K84="","",IF(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&lt;=0,0,ROUND(K84/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*100,2)))</f>
        <v/>
      </c>
      <c r="M84" s="344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inlineStr">
        <is>
          <t>SAND/BTC</t>
        </is>
      </c>
      <c r="C85" s="240">
        <f>IF($B85="","",IF(SUMIFS('ИТОГО Торговля'!$C$5:$C$300,'ИТОГО Торговля'!$B$5:$B$300,$B85)+SUMIFS('ИТОГО Лэндинг'!$C$5:$C$300,'ИТОГО Лэндинг'!$B$5:$B$300,$B85)+SUMIFS('История'!$C$5:$C$300,'История'!$B$5:$B$300,$B85)=0,"",SUMIFS('ИТОГО Торговля'!$C$5:$C$300,'ИТОГО Торговля'!$B$5:$B$300,$B85)+SUMIFS('ИТОГО Лэндинг'!$C$5:$C$300,'ИТОГО Лэндинг'!$B$5:$B$300,$B85)+SUMIFS('История'!$C$5:$C$300,'История'!$B$5:$B$300,$B85)))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Лэндинг'!$B$5:$B$300,$B85)+SUMIFS('История'!$E$5:$E$300,'История'!$B$5:$B$300,$B85))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Лэндинг'!$B$5:$B$300,$B85)+SUMIFS('История'!$F$5:$F$300,'История'!$B$5:$B$300,$B85)=0,"",SUMIFS('ИТОГО Торговля'!$F$5:$F$300,'ИТОГО Торговля'!$B$5:$B$300,$B85)+SUMIFS('ИТОГО Лэндинг'!$F$5:$F$300,'ИТОГО Лэндинг'!$B$5:$B$300,$B85)+SUMIFS('История'!$F$5:$F$300,'История'!$B$5:$B$300,$B85)))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Лэндинг'!$B$5:$B$300,$B85)+SUMIFS('История'!$H$5:$H$300,'История'!$B$5:$B$300,$B85))</f>
        <v/>
      </c>
      <c r="I85" s="339">
        <f>IF($B85="","",IF(AND(C85="",F85=""),"",ROUND(SUMIFS('ИТОГО Торговля'!$I$5:$I$300,'ИТОГО Торговля'!$B$5:$B$300,$B85)+SUMIFS('ИТОГО Лэндинг'!$I$5:$I$300,'ИТОГО Лэндинг'!$B$5:$B$300,$B85)+SUMIFS('История'!$I$5:$I$300,'История'!$B$5:$B$300,$B85),8)))</f>
        <v/>
      </c>
      <c r="J85" s="340">
        <f>IF($B85="","",IF(AND(C85="",F85=""),"",ROUND(SUMIFS('ИТОГО Торговля'!$J$5:$J$300,'ИТОГО Торговля'!$B$5:$B$300,$B85)+SUMIFS('ИТОГО Лэндинг'!$J$5:$J$300,'ИТОГО Лэндинг'!$B$5:$B$300,$B85)+SUMIFS('История'!$J$5:$J$300,'История'!$B$5:$B$300,$B85),8)))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Лэндинг'!$B$5:$B$300,$B85)+SUMIFS('История'!$K$5:$K$300,'История'!$B$5:$B$300,$B85),8))</f>
        <v/>
      </c>
      <c r="L85" s="177">
        <f>IF(K85="","",IF(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&lt;=0,0,ROUND(K85/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*100,2)))</f>
        <v/>
      </c>
      <c r="M85" s="343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inlineStr">
        <is>
          <t>SAND/USD</t>
        </is>
      </c>
      <c r="C86" s="246">
        <f>IF($B86="","",IF(SUMIFS('ИТОГО Торговля'!$C$5:$C$300,'ИТОГО Торговля'!$B$5:$B$300,$B86)+SUMIFS('ИТОГО Лэндинг'!$C$5:$C$300,'ИТОГО Лэндинг'!$B$5:$B$300,$B86)+SUMIFS('История'!$C$5:$C$300,'История'!$B$5:$B$300,$B86)=0,"",SUMIFS('ИТОГО Торговля'!$C$5:$C$300,'ИТОГО Торговля'!$B$5:$B$300,$B86)+SUMIFS('ИТОГО Лэндинг'!$C$5:$C$300,'ИТОГО Лэндинг'!$B$5:$B$300,$B86)+SUMIFS('История'!$C$5:$C$300,'История'!$B$5:$B$300,$B86)))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Лэндинг'!$B$5:$B$300,$B86)+SUMIFS('История'!$E$5:$E$300,'История'!$B$5:$B$300,$B86))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Лэндинг'!$B$5:$B$300,$B86)+SUMIFS('История'!$F$5:$F$300,'История'!$B$5:$B$300,$B86)=0,"",SUMIFS('ИТОГО Торговля'!$F$5:$F$300,'ИТОГО Торговля'!$B$5:$B$300,$B86)+SUMIFS('ИТОГО Лэндинг'!$F$5:$F$300,'ИТОГО Лэндинг'!$B$5:$B$300,$B86)+SUMIFS('История'!$F$5:$F$300,'История'!$B$5:$B$300,$B86)))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Лэндинг'!$B$5:$B$300,$B86)+SUMIFS('История'!$H$5:$H$300,'История'!$B$5:$B$300,$B86))</f>
        <v/>
      </c>
      <c r="I86" s="341">
        <f>IF($B86="","",IF(AND(C86="",F86=""),"",ROUND(SUMIFS('ИТОГО Торговля'!$I$5:$I$300,'ИТОГО Торговля'!$B$5:$B$300,$B86)+SUMIFS('ИТОГО Лэндинг'!$I$5:$I$300,'ИТОГО Лэндинг'!$B$5:$B$300,$B86)+SUMIFS('История'!$I$5:$I$300,'История'!$B$5:$B$300,$B86),8)))</f>
        <v/>
      </c>
      <c r="J86" s="342">
        <f>IF($B86="","",IF(AND(C86="",F86=""),"",ROUND(SUMIFS('ИТОГО Торговля'!$J$5:$J$300,'ИТОГО Торговля'!$B$5:$B$300,$B86)+SUMIFS('ИТОГО Лэндинг'!$J$5:$J$300,'ИТОГО Лэндинг'!$B$5:$B$300,$B86)+SUMIFS('История'!$J$5:$J$300,'История'!$B$5:$B$300,$B86),8)))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Лэндинг'!$B$5:$B$300,$B86)+SUMIFS('История'!$K$5:$K$300,'История'!$B$5:$B$300,$B86),8))</f>
        <v/>
      </c>
      <c r="L86" s="183">
        <f>IF(K86="","",IF(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&lt;=0,0,ROUND(K86/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*100,2)))</f>
        <v/>
      </c>
      <c r="M86" s="344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inlineStr">
        <is>
          <t>SC/BTC</t>
        </is>
      </c>
      <c r="C87" s="240">
        <f>IF($B87="","",IF(SUMIFS('ИТОГО Торговля'!$C$5:$C$300,'ИТОГО Торговля'!$B$5:$B$300,$B87)+SUMIFS('ИТОГО Лэндинг'!$C$5:$C$300,'ИТОГО Лэндинг'!$B$5:$B$300,$B87)+SUMIFS('История'!$C$5:$C$300,'История'!$B$5:$B$300,$B87)=0,"",SUMIFS('ИТОГО Торговля'!$C$5:$C$300,'ИТОГО Торговля'!$B$5:$B$300,$B87)+SUMIFS('ИТОГО Лэндинг'!$C$5:$C$300,'ИТОГО Лэндинг'!$B$5:$B$300,$B87)+SUMIFS('История'!$C$5:$C$300,'История'!$B$5:$B$300,$B87)))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Лэндинг'!$B$5:$B$300,$B87)+SUMIFS('История'!$E$5:$E$300,'История'!$B$5:$B$300,$B87))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Лэндинг'!$B$5:$B$300,$B87)+SUMIFS('История'!$F$5:$F$300,'История'!$B$5:$B$300,$B87)=0,"",SUMIFS('ИТОГО Торговля'!$F$5:$F$300,'ИТОГО Торговля'!$B$5:$B$300,$B87)+SUMIFS('ИТОГО Лэндинг'!$F$5:$F$300,'ИТОГО Лэндинг'!$B$5:$B$300,$B87)+SUMIFS('История'!$F$5:$F$300,'История'!$B$5:$B$300,$B87)))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Лэндинг'!$B$5:$B$300,$B87)+SUMIFS('История'!$H$5:$H$300,'История'!$B$5:$B$300,$B87))</f>
        <v/>
      </c>
      <c r="I87" s="339">
        <f>IF($B87="","",IF(AND(C87="",F87=""),"",ROUND(SUMIFS('ИТОГО Торговля'!$I$5:$I$300,'ИТОГО Торговля'!$B$5:$B$300,$B87)+SUMIFS('ИТОГО Лэндинг'!$I$5:$I$300,'ИТОГО Лэндинг'!$B$5:$B$300,$B87)+SUMIFS('История'!$I$5:$I$300,'История'!$B$5:$B$300,$B87),8)))</f>
        <v/>
      </c>
      <c r="J87" s="340">
        <f>IF($B87="","",IF(AND(C87="",F87=""),"",ROUND(SUMIFS('ИТОГО Торговля'!$J$5:$J$300,'ИТОГО Торговля'!$B$5:$B$300,$B87)+SUMIFS('ИТОГО Лэндинг'!$J$5:$J$300,'ИТОГО Лэндинг'!$B$5:$B$300,$B87)+SUMIFS('История'!$J$5:$J$300,'История'!$B$5:$B$300,$B87),8)))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Лэндинг'!$B$5:$B$300,$B87)+SUMIFS('История'!$K$5:$K$300,'История'!$B$5:$B$300,$B87),8))</f>
        <v/>
      </c>
      <c r="L87" s="177">
        <f>IF(K87="","",IF(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&lt;=0,0,ROUND(K87/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*100,2)))</f>
        <v/>
      </c>
      <c r="M87" s="343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inlineStr">
        <is>
          <t>SC/ETH</t>
        </is>
      </c>
      <c r="C88" s="246">
        <f>IF($B88="","",IF(SUMIFS('ИТОГО Торговля'!$C$5:$C$300,'ИТОГО Торговля'!$B$5:$B$300,$B88)+SUMIFS('ИТОГО Лэндинг'!$C$5:$C$300,'ИТОГО Лэндинг'!$B$5:$B$300,$B88)+SUMIFS('История'!$C$5:$C$300,'История'!$B$5:$B$300,$B88)=0,"",SUMIFS('ИТОГО Торговля'!$C$5:$C$300,'ИТОГО Торговля'!$B$5:$B$300,$B88)+SUMIFS('ИТОГО Лэндинг'!$C$5:$C$300,'ИТОГО Лэндинг'!$B$5:$B$300,$B88)+SUMIFS('История'!$C$5:$C$300,'История'!$B$5:$B$300,$B88)))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Лэндинг'!$B$5:$B$300,$B88)+SUMIFS('История'!$E$5:$E$300,'История'!$B$5:$B$300,$B88))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Лэндинг'!$B$5:$B$300,$B88)+SUMIFS('История'!$F$5:$F$300,'История'!$B$5:$B$300,$B88)=0,"",SUMIFS('ИТОГО Торговля'!$F$5:$F$300,'ИТОГО Торговля'!$B$5:$B$300,$B88)+SUMIFS('ИТОГО Лэндинг'!$F$5:$F$300,'ИТОГО Лэндинг'!$B$5:$B$300,$B88)+SUMIFS('История'!$F$5:$F$300,'История'!$B$5:$B$300,$B88)))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Лэндинг'!$B$5:$B$300,$B88)+SUMIFS('История'!$H$5:$H$300,'История'!$B$5:$B$300,$B88))</f>
        <v/>
      </c>
      <c r="I88" s="341">
        <f>IF($B88="","",IF(AND(C88="",F88=""),"",ROUND(SUMIFS('ИТОГО Торговля'!$I$5:$I$300,'ИТОГО Торговля'!$B$5:$B$300,$B88)+SUMIFS('ИТОГО Лэндинг'!$I$5:$I$300,'ИТОГО Лэндинг'!$B$5:$B$300,$B88)+SUMIFS('История'!$I$5:$I$300,'История'!$B$5:$B$300,$B88),8)))</f>
        <v/>
      </c>
      <c r="J88" s="342">
        <f>IF($B88="","",IF(AND(C88="",F88=""),"",ROUND(SUMIFS('ИТОГО Торговля'!$J$5:$J$300,'ИТОГО Торговля'!$B$5:$B$300,$B88)+SUMIFS('ИТОГО Лэндинг'!$J$5:$J$300,'ИТОГО Лэндинг'!$B$5:$B$300,$B88)+SUMIFS('История'!$J$5:$J$300,'История'!$B$5:$B$300,$B88),8)))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Лэндинг'!$B$5:$B$300,$B88)+SUMIFS('История'!$K$5:$K$300,'История'!$B$5:$B$300,$B88),8))</f>
        <v/>
      </c>
      <c r="L88" s="183">
        <f>IF(K88="","",IF(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&lt;=0,0,ROUND(K88/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*100,2)))</f>
        <v/>
      </c>
      <c r="M88" s="344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inlineStr">
        <is>
          <t>SC/USD</t>
        </is>
      </c>
      <c r="C89" s="240">
        <f>IF($B89="","",IF(SUMIFS('ИТОГО Торговля'!$C$5:$C$300,'ИТОГО Торговля'!$B$5:$B$300,$B89)+SUMIFS('ИТОГО Лэндинг'!$C$5:$C$300,'ИТОГО Лэндинг'!$B$5:$B$300,$B89)+SUMIFS('История'!$C$5:$C$300,'История'!$B$5:$B$300,$B89)=0,"",SUMIFS('ИТОГО Торговля'!$C$5:$C$300,'ИТОГО Торговля'!$B$5:$B$300,$B89)+SUMIFS('ИТОГО Лэндинг'!$C$5:$C$300,'ИТОГО Лэндинг'!$B$5:$B$300,$B89)+SUMIFS('История'!$C$5:$C$300,'История'!$B$5:$B$300,$B89)))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Лэндинг'!$B$5:$B$300,$B89)+SUMIFS('История'!$E$5:$E$300,'История'!$B$5:$B$300,$B89))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Лэндинг'!$B$5:$B$300,$B89)+SUMIFS('История'!$F$5:$F$300,'История'!$B$5:$B$300,$B89)=0,"",SUMIFS('ИТОГО Торговля'!$F$5:$F$300,'ИТОГО Торговля'!$B$5:$B$300,$B89)+SUMIFS('ИТОГО Лэндинг'!$F$5:$F$300,'ИТОГО Лэндинг'!$B$5:$B$300,$B89)+SUMIFS('История'!$F$5:$F$300,'История'!$B$5:$B$300,$B89)))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Лэндинг'!$B$5:$B$300,$B89)+SUMIFS('История'!$H$5:$H$300,'История'!$B$5:$B$300,$B89))</f>
        <v/>
      </c>
      <c r="I89" s="339">
        <f>IF($B89="","",IF(AND(C89="",F89=""),"",ROUND(SUMIFS('ИТОГО Торговля'!$I$5:$I$300,'ИТОГО Торговля'!$B$5:$B$300,$B89)+SUMIFS('ИТОГО Лэндинг'!$I$5:$I$300,'ИТОГО Лэндинг'!$B$5:$B$300,$B89)+SUMIFS('История'!$I$5:$I$300,'История'!$B$5:$B$300,$B89),8)))</f>
        <v/>
      </c>
      <c r="J89" s="340">
        <f>IF($B89="","",IF(AND(C89="",F89=""),"",ROUND(SUMIFS('ИТОГО Торговля'!$J$5:$J$300,'ИТОГО Торговля'!$B$5:$B$300,$B89)+SUMIFS('ИТОГО Лэндинг'!$J$5:$J$300,'ИТОГО Лэндинг'!$B$5:$B$300,$B89)+SUMIFS('История'!$J$5:$J$300,'История'!$B$5:$B$300,$B89),8)))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Лэндинг'!$B$5:$B$300,$B89)+SUMIFS('История'!$K$5:$K$300,'История'!$B$5:$B$300,$B89),8))</f>
        <v/>
      </c>
      <c r="L89" s="177">
        <f>IF(K89="","",IF(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&lt;=0,0,ROUND(K89/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*100,2)))</f>
        <v/>
      </c>
      <c r="M89" s="343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inlineStr">
        <is>
          <t>SHIB/DOGE</t>
        </is>
      </c>
      <c r="C90" s="246">
        <f>IF($B90="","",IF(SUMIFS('ИТОГО Торговля'!$C$5:$C$300,'ИТОГО Торговля'!$B$5:$B$300,$B90)+SUMIFS('ИТОГО Лэндинг'!$C$5:$C$300,'ИТОГО Лэндинг'!$B$5:$B$300,$B90)+SUMIFS('История'!$C$5:$C$300,'История'!$B$5:$B$300,$B90)=0,"",SUMIFS('ИТОГО Торговля'!$C$5:$C$300,'ИТОГО Торговля'!$B$5:$B$300,$B90)+SUMIFS('ИТОГО Лэндинг'!$C$5:$C$300,'ИТОГО Лэндинг'!$B$5:$B$300,$B90)+SUMIFS('История'!$C$5:$C$300,'История'!$B$5:$B$300,$B90)))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Лэндинг'!$B$5:$B$300,$B90)+SUMIFS('История'!$E$5:$E$300,'История'!$B$5:$B$300,$B90))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Лэндинг'!$B$5:$B$300,$B90)+SUMIFS('История'!$F$5:$F$300,'История'!$B$5:$B$300,$B90)=0,"",SUMIFS('ИТОГО Торговля'!$F$5:$F$300,'ИТОГО Торговля'!$B$5:$B$300,$B90)+SUMIFS('ИТОГО Лэндинг'!$F$5:$F$300,'ИТОГО Лэндинг'!$B$5:$B$300,$B90)+SUMIFS('История'!$F$5:$F$300,'История'!$B$5:$B$300,$B90)))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Лэндинг'!$B$5:$B$300,$B90)+SUMIFS('История'!$H$5:$H$300,'История'!$B$5:$B$300,$B90))</f>
        <v/>
      </c>
      <c r="I90" s="341">
        <f>IF($B90="","",IF(AND(C90="",F90=""),"",ROUND(SUMIFS('ИТОГО Торговля'!$I$5:$I$300,'ИТОГО Торговля'!$B$5:$B$300,$B90)+SUMIFS('ИТОГО Лэндинг'!$I$5:$I$300,'ИТОГО Лэндинг'!$B$5:$B$300,$B90)+SUMIFS('История'!$I$5:$I$300,'История'!$B$5:$B$300,$B90),8)))</f>
        <v/>
      </c>
      <c r="J90" s="342">
        <f>IF($B90="","",IF(AND(C90="",F90=""),"",ROUND(SUMIFS('ИТОГО Торговля'!$J$5:$J$300,'ИТОГО Торговля'!$B$5:$B$300,$B90)+SUMIFS('ИТОГО Лэндинг'!$J$5:$J$300,'ИТОГО Лэндинг'!$B$5:$B$300,$B90)+SUMIFS('История'!$J$5:$J$300,'История'!$B$5:$B$300,$B90),8)))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Лэндинг'!$B$5:$B$300,$B90)+SUMIFS('История'!$K$5:$K$300,'История'!$B$5:$B$300,$B90),8))</f>
        <v/>
      </c>
      <c r="L90" s="183">
        <f>IF(K90="","",IF(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&lt;=0,0,ROUND(K90/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*100,2)))</f>
        <v/>
      </c>
      <c r="M90" s="344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inlineStr">
        <is>
          <t>SHIB/USD</t>
        </is>
      </c>
      <c r="C91" s="240">
        <f>IF($B91="","",IF(SUMIFS('ИТОГО Торговля'!$C$5:$C$300,'ИТОГО Торговля'!$B$5:$B$300,$B91)+SUMIFS('ИТОГО Лэндинг'!$C$5:$C$300,'ИТОГО Лэндинг'!$B$5:$B$300,$B91)+SUMIFS('История'!$C$5:$C$300,'История'!$B$5:$B$300,$B91)=0,"",SUMIFS('ИТОГО Торговля'!$C$5:$C$300,'ИТОГО Торговля'!$B$5:$B$300,$B91)+SUMIFS('ИТОГО Лэндинг'!$C$5:$C$300,'ИТОГО Лэндинг'!$B$5:$B$300,$B91)+SUMIFS('История'!$C$5:$C$300,'История'!$B$5:$B$300,$B91)))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Лэндинг'!$B$5:$B$300,$B91)+SUMIFS('История'!$E$5:$E$300,'История'!$B$5:$B$300,$B91))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Лэндинг'!$B$5:$B$300,$B91)+SUMIFS('История'!$F$5:$F$300,'История'!$B$5:$B$300,$B91)=0,"",SUMIFS('ИТОГО Торговля'!$F$5:$F$300,'ИТОГО Торговля'!$B$5:$B$300,$B91)+SUMIFS('ИТОГО Лэндинг'!$F$5:$F$300,'ИТОГО Лэндинг'!$B$5:$B$300,$B91)+SUMIFS('История'!$F$5:$F$300,'История'!$B$5:$B$300,$B91)))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Лэндинг'!$B$5:$B$300,$B91)+SUMIFS('История'!$H$5:$H$300,'История'!$B$5:$B$300,$B91))</f>
        <v/>
      </c>
      <c r="I91" s="339">
        <f>IF($B91="","",IF(AND(C91="",F91=""),"",ROUND(SUMIFS('ИТОГО Торговля'!$I$5:$I$300,'ИТОГО Торговля'!$B$5:$B$300,$B91)+SUMIFS('ИТОГО Лэндинг'!$I$5:$I$300,'ИТОГО Лэндинг'!$B$5:$B$300,$B91)+SUMIFS('История'!$I$5:$I$300,'История'!$B$5:$B$300,$B91),8)))</f>
        <v/>
      </c>
      <c r="J91" s="340">
        <f>IF($B91="","",IF(AND(C91="",F91=""),"",ROUND(SUMIFS('ИТОГО Торговля'!$J$5:$J$300,'ИТОГО Торговля'!$B$5:$B$300,$B91)+SUMIFS('ИТОГО Лэндинг'!$J$5:$J$300,'ИТОГО Лэндинг'!$B$5:$B$300,$B91)+SUMIFS('История'!$J$5:$J$300,'История'!$B$5:$B$300,$B91),8)))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Лэндинг'!$B$5:$B$300,$B91)+SUMIFS('История'!$K$5:$K$300,'История'!$B$5:$B$300,$B91),8))</f>
        <v/>
      </c>
      <c r="L91" s="177">
        <f>IF(K91="","",IF(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&lt;=0,0,ROUND(K91/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*100,2)))</f>
        <v/>
      </c>
      <c r="M91" s="343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inlineStr">
        <is>
          <t>SOL/BNB</t>
        </is>
      </c>
      <c r="C92" s="246">
        <f>IF($B92="","",IF(SUMIFS('ИТОГО Торговля'!$C$5:$C$300,'ИТОГО Торговля'!$B$5:$B$300,$B92)+SUMIFS('ИТОГО Лэндинг'!$C$5:$C$300,'ИТОГО Лэндинг'!$B$5:$B$300,$B92)+SUMIFS('История'!$C$5:$C$300,'История'!$B$5:$B$300,$B92)=0,"",SUMIFS('ИТОГО Торговля'!$C$5:$C$300,'ИТОГО Торговля'!$B$5:$B$300,$B92)+SUMIFS('ИТОГО Лэндинг'!$C$5:$C$300,'ИТОГО Лэндинг'!$B$5:$B$300,$B92)+SUMIFS('История'!$C$5:$C$300,'История'!$B$5:$B$300,$B92)))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Лэндинг'!$B$5:$B$300,$B92)+SUMIFS('История'!$E$5:$E$300,'История'!$B$5:$B$300,$B92))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Лэндинг'!$B$5:$B$300,$B92)+SUMIFS('История'!$F$5:$F$300,'История'!$B$5:$B$300,$B92)=0,"",SUMIFS('ИТОГО Торговля'!$F$5:$F$300,'ИТОГО Торговля'!$B$5:$B$300,$B92)+SUMIFS('ИТОГО Лэндинг'!$F$5:$F$300,'ИТОГО Лэндинг'!$B$5:$B$300,$B92)+SUMIFS('История'!$F$5:$F$300,'История'!$B$5:$B$300,$B92)))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Лэндинг'!$B$5:$B$300,$B92)+SUMIFS('История'!$H$5:$H$300,'История'!$B$5:$B$300,$B92))</f>
        <v/>
      </c>
      <c r="I92" s="341">
        <f>IF($B92="","",IF(AND(C92="",F92=""),"",ROUND(SUMIFS('ИТОГО Торговля'!$I$5:$I$300,'ИТОГО Торговля'!$B$5:$B$300,$B92)+SUMIFS('ИТОГО Лэндинг'!$I$5:$I$300,'ИТОГО Лэндинг'!$B$5:$B$300,$B92)+SUMIFS('История'!$I$5:$I$300,'История'!$B$5:$B$300,$B92),8)))</f>
        <v/>
      </c>
      <c r="J92" s="342">
        <f>IF($B92="","",IF(AND(C92="",F92=""),"",ROUND(SUMIFS('ИТОГО Торговля'!$J$5:$J$300,'ИТОГО Торговля'!$B$5:$B$300,$B92)+SUMIFS('ИТОГО Лэндинг'!$J$5:$J$300,'ИТОГО Лэндинг'!$B$5:$B$300,$B92)+SUMIFS('История'!$J$5:$J$300,'История'!$B$5:$B$300,$B92),8)))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Лэндинг'!$B$5:$B$300,$B92)+SUMIFS('История'!$K$5:$K$300,'История'!$B$5:$B$300,$B92),8))</f>
        <v/>
      </c>
      <c r="L92" s="183">
        <f>IF(K92="","",IF(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&lt;=0,0,ROUND(K92/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*100,2)))</f>
        <v/>
      </c>
      <c r="M92" s="344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inlineStr">
        <is>
          <t>SOL/BTC</t>
        </is>
      </c>
      <c r="C93" s="240">
        <f>IF($B93="","",IF(SUMIFS('ИТОГО Торговля'!$C$5:$C$300,'ИТОГО Торговля'!$B$5:$B$300,$B93)+SUMIFS('ИТОГО Лэндинг'!$C$5:$C$300,'ИТОГО Лэндинг'!$B$5:$B$300,$B93)+SUMIFS('История'!$C$5:$C$300,'История'!$B$5:$B$300,$B93)=0,"",SUMIFS('ИТОГО Торговля'!$C$5:$C$300,'ИТОГО Торговля'!$B$5:$B$300,$B93)+SUMIFS('ИТОГО Лэндинг'!$C$5:$C$300,'ИТОГО Лэндинг'!$B$5:$B$300,$B93)+SUMIFS('История'!$C$5:$C$300,'История'!$B$5:$B$300,$B93)))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Лэндинг'!$B$5:$B$300,$B93)+SUMIFS('История'!$E$5:$E$300,'История'!$B$5:$B$300,$B93))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Лэндинг'!$B$5:$B$300,$B93)+SUMIFS('История'!$F$5:$F$300,'История'!$B$5:$B$300,$B93)=0,"",SUMIFS('ИТОГО Торговля'!$F$5:$F$300,'ИТОГО Торговля'!$B$5:$B$300,$B93)+SUMIFS('ИТОГО Лэндинг'!$F$5:$F$300,'ИТОГО Лэндинг'!$B$5:$B$300,$B93)+SUMIFS('История'!$F$5:$F$300,'История'!$B$5:$B$300,$B93)))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Лэндинг'!$B$5:$B$300,$B93)+SUMIFS('История'!$H$5:$H$300,'История'!$B$5:$B$300,$B93))</f>
        <v/>
      </c>
      <c r="I93" s="339">
        <f>IF($B93="","",IF(AND(C93="",F93=""),"",ROUND(SUMIFS('ИТОГО Торговля'!$I$5:$I$300,'ИТОГО Торговля'!$B$5:$B$300,$B93)+SUMIFS('ИТОГО Лэндинг'!$I$5:$I$300,'ИТОГО Лэндинг'!$B$5:$B$300,$B93)+SUMIFS('История'!$I$5:$I$300,'История'!$B$5:$B$300,$B93),8)))</f>
        <v/>
      </c>
      <c r="J93" s="340">
        <f>IF($B93="","",IF(AND(C93="",F93=""),"",ROUND(SUMIFS('ИТОГО Торговля'!$J$5:$J$300,'ИТОГО Торговля'!$B$5:$B$300,$B93)+SUMIFS('ИТОГО Лэндинг'!$J$5:$J$300,'ИТОГО Лэндинг'!$B$5:$B$300,$B93)+SUMIFS('История'!$J$5:$J$300,'История'!$B$5:$B$300,$B93),8)))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Лэндинг'!$B$5:$B$300,$B93)+SUMIFS('История'!$K$5:$K$300,'История'!$B$5:$B$300,$B93),8))</f>
        <v/>
      </c>
      <c r="L93" s="177">
        <f>IF(K93="","",IF(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&lt;=0,0,ROUND(K93/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*100,2)))</f>
        <v/>
      </c>
      <c r="M93" s="343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inlineStr">
        <is>
          <t>SOL/ETH</t>
        </is>
      </c>
      <c r="C94" s="246">
        <f>IF($B94="","",IF(SUMIFS('ИТОГО Торговля'!$C$5:$C$300,'ИТОГО Торговля'!$B$5:$B$300,$B94)+SUMIFS('ИТОГО Лэндинг'!$C$5:$C$300,'ИТОГО Лэндинг'!$B$5:$B$300,$B94)+SUMIFS('История'!$C$5:$C$300,'История'!$B$5:$B$300,$B94)=0,"",SUMIFS('ИТОГО Торговля'!$C$5:$C$300,'ИТОГО Торговля'!$B$5:$B$300,$B94)+SUMIFS('ИТОГО Лэндинг'!$C$5:$C$300,'ИТОГО Лэндинг'!$B$5:$B$300,$B94)+SUMIFS('История'!$C$5:$C$300,'История'!$B$5:$B$300,$B94)))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Лэндинг'!$B$5:$B$300,$B94)+SUMIFS('История'!$E$5:$E$300,'История'!$B$5:$B$300,$B94))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Лэндинг'!$B$5:$B$300,$B94)+SUMIFS('История'!$F$5:$F$300,'История'!$B$5:$B$300,$B94)=0,"",SUMIFS('ИТОГО Торговля'!$F$5:$F$300,'ИТОГО Торговля'!$B$5:$B$300,$B94)+SUMIFS('ИТОГО Лэндинг'!$F$5:$F$300,'ИТОГО Лэндинг'!$B$5:$B$300,$B94)+SUMIFS('История'!$F$5:$F$300,'История'!$B$5:$B$300,$B94)))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Лэндинг'!$B$5:$B$300,$B94)+SUMIFS('История'!$H$5:$H$300,'История'!$B$5:$B$300,$B94))</f>
        <v/>
      </c>
      <c r="I94" s="341">
        <f>IF($B94="","",IF(AND(C94="",F94=""),"",ROUND(SUMIFS('ИТОГО Торговля'!$I$5:$I$300,'ИТОГО Торговля'!$B$5:$B$300,$B94)+SUMIFS('ИТОГО Лэндинг'!$I$5:$I$300,'ИТОГО Лэндинг'!$B$5:$B$300,$B94)+SUMIFS('История'!$I$5:$I$300,'История'!$B$5:$B$300,$B94),8)))</f>
        <v/>
      </c>
      <c r="J94" s="342">
        <f>IF($B94="","",IF(AND(C94="",F94=""),"",ROUND(SUMIFS('ИТОГО Торговля'!$J$5:$J$300,'ИТОГО Торговля'!$B$5:$B$300,$B94)+SUMIFS('ИТОГО Лэндинг'!$J$5:$J$300,'ИТОГО Лэндинг'!$B$5:$B$300,$B94)+SUMIFS('История'!$J$5:$J$300,'История'!$B$5:$B$300,$B94),8)))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Лэндинг'!$B$5:$B$300,$B94)+SUMIFS('История'!$K$5:$K$300,'История'!$B$5:$B$300,$B94),8))</f>
        <v/>
      </c>
      <c r="L94" s="183">
        <f>IF(K94="","",IF(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&lt;=0,0,ROUND(K94/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*100,2)))</f>
        <v/>
      </c>
      <c r="M94" s="344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inlineStr">
        <is>
          <t>SOL/USD</t>
        </is>
      </c>
      <c r="C95" s="240">
        <f>IF($B95="","",IF(SUMIFS('ИТОГО Торговля'!$C$5:$C$300,'ИТОГО Торговля'!$B$5:$B$300,$B95)+SUMIFS('ИТОГО Лэндинг'!$C$5:$C$300,'ИТОГО Лэндинг'!$B$5:$B$300,$B95)+SUMIFS('История'!$C$5:$C$300,'История'!$B$5:$B$300,$B95)=0,"",SUMIFS('ИТОГО Торговля'!$C$5:$C$300,'ИТОГО Торговля'!$B$5:$B$300,$B95)+SUMIFS('ИТОГО Лэндинг'!$C$5:$C$300,'ИТОГО Лэндинг'!$B$5:$B$300,$B95)+SUMIFS('История'!$C$5:$C$300,'История'!$B$5:$B$300,$B95)))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Лэндинг'!$B$5:$B$300,$B95)+SUMIFS('История'!$E$5:$E$300,'История'!$B$5:$B$300,$B95))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Лэндинг'!$B$5:$B$300,$B95)+SUMIFS('История'!$F$5:$F$300,'История'!$B$5:$B$300,$B95)=0,"",SUMIFS('ИТОГО Торговля'!$F$5:$F$300,'ИТОГО Торговля'!$B$5:$B$300,$B95)+SUMIFS('ИТОГО Лэндинг'!$F$5:$F$300,'ИТОГО Лэндинг'!$B$5:$B$300,$B95)+SUMIFS('История'!$F$5:$F$300,'История'!$B$5:$B$300,$B95)))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Лэндинг'!$B$5:$B$300,$B95)+SUMIFS('История'!$H$5:$H$300,'История'!$B$5:$B$300,$B95))</f>
        <v/>
      </c>
      <c r="I95" s="339">
        <f>IF($B95="","",IF(AND(C95="",F95=""),"",ROUND(SUMIFS('ИТОГО Торговля'!$I$5:$I$300,'ИТОГО Торговля'!$B$5:$B$300,$B95)+SUMIFS('ИТОГО Лэндинг'!$I$5:$I$300,'ИТОГО Лэндинг'!$B$5:$B$300,$B95)+SUMIFS('История'!$I$5:$I$300,'История'!$B$5:$B$300,$B95),8)))</f>
        <v/>
      </c>
      <c r="J95" s="340">
        <f>IF($B95="","",IF(AND(C95="",F95=""),"",ROUND(SUMIFS('ИТОГО Торговля'!$J$5:$J$300,'ИТОГО Торговля'!$B$5:$B$300,$B95)+SUMIFS('ИТОГО Лэндинг'!$J$5:$J$300,'ИТОГО Лэндинг'!$B$5:$B$300,$B95)+SUMIFS('История'!$J$5:$J$300,'История'!$B$5:$B$300,$B95),8)))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Лэндинг'!$B$5:$B$300,$B95)+SUMIFS('История'!$K$5:$K$300,'История'!$B$5:$B$300,$B95),8))</f>
        <v/>
      </c>
      <c r="L95" s="177">
        <f>IF(K95="","",IF(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&lt;=0,0,ROUND(K95/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*100,2)))</f>
        <v/>
      </c>
      <c r="M95" s="343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inlineStr">
        <is>
          <t>STRAX/BTC</t>
        </is>
      </c>
      <c r="C96" s="246">
        <f>IF($B96="","",IF(SUMIFS('ИТОГО Торговля'!$C$5:$C$300,'ИТОГО Торговля'!$B$5:$B$300,$B96)+SUMIFS('ИТОГО Лэндинг'!$C$5:$C$300,'ИТОГО Лэндинг'!$B$5:$B$300,$B96)+SUMIFS('История'!$C$5:$C$300,'История'!$B$5:$B$300,$B96)=0,"",SUMIFS('ИТОГО Торговля'!$C$5:$C$300,'ИТОГО Торговля'!$B$5:$B$300,$B96)+SUMIFS('ИТОГО Лэндинг'!$C$5:$C$300,'ИТОГО Лэндинг'!$B$5:$B$300,$B96)+SUMIFS('История'!$C$5:$C$300,'История'!$B$5:$B$300,$B96)))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Лэндинг'!$B$5:$B$300,$B96)+SUMIFS('История'!$E$5:$E$300,'История'!$B$5:$B$300,$B96))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Лэндинг'!$B$5:$B$300,$B96)+SUMIFS('История'!$F$5:$F$300,'История'!$B$5:$B$300,$B96)=0,"",SUMIFS('ИТОГО Торговля'!$F$5:$F$300,'ИТОГО Торговля'!$B$5:$B$300,$B96)+SUMIFS('ИТОГО Лэндинг'!$F$5:$F$300,'ИТОГО Лэндинг'!$B$5:$B$300,$B96)+SUMIFS('История'!$F$5:$F$300,'История'!$B$5:$B$300,$B96)))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Лэндинг'!$B$5:$B$300,$B96)+SUMIFS('История'!$H$5:$H$300,'История'!$B$5:$B$300,$B96))</f>
        <v/>
      </c>
      <c r="I96" s="341">
        <f>IF($B96="","",IF(AND(C96="",F96=""),"",ROUND(SUMIFS('ИТОГО Торговля'!$I$5:$I$300,'ИТОГО Торговля'!$B$5:$B$300,$B96)+SUMIFS('ИТОГО Лэндинг'!$I$5:$I$300,'ИТОГО Лэндинг'!$B$5:$B$300,$B96)+SUMIFS('История'!$I$5:$I$300,'История'!$B$5:$B$300,$B96),8)))</f>
        <v/>
      </c>
      <c r="J96" s="342">
        <f>IF($B96="","",IF(AND(C96="",F96=""),"",ROUND(SUMIFS('ИТОГО Торговля'!$J$5:$J$300,'ИТОГО Торговля'!$B$5:$B$300,$B96)+SUMIFS('ИТОГО Лэндинг'!$J$5:$J$300,'ИТОГО Лэндинг'!$B$5:$B$300,$B96)+SUMIFS('История'!$J$5:$J$300,'История'!$B$5:$B$300,$B96),8)))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Лэндинг'!$B$5:$B$300,$B96)+SUMIFS('История'!$K$5:$K$300,'История'!$B$5:$B$300,$B96),8))</f>
        <v/>
      </c>
      <c r="L96" s="183">
        <f>IF(K96="","",IF(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&lt;=0,0,ROUND(K96/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*100,2)))</f>
        <v/>
      </c>
      <c r="M96" s="344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inlineStr">
        <is>
          <t>STRAX/ETH</t>
        </is>
      </c>
      <c r="C97" s="240">
        <f>IF($B97="","",IF(SUMIFS('ИТОГО Торговля'!$C$5:$C$300,'ИТОГО Торговля'!$B$5:$B$300,$B97)+SUMIFS('ИТОГО Лэндинг'!$C$5:$C$300,'ИТОГО Лэндинг'!$B$5:$B$300,$B97)+SUMIFS('История'!$C$5:$C$300,'История'!$B$5:$B$300,$B97)=0,"",SUMIFS('ИТОГО Торговля'!$C$5:$C$300,'ИТОГО Торговля'!$B$5:$B$300,$B97)+SUMIFS('ИТОГО Лэндинг'!$C$5:$C$300,'ИТОГО Лэндинг'!$B$5:$B$300,$B97)+SUMIFS('История'!$C$5:$C$300,'История'!$B$5:$B$300,$B97)))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Лэндинг'!$B$5:$B$300,$B97)+SUMIFS('История'!$E$5:$E$300,'История'!$B$5:$B$300,$B97))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Лэндинг'!$B$5:$B$300,$B97)+SUMIFS('История'!$F$5:$F$300,'История'!$B$5:$B$300,$B97)=0,"",SUMIFS('ИТОГО Торговля'!$F$5:$F$300,'ИТОГО Торговля'!$B$5:$B$300,$B97)+SUMIFS('ИТОГО Лэндинг'!$F$5:$F$300,'ИТОГО Лэндинг'!$B$5:$B$300,$B97)+SUMIFS('История'!$F$5:$F$300,'История'!$B$5:$B$300,$B97)))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Лэндинг'!$B$5:$B$300,$B97)+SUMIFS('История'!$H$5:$H$300,'История'!$B$5:$B$300,$B97))</f>
        <v/>
      </c>
      <c r="I97" s="339">
        <f>IF($B97="","",IF(AND(C97="",F97=""),"",ROUND(SUMIFS('ИТОГО Торговля'!$I$5:$I$300,'ИТОГО Торговля'!$B$5:$B$300,$B97)+SUMIFS('ИТОГО Лэндинг'!$I$5:$I$300,'ИТОГО Лэндинг'!$B$5:$B$300,$B97)+SUMIFS('История'!$I$5:$I$300,'История'!$B$5:$B$300,$B97),8)))</f>
        <v/>
      </c>
      <c r="J97" s="340">
        <f>IF($B97="","",IF(AND(C97="",F97=""),"",ROUND(SUMIFS('ИТОГО Торговля'!$J$5:$J$300,'ИТОГО Торговля'!$B$5:$B$300,$B97)+SUMIFS('ИТОГО Лэндинг'!$J$5:$J$300,'ИТОГО Лэндинг'!$B$5:$B$300,$B97)+SUMIFS('История'!$J$5:$J$300,'История'!$B$5:$B$300,$B97),8)))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Лэндинг'!$B$5:$B$300,$B97)+SUMIFS('История'!$K$5:$K$300,'История'!$B$5:$B$300,$B97),8))</f>
        <v/>
      </c>
      <c r="L97" s="177">
        <f>IF(K97="","",IF(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&lt;=0,0,ROUND(K97/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*100,2)))</f>
        <v/>
      </c>
      <c r="M97" s="343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inlineStr">
        <is>
          <t>STX/USD</t>
        </is>
      </c>
      <c r="C98" s="246">
        <f>IF($B98="","",IF(SUMIFS('ИТОГО Торговля'!$C$5:$C$300,'ИТОГО Торговля'!$B$5:$B$300,$B98)+SUMIFS('ИТОГО Лэндинг'!$C$5:$C$300,'ИТОГО Лэндинг'!$B$5:$B$300,$B98)+SUMIFS('История'!$C$5:$C$300,'История'!$B$5:$B$300,$B98)=0,"",SUMIFS('ИТОГО Торговля'!$C$5:$C$300,'ИТОГО Торговля'!$B$5:$B$300,$B98)+SUMIFS('ИТОГО Лэндинг'!$C$5:$C$300,'ИТОГО Лэндинг'!$B$5:$B$300,$B98)+SUMIFS('История'!$C$5:$C$300,'История'!$B$5:$B$300,$B98)))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Лэндинг'!$B$5:$B$300,$B98)+SUMIFS('История'!$E$5:$E$300,'История'!$B$5:$B$300,$B98))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Лэндинг'!$B$5:$B$300,$B98)+SUMIFS('История'!$F$5:$F$300,'История'!$B$5:$B$300,$B98)=0,"",SUMIFS('ИТОГО Торговля'!$F$5:$F$300,'ИТОГО Торговля'!$B$5:$B$300,$B98)+SUMIFS('ИТОГО Лэндинг'!$F$5:$F$300,'ИТОГО Лэндинг'!$B$5:$B$300,$B98)+SUMIFS('История'!$F$5:$F$300,'История'!$B$5:$B$300,$B98)))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Лэндинг'!$B$5:$B$300,$B98)+SUMIFS('История'!$H$5:$H$300,'История'!$B$5:$B$300,$B98))</f>
        <v/>
      </c>
      <c r="I98" s="341">
        <f>IF($B98="","",IF(AND(C98="",F98=""),"",ROUND(SUMIFS('ИТОГО Торговля'!$I$5:$I$300,'ИТОГО Торговля'!$B$5:$B$300,$B98)+SUMIFS('ИТОГО Лэндинг'!$I$5:$I$300,'ИТОГО Лэндинг'!$B$5:$B$300,$B98)+SUMIFS('История'!$I$5:$I$300,'История'!$B$5:$B$300,$B98),8)))</f>
        <v/>
      </c>
      <c r="J98" s="342">
        <f>IF($B98="","",IF(AND(C98="",F98=""),"",ROUND(SUMIFS('ИТОГО Торговля'!$J$5:$J$300,'ИТОГО Торговля'!$B$5:$B$300,$B98)+SUMIFS('ИТОГО Лэндинг'!$J$5:$J$300,'ИТОГО Лэндинг'!$B$5:$B$300,$B98)+SUMIFS('История'!$J$5:$J$300,'История'!$B$5:$B$300,$B98),8)))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Лэндинг'!$B$5:$B$300,$B98)+SUMIFS('История'!$K$5:$K$300,'История'!$B$5:$B$300,$B98),8))</f>
        <v/>
      </c>
      <c r="L98" s="183">
        <f>IF(K98="","",IF(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&lt;=0,0,ROUND(K98/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*100,2)))</f>
        <v/>
      </c>
      <c r="M98" s="344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inlineStr">
        <is>
          <t>SUI/USD</t>
        </is>
      </c>
      <c r="C99" s="240">
        <f>IF($B99="","",IF(SUMIFS('ИТОГО Торговля'!$C$5:$C$300,'ИТОГО Торговля'!$B$5:$B$300,$B99)+SUMIFS('ИТОГО Лэндинг'!$C$5:$C$300,'ИТОГО Лэндинг'!$B$5:$B$300,$B99)+SUMIFS('История'!$C$5:$C$300,'История'!$B$5:$B$300,$B99)=0,"",SUMIFS('ИТОГО Торговля'!$C$5:$C$300,'ИТОГО Торговля'!$B$5:$B$300,$B99)+SUMIFS('ИТОГО Лэндинг'!$C$5:$C$300,'ИТОГО Лэндинг'!$B$5:$B$300,$B99)+SUMIFS('История'!$C$5:$C$300,'История'!$B$5:$B$300,$B99)))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Лэндинг'!$B$5:$B$300,$B99)+SUMIFS('История'!$E$5:$E$300,'История'!$B$5:$B$300,$B99))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Лэндинг'!$B$5:$B$300,$B99)+SUMIFS('История'!$F$5:$F$300,'История'!$B$5:$B$300,$B99)=0,"",SUMIFS('ИТОГО Торговля'!$F$5:$F$300,'ИТОГО Торговля'!$B$5:$B$300,$B99)+SUMIFS('ИТОГО Лэндинг'!$F$5:$F$300,'ИТОГО Лэндинг'!$B$5:$B$300,$B99)+SUMIFS('История'!$F$5:$F$300,'История'!$B$5:$B$300,$B99)))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Лэндинг'!$B$5:$B$300,$B99)+SUMIFS('История'!$H$5:$H$300,'История'!$B$5:$B$300,$B99))</f>
        <v/>
      </c>
      <c r="I99" s="339">
        <f>IF($B99="","",IF(AND(C99="",F99=""),"",ROUND(SUMIFS('ИТОГО Торговля'!$I$5:$I$300,'ИТОГО Торговля'!$B$5:$B$300,$B99)+SUMIFS('ИТОГО Лэндинг'!$I$5:$I$300,'ИТОГО Лэндинг'!$B$5:$B$300,$B99)+SUMIFS('История'!$I$5:$I$300,'История'!$B$5:$B$300,$B99),8)))</f>
        <v/>
      </c>
      <c r="J99" s="340">
        <f>IF($B99="","",IF(AND(C99="",F99=""),"",ROUND(SUMIFS('ИТОГО Торговля'!$J$5:$J$300,'ИТОГО Торговля'!$B$5:$B$300,$B99)+SUMIFS('ИТОГО Лэндинг'!$J$5:$J$300,'ИТОГО Лэндинг'!$B$5:$B$300,$B99)+SUMIFS('История'!$J$5:$J$300,'История'!$B$5:$B$300,$B99),8)))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Лэндинг'!$B$5:$B$300,$B99)+SUMIFS('История'!$K$5:$K$300,'История'!$B$5:$B$300,$B99),8))</f>
        <v/>
      </c>
      <c r="L99" s="177">
        <f>IF(K99="","",IF(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&lt;=0,0,ROUND(K99/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*100,2)))</f>
        <v/>
      </c>
      <c r="M99" s="343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inlineStr">
        <is>
          <t>TON/USD</t>
        </is>
      </c>
      <c r="C100" s="246">
        <f>IF($B100="","",IF(SUMIFS('ИТОГО Торговля'!$C$5:$C$300,'ИТОГО Торговля'!$B$5:$B$300,$B100)+SUMIFS('ИТОГО Лэндинг'!$C$5:$C$300,'ИТОГО Лэндинг'!$B$5:$B$300,$B100)+SUMIFS('История'!$C$5:$C$300,'История'!$B$5:$B$300,$B100)=0,"",SUMIFS('ИТОГО Торговля'!$C$5:$C$300,'ИТОГО Торговля'!$B$5:$B$300,$B100)+SUMIFS('ИТОГО Лэндинг'!$C$5:$C$300,'ИТОГО Лэндинг'!$B$5:$B$300,$B100)+SUMIFS('История'!$C$5:$C$300,'История'!$B$5:$B$300,$B100)))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Лэндинг'!$B$5:$B$300,$B100)+SUMIFS('История'!$E$5:$E$300,'История'!$B$5:$B$300,$B100))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Лэндинг'!$B$5:$B$300,$B100)+SUMIFS('История'!$F$5:$F$300,'История'!$B$5:$B$300,$B100)=0,"",SUMIFS('ИТОГО Торговля'!$F$5:$F$300,'ИТОГО Торговля'!$B$5:$B$300,$B100)+SUMIFS('ИТОГО Лэндинг'!$F$5:$F$300,'ИТОГО Лэндинг'!$B$5:$B$300,$B100)+SUMIFS('История'!$F$5:$F$300,'История'!$B$5:$B$300,$B100)))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Лэндинг'!$B$5:$B$300,$B100)+SUMIFS('История'!$H$5:$H$300,'История'!$B$5:$B$300,$B100))</f>
        <v/>
      </c>
      <c r="I100" s="341">
        <f>IF($B100="","",IF(AND(C100="",F100=""),"",ROUND(SUMIFS('ИТОГО Торговля'!$I$5:$I$300,'ИТОГО Торговля'!$B$5:$B$300,$B100)+SUMIFS('ИТОГО Лэндинг'!$I$5:$I$300,'ИТОГО Лэндинг'!$B$5:$B$300,$B100)+SUMIFS('История'!$I$5:$I$300,'История'!$B$5:$B$300,$B100),8)))</f>
        <v/>
      </c>
      <c r="J100" s="342">
        <f>IF($B100="","",IF(AND(C100="",F100=""),"",ROUND(SUMIFS('ИТОГО Торговля'!$J$5:$J$300,'ИТОГО Торговля'!$B$5:$B$300,$B100)+SUMIFS('ИТОГО Лэндинг'!$J$5:$J$300,'ИТОГО Лэндинг'!$B$5:$B$300,$B100)+SUMIFS('История'!$J$5:$J$300,'История'!$B$5:$B$300,$B100),8)))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Лэндинг'!$B$5:$B$300,$B100)+SUMIFS('История'!$K$5:$K$300,'История'!$B$5:$B$300,$B100),8))</f>
        <v/>
      </c>
      <c r="L100" s="183">
        <f>IF(K100="","",IF(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&lt;=0,0,ROUND(K100/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*100,2)))</f>
        <v/>
      </c>
      <c r="M100" s="344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inlineStr">
        <is>
          <t>TRX/BTC</t>
        </is>
      </c>
      <c r="C101" s="240">
        <f>IF($B101="","",IF(SUMIFS('ИТОГО Торговля'!$C$5:$C$300,'ИТОГО Торговля'!$B$5:$B$300,$B101)+SUMIFS('ИТОГО Лэндинг'!$C$5:$C$300,'ИТОГО Лэндинг'!$B$5:$B$300,$B101)+SUMIFS('История'!$C$5:$C$300,'История'!$B$5:$B$300,$B101)=0,"",SUMIFS('ИТОГО Торговля'!$C$5:$C$300,'ИТОГО Торговля'!$B$5:$B$300,$B101)+SUMIFS('ИТОГО Лэндинг'!$C$5:$C$300,'ИТОГО Лэндинг'!$B$5:$B$300,$B101)+SUMIFS('История'!$C$5:$C$300,'История'!$B$5:$B$300,$B101)))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Лэндинг'!$B$5:$B$300,$B101)+SUMIFS('История'!$E$5:$E$300,'История'!$B$5:$B$300,$B101))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Лэндинг'!$B$5:$B$300,$B101)+SUMIFS('История'!$F$5:$F$300,'История'!$B$5:$B$300,$B101)=0,"",SUMIFS('ИТОГО Торговля'!$F$5:$F$300,'ИТОГО Торговля'!$B$5:$B$300,$B101)+SUMIFS('ИТОГО Лэндинг'!$F$5:$F$300,'ИТОГО Лэндинг'!$B$5:$B$300,$B101)+SUMIFS('История'!$F$5:$F$300,'История'!$B$5:$B$300,$B101)))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Лэндинг'!$B$5:$B$300,$B101)+SUMIFS('История'!$H$5:$H$300,'История'!$B$5:$B$300,$B101))</f>
        <v/>
      </c>
      <c r="I101" s="339">
        <f>IF($B101="","",IF(AND(C101="",F101=""),"",ROUND(SUMIFS('ИТОГО Торговля'!$I$5:$I$300,'ИТОГО Торговля'!$B$5:$B$300,$B101)+SUMIFS('ИТОГО Лэндинг'!$I$5:$I$300,'ИТОГО Лэндинг'!$B$5:$B$300,$B101)+SUMIFS('История'!$I$5:$I$300,'История'!$B$5:$B$300,$B101),8)))</f>
        <v/>
      </c>
      <c r="J101" s="340">
        <f>IF($B101="","",IF(AND(C101="",F101=""),"",ROUND(SUMIFS('ИТОГО Торговля'!$J$5:$J$300,'ИТОГО Торговля'!$B$5:$B$300,$B101)+SUMIFS('ИТОГО Лэндинг'!$J$5:$J$300,'ИТОГО Лэндинг'!$B$5:$B$300,$B101)+SUMIFS('История'!$J$5:$J$300,'История'!$B$5:$B$300,$B101),8)))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Лэндинг'!$B$5:$B$300,$B101)+SUMIFS('История'!$K$5:$K$300,'История'!$B$5:$B$300,$B101),8))</f>
        <v/>
      </c>
      <c r="L101" s="177">
        <f>IF(K101="","",IF(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&lt;=0,0,ROUND(K101/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*100,2)))</f>
        <v/>
      </c>
      <c r="M101" s="343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inlineStr">
        <is>
          <t>TRX/ETH</t>
        </is>
      </c>
      <c r="C102" s="246">
        <f>IF($B102="","",IF(SUMIFS('ИТОГО Торговля'!$C$5:$C$300,'ИТОГО Торговля'!$B$5:$B$300,$B102)+SUMIFS('ИТОГО Лэндинг'!$C$5:$C$300,'ИТОГО Лэндинг'!$B$5:$B$300,$B102)+SUMIFS('История'!$C$5:$C$300,'История'!$B$5:$B$300,$B102)=0,"",SUMIFS('ИТОГО Торговля'!$C$5:$C$300,'ИТОГО Торговля'!$B$5:$B$300,$B102)+SUMIFS('ИТОГО Лэндинг'!$C$5:$C$300,'ИТОГО Лэндинг'!$B$5:$B$300,$B102)+SUMIFS('История'!$C$5:$C$300,'История'!$B$5:$B$300,$B102)))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Лэндинг'!$B$5:$B$300,$B102)+SUMIFS('История'!$E$5:$E$300,'История'!$B$5:$B$300,$B102))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Лэндинг'!$B$5:$B$300,$B102)+SUMIFS('История'!$F$5:$F$300,'История'!$B$5:$B$300,$B102)=0,"",SUMIFS('ИТОГО Торговля'!$F$5:$F$300,'ИТОГО Торговля'!$B$5:$B$300,$B102)+SUMIFS('ИТОГО Лэндинг'!$F$5:$F$300,'ИТОГО Лэндинг'!$B$5:$B$300,$B102)+SUMIFS('История'!$F$5:$F$300,'История'!$B$5:$B$300,$B102)))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Лэндинг'!$B$5:$B$300,$B102)+SUMIFS('История'!$H$5:$H$300,'История'!$B$5:$B$300,$B102))</f>
        <v/>
      </c>
      <c r="I102" s="341">
        <f>IF($B102="","",IF(AND(C102="",F102=""),"",ROUND(SUMIFS('ИТОГО Торговля'!$I$5:$I$300,'ИТОГО Торговля'!$B$5:$B$300,$B102)+SUMIFS('ИТОГО Лэндинг'!$I$5:$I$300,'ИТОГО Лэндинг'!$B$5:$B$300,$B102)+SUMIFS('История'!$I$5:$I$300,'История'!$B$5:$B$300,$B102),8)))</f>
        <v/>
      </c>
      <c r="J102" s="342">
        <f>IF($B102="","",IF(AND(C102="",F102=""),"",ROUND(SUMIFS('ИТОГО Торговля'!$J$5:$J$300,'ИТОГО Торговля'!$B$5:$B$300,$B102)+SUMIFS('ИТОГО Лэндинг'!$J$5:$J$300,'ИТОГО Лэндинг'!$B$5:$B$300,$B102)+SUMIFS('История'!$J$5:$J$300,'История'!$B$5:$B$300,$B102),8)))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Лэндинг'!$B$5:$B$300,$B102)+SUMIFS('История'!$K$5:$K$300,'История'!$B$5:$B$300,$B102),8))</f>
        <v/>
      </c>
      <c r="L102" s="183">
        <f>IF(K102="","",IF(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&lt;=0,0,ROUND(K102/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*100,2)))</f>
        <v/>
      </c>
      <c r="M102" s="344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inlineStr">
        <is>
          <t>TRX/USD</t>
        </is>
      </c>
      <c r="C103" s="240">
        <f>IF($B103="","",IF(SUMIFS('ИТОГО Торговля'!$C$5:$C$300,'ИТОГО Торговля'!$B$5:$B$300,$B103)+SUMIFS('ИТОГО Лэндинг'!$C$5:$C$300,'ИТОГО Лэндинг'!$B$5:$B$300,$B103)+SUMIFS('История'!$C$5:$C$300,'История'!$B$5:$B$300,$B103)=0,"",SUMIFS('ИТОГО Торговля'!$C$5:$C$300,'ИТОГО Торговля'!$B$5:$B$300,$B103)+SUMIFS('ИТОГО Лэндинг'!$C$5:$C$300,'ИТОГО Лэндинг'!$B$5:$B$300,$B103)+SUMIFS('История'!$C$5:$C$300,'История'!$B$5:$B$300,$B103)))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Лэндинг'!$B$5:$B$300,$B103)+SUMIFS('История'!$E$5:$E$300,'История'!$B$5:$B$300,$B103))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Лэндинг'!$B$5:$B$300,$B103)+SUMIFS('История'!$F$5:$F$300,'История'!$B$5:$B$300,$B103)=0,"",SUMIFS('ИТОГО Торговля'!$F$5:$F$300,'ИТОГО Торговля'!$B$5:$B$300,$B103)+SUMIFS('ИТОГО Лэндинг'!$F$5:$F$300,'ИТОГО Лэндинг'!$B$5:$B$300,$B103)+SUMIFS('История'!$F$5:$F$300,'История'!$B$5:$B$300,$B103)))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Лэндинг'!$B$5:$B$300,$B103)+SUMIFS('История'!$H$5:$H$300,'История'!$B$5:$B$300,$B103))</f>
        <v/>
      </c>
      <c r="I103" s="339">
        <f>IF($B103="","",IF(AND(C103="",F103=""),"",ROUND(SUMIFS('ИТОГО Торговля'!$I$5:$I$300,'ИТОГО Торговля'!$B$5:$B$300,$B103)+SUMIFS('ИТОГО Лэндинг'!$I$5:$I$300,'ИТОГО Лэндинг'!$B$5:$B$300,$B103)+SUMIFS('История'!$I$5:$I$300,'История'!$B$5:$B$300,$B103),8)))</f>
        <v/>
      </c>
      <c r="J103" s="340">
        <f>IF($B103="","",IF(AND(C103="",F103=""),"",ROUND(SUMIFS('ИТОГО Торговля'!$J$5:$J$300,'ИТОГО Торговля'!$B$5:$B$300,$B103)+SUMIFS('ИТОГО Лэндинг'!$J$5:$J$300,'ИТОГО Лэндинг'!$B$5:$B$300,$B103)+SUMIFS('История'!$J$5:$J$300,'История'!$B$5:$B$300,$B103),8)))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Лэндинг'!$B$5:$B$300,$B103)+SUMIFS('История'!$K$5:$K$300,'История'!$B$5:$B$300,$B103),8))</f>
        <v/>
      </c>
      <c r="L103" s="177">
        <f>IF(K103="","",IF(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&lt;=0,0,ROUND(K103/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*100,2)))</f>
        <v/>
      </c>
      <c r="M103" s="343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inlineStr">
        <is>
          <t>TRX/XRP</t>
        </is>
      </c>
      <c r="C104" s="246">
        <f>IF($B104="","",IF(SUMIFS('ИТОГО Торговля'!$C$5:$C$300,'ИТОГО Торговля'!$B$5:$B$300,$B104)+SUMIFS('ИТОГО Лэндинг'!$C$5:$C$300,'ИТОГО Лэндинг'!$B$5:$B$300,$B104)+SUMIFS('История'!$C$5:$C$300,'История'!$B$5:$B$300,$B104)=0,"",SUMIFS('ИТОГО Торговля'!$C$5:$C$300,'ИТОГО Торговля'!$B$5:$B$300,$B104)+SUMIFS('ИТОГО Лэндинг'!$C$5:$C$300,'ИТОГО Лэндинг'!$B$5:$B$300,$B104)+SUMIFS('История'!$C$5:$C$300,'История'!$B$5:$B$300,$B104)))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Лэндинг'!$B$5:$B$300,$B104)+SUMIFS('История'!$E$5:$E$300,'История'!$B$5:$B$300,$B104))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Лэндинг'!$B$5:$B$300,$B104)+SUMIFS('История'!$F$5:$F$300,'История'!$B$5:$B$300,$B104)=0,"",SUMIFS('ИТОГО Торговля'!$F$5:$F$300,'ИТОГО Торговля'!$B$5:$B$300,$B104)+SUMIFS('ИТОГО Лэндинг'!$F$5:$F$300,'ИТОГО Лэндинг'!$B$5:$B$300,$B104)+SUMIFS('История'!$F$5:$F$300,'История'!$B$5:$B$300,$B104)))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Лэндинг'!$B$5:$B$300,$B104)+SUMIFS('История'!$H$5:$H$300,'История'!$B$5:$B$300,$B104))</f>
        <v/>
      </c>
      <c r="I104" s="341">
        <f>IF($B104="","",IF(AND(C104="",F104=""),"",ROUND(SUMIFS('ИТОГО Торговля'!$I$5:$I$300,'ИТОГО Торговля'!$B$5:$B$300,$B104)+SUMIFS('ИТОГО Лэндинг'!$I$5:$I$300,'ИТОГО Лэндинг'!$B$5:$B$300,$B104)+SUMIFS('История'!$I$5:$I$300,'История'!$B$5:$B$300,$B104),8)))</f>
        <v/>
      </c>
      <c r="J104" s="342">
        <f>IF($B104="","",IF(AND(C104="",F104=""),"",ROUND(SUMIFS('ИТОГО Торговля'!$J$5:$J$300,'ИТОГО Торговля'!$B$5:$B$300,$B104)+SUMIFS('ИТОГО Лэндинг'!$J$5:$J$300,'ИТОГО Лэндинг'!$B$5:$B$300,$B104)+SUMIFS('История'!$J$5:$J$300,'История'!$B$5:$B$300,$B104),8)))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Лэндинг'!$B$5:$B$300,$B104)+SUMIFS('История'!$K$5:$K$300,'История'!$B$5:$B$300,$B104),8))</f>
        <v/>
      </c>
      <c r="L104" s="183">
        <f>IF(K104="","",IF(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&lt;=0,0,ROUND(K104/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*100,2)))</f>
        <v/>
      </c>
      <c r="M104" s="344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inlineStr">
        <is>
          <t>UNI/BTC</t>
        </is>
      </c>
      <c r="C105" s="240">
        <f>IF($B105="","",IF(SUMIFS('ИТОГО Торговля'!$C$5:$C$300,'ИТОГО Торговля'!$B$5:$B$300,$B105)+SUMIFS('ИТОГО Лэндинг'!$C$5:$C$300,'ИТОГО Лэндинг'!$B$5:$B$300,$B105)+SUMIFS('История'!$C$5:$C$300,'История'!$B$5:$B$300,$B105)=0,"",SUMIFS('ИТОГО Торговля'!$C$5:$C$300,'ИТОГО Торговля'!$B$5:$B$300,$B105)+SUMIFS('ИТОГО Лэндинг'!$C$5:$C$300,'ИТОГО Лэндинг'!$B$5:$B$300,$B105)+SUMIFS('История'!$C$5:$C$300,'История'!$B$5:$B$300,$B105)))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Лэндинг'!$B$5:$B$300,$B105)+SUMIFS('История'!$E$5:$E$300,'История'!$B$5:$B$300,$B105))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Лэндинг'!$B$5:$B$300,$B105)+SUMIFS('История'!$F$5:$F$300,'История'!$B$5:$B$300,$B105)=0,"",SUMIFS('ИТОГО Торговля'!$F$5:$F$300,'ИТОГО Торговля'!$B$5:$B$300,$B105)+SUMIFS('ИТОГО Лэндинг'!$F$5:$F$300,'ИТОГО Лэндинг'!$B$5:$B$300,$B105)+SUMIFS('История'!$F$5:$F$300,'История'!$B$5:$B$300,$B105)))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Лэндинг'!$B$5:$B$300,$B105)+SUMIFS('История'!$H$5:$H$300,'История'!$B$5:$B$300,$B105))</f>
        <v/>
      </c>
      <c r="I105" s="339">
        <f>IF($B105="","",IF(AND(C105="",F105=""),"",ROUND(SUMIFS('ИТОГО Торговля'!$I$5:$I$300,'ИТОГО Торговля'!$B$5:$B$300,$B105)+SUMIFS('ИТОГО Лэндинг'!$I$5:$I$300,'ИТОГО Лэндинг'!$B$5:$B$300,$B105)+SUMIFS('История'!$I$5:$I$300,'История'!$B$5:$B$300,$B105),8)))</f>
        <v/>
      </c>
      <c r="J105" s="340">
        <f>IF($B105="","",IF(AND(C105="",F105=""),"",ROUND(SUMIFS('ИТОГО Торговля'!$J$5:$J$300,'ИТОГО Торговля'!$B$5:$B$300,$B105)+SUMIFS('ИТОГО Лэндинг'!$J$5:$J$300,'ИТОГО Лэндинг'!$B$5:$B$300,$B105)+SUMIFS('История'!$J$5:$J$300,'История'!$B$5:$B$300,$B105),8)))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Лэндинг'!$B$5:$B$300,$B105)+SUMIFS('История'!$K$5:$K$300,'История'!$B$5:$B$300,$B105),8))</f>
        <v/>
      </c>
      <c r="L105" s="177">
        <f>IF(K105="","",IF(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&lt;=0,0,ROUND(K105/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*100,2)))</f>
        <v/>
      </c>
      <c r="M105" s="343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inlineStr">
        <is>
          <t>UNI/USD</t>
        </is>
      </c>
      <c r="C106" s="246">
        <f>IF($B106="","",IF(SUMIFS('ИТОГО Торговля'!$C$5:$C$300,'ИТОГО Торговля'!$B$5:$B$300,$B106)+SUMIFS('ИТОГО Лэндинг'!$C$5:$C$300,'ИТОГО Лэндинг'!$B$5:$B$300,$B106)+SUMIFS('История'!$C$5:$C$300,'История'!$B$5:$B$300,$B106)=0,"",SUMIFS('ИТОГО Торговля'!$C$5:$C$300,'ИТОГО Торговля'!$B$5:$B$300,$B106)+SUMIFS('ИТОГО Лэндинг'!$C$5:$C$300,'ИТОГО Лэндинг'!$B$5:$B$300,$B106)+SUMIFS('История'!$C$5:$C$300,'История'!$B$5:$B$300,$B106)))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Лэндинг'!$B$5:$B$300,$B106)+SUMIFS('История'!$E$5:$E$300,'История'!$B$5:$B$300,$B106))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Лэндинг'!$B$5:$B$300,$B106)+SUMIFS('История'!$F$5:$F$300,'История'!$B$5:$B$300,$B106)=0,"",SUMIFS('ИТОГО Торговля'!$F$5:$F$300,'ИТОГО Торговля'!$B$5:$B$300,$B106)+SUMIFS('ИТОГО Лэндинг'!$F$5:$F$300,'ИТОГО Лэндинг'!$B$5:$B$300,$B106)+SUMIFS('История'!$F$5:$F$300,'История'!$B$5:$B$300,$B106)))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Лэндинг'!$B$5:$B$300,$B106)+SUMIFS('История'!$H$5:$H$300,'История'!$B$5:$B$300,$B106))</f>
        <v/>
      </c>
      <c r="I106" s="341">
        <f>IF($B106="","",IF(AND(C106="",F106=""),"",ROUND(SUMIFS('ИТОГО Торговля'!$I$5:$I$300,'ИТОГО Торговля'!$B$5:$B$300,$B106)+SUMIFS('ИТОГО Лэндинг'!$I$5:$I$300,'ИТОГО Лэндинг'!$B$5:$B$300,$B106)+SUMIFS('История'!$I$5:$I$300,'История'!$B$5:$B$300,$B106),8)))</f>
        <v/>
      </c>
      <c r="J106" s="342">
        <f>IF($B106="","",IF(AND(C106="",F106=""),"",ROUND(SUMIFS('ИТОГО Торговля'!$J$5:$J$300,'ИТОГО Торговля'!$B$5:$B$300,$B106)+SUMIFS('ИТОГО Лэндинг'!$J$5:$J$300,'ИТОГО Лэндинг'!$B$5:$B$300,$B106)+SUMIFS('История'!$J$5:$J$300,'История'!$B$5:$B$300,$B106),8)))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Лэндинг'!$B$5:$B$300,$B106)+SUMIFS('История'!$K$5:$K$300,'История'!$B$5:$B$300,$B106),8))</f>
        <v/>
      </c>
      <c r="L106" s="183">
        <f>IF(K106="","",IF(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&lt;=0,0,ROUND(K106/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*100,2)))</f>
        <v/>
      </c>
      <c r="M106" s="344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inlineStr">
        <is>
          <t>WAVES/BTC</t>
        </is>
      </c>
      <c r="C107" s="240">
        <f>IF($B107="","",IF(SUMIFS('ИТОГО Торговля'!$C$5:$C$300,'ИТОГО Торговля'!$B$5:$B$300,$B107)+SUMIFS('ИТОГО Лэндинг'!$C$5:$C$300,'ИТОГО Лэндинг'!$B$5:$B$300,$B107)+SUMIFS('История'!$C$5:$C$300,'История'!$B$5:$B$300,$B107)=0,"",SUMIFS('ИТОГО Торговля'!$C$5:$C$300,'ИТОГО Торговля'!$B$5:$B$300,$B107)+SUMIFS('ИТОГО Лэндинг'!$C$5:$C$300,'ИТОГО Лэндинг'!$B$5:$B$300,$B107)+SUMIFS('История'!$C$5:$C$300,'История'!$B$5:$B$300,$B107)))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Лэндинг'!$B$5:$B$300,$B107)+SUMIFS('История'!$E$5:$E$300,'История'!$B$5:$B$300,$B107))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Лэндинг'!$B$5:$B$300,$B107)+SUMIFS('История'!$F$5:$F$300,'История'!$B$5:$B$300,$B107)=0,"",SUMIFS('ИТОГО Торговля'!$F$5:$F$300,'ИТОГО Торговля'!$B$5:$B$300,$B107)+SUMIFS('ИТОГО Лэндинг'!$F$5:$F$300,'ИТОГО Лэндинг'!$B$5:$B$300,$B107)+SUMIFS('История'!$F$5:$F$300,'История'!$B$5:$B$300,$B107)))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Лэндинг'!$B$5:$B$300,$B107)+SUMIFS('История'!$H$5:$H$300,'История'!$B$5:$B$300,$B107))</f>
        <v/>
      </c>
      <c r="I107" s="339">
        <f>IF($B107="","",IF(AND(C107="",F107=""),"",ROUND(SUMIFS('ИТОГО Торговля'!$I$5:$I$300,'ИТОГО Торговля'!$B$5:$B$300,$B107)+SUMIFS('ИТОГО Лэндинг'!$I$5:$I$300,'ИТОГО Лэндинг'!$B$5:$B$300,$B107)+SUMIFS('История'!$I$5:$I$300,'История'!$B$5:$B$300,$B107),8)))</f>
        <v/>
      </c>
      <c r="J107" s="340">
        <f>IF($B107="","",IF(AND(C107="",F107=""),"",ROUND(SUMIFS('ИТОГО Торговля'!$J$5:$J$300,'ИТОГО Торговля'!$B$5:$B$300,$B107)+SUMIFS('ИТОГО Лэндинг'!$J$5:$J$300,'ИТОГО Лэндинг'!$B$5:$B$300,$B107)+SUMIFS('История'!$J$5:$J$300,'История'!$B$5:$B$300,$B107),8)))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Лэндинг'!$B$5:$B$300,$B107)+SUMIFS('История'!$K$5:$K$300,'История'!$B$5:$B$300,$B107),8))</f>
        <v/>
      </c>
      <c r="L107" s="177">
        <f>IF(K107="","",IF(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&lt;=0,0,ROUND(K107/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*100,2)))</f>
        <v/>
      </c>
      <c r="M107" s="343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inlineStr">
        <is>
          <t>WAVES/ETH</t>
        </is>
      </c>
      <c r="C108" s="246">
        <f>IF($B108="","",IF(SUMIFS('ИТОГО Торговля'!$C$5:$C$300,'ИТОГО Торговля'!$B$5:$B$300,$B108)+SUMIFS('ИТОГО Лэндинг'!$C$5:$C$300,'ИТОГО Лэндинг'!$B$5:$B$300,$B108)+SUMIFS('История'!$C$5:$C$300,'История'!$B$5:$B$300,$B108)=0,"",SUMIFS('ИТОГО Торговля'!$C$5:$C$300,'ИТОГО Торговля'!$B$5:$B$300,$B108)+SUMIFS('ИТОГО Лэндинг'!$C$5:$C$300,'ИТОГО Лэндинг'!$B$5:$B$300,$B108)+SUMIFS('История'!$C$5:$C$300,'История'!$B$5:$B$300,$B108)))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Лэндинг'!$B$5:$B$300,$B108)+SUMIFS('История'!$E$5:$E$300,'История'!$B$5:$B$300,$B108))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Лэндинг'!$B$5:$B$300,$B108)+SUMIFS('История'!$F$5:$F$300,'История'!$B$5:$B$300,$B108)=0,"",SUMIFS('ИТОГО Торговля'!$F$5:$F$300,'ИТОГО Торговля'!$B$5:$B$300,$B108)+SUMIFS('ИТОГО Лэндинг'!$F$5:$F$300,'ИТОГО Лэндинг'!$B$5:$B$300,$B108)+SUMIFS('История'!$F$5:$F$300,'История'!$B$5:$B$300,$B108)))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Лэндинг'!$B$5:$B$300,$B108)+SUMIFS('История'!$H$5:$H$300,'История'!$B$5:$B$300,$B108))</f>
        <v/>
      </c>
      <c r="I108" s="341">
        <f>IF($B108="","",IF(AND(C108="",F108=""),"",ROUND(SUMIFS('ИТОГО Торговля'!$I$5:$I$300,'ИТОГО Торговля'!$B$5:$B$300,$B108)+SUMIFS('ИТОГО Лэндинг'!$I$5:$I$300,'ИТОГО Лэндинг'!$B$5:$B$300,$B108)+SUMIFS('История'!$I$5:$I$300,'История'!$B$5:$B$300,$B108),8)))</f>
        <v/>
      </c>
      <c r="J108" s="342">
        <f>IF($B108="","",IF(AND(C108="",F108=""),"",ROUND(SUMIFS('ИТОГО Торговля'!$J$5:$J$300,'ИТОГО Торговля'!$B$5:$B$300,$B108)+SUMIFS('ИТОГО Лэндинг'!$J$5:$J$300,'ИТОГО Лэндинг'!$B$5:$B$300,$B108)+SUMIFS('История'!$J$5:$J$300,'История'!$B$5:$B$300,$B108),8)))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Лэндинг'!$B$5:$B$300,$B108)+SUMIFS('История'!$K$5:$K$300,'История'!$B$5:$B$300,$B108),8))</f>
        <v/>
      </c>
      <c r="L108" s="183">
        <f>IF(K108="","",IF(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&lt;=0,0,ROUND(K108/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*100,2)))</f>
        <v/>
      </c>
      <c r="M108" s="344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inlineStr">
        <is>
          <t>WAVES/USD</t>
        </is>
      </c>
      <c r="C109" s="240">
        <f>IF($B109="","",IF(SUMIFS('ИТОГО Торговля'!$C$5:$C$300,'ИТОГО Торговля'!$B$5:$B$300,$B109)+SUMIFS('ИТОГО Лэндинг'!$C$5:$C$300,'ИТОГО Лэндинг'!$B$5:$B$300,$B109)+SUMIFS('История'!$C$5:$C$300,'История'!$B$5:$B$300,$B109)=0,"",SUMIFS('ИТОГО Торговля'!$C$5:$C$300,'ИТОГО Торговля'!$B$5:$B$300,$B109)+SUMIFS('ИТОГО Лэндинг'!$C$5:$C$300,'ИТОГО Лэндинг'!$B$5:$B$300,$B109)+SUMIFS('История'!$C$5:$C$300,'История'!$B$5:$B$300,$B109)))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Лэндинг'!$B$5:$B$300,$B109)+SUMIFS('История'!$E$5:$E$300,'История'!$B$5:$B$300,$B109))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Лэндинг'!$B$5:$B$300,$B109)+SUMIFS('История'!$F$5:$F$300,'История'!$B$5:$B$300,$B109)=0,"",SUMIFS('ИТОГО Торговля'!$F$5:$F$300,'ИТОГО Торговля'!$B$5:$B$300,$B109)+SUMIFS('ИТОГО Лэндинг'!$F$5:$F$300,'ИТОГО Лэндинг'!$B$5:$B$300,$B109)+SUMIFS('История'!$F$5:$F$300,'История'!$B$5:$B$300,$B109)))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Лэндинг'!$B$5:$B$300,$B109)+SUMIFS('История'!$H$5:$H$300,'История'!$B$5:$B$300,$B109))</f>
        <v/>
      </c>
      <c r="I109" s="339">
        <f>IF($B109="","",IF(AND(C109="",F109=""),"",ROUND(SUMIFS('ИТОГО Торговля'!$I$5:$I$300,'ИТОГО Торговля'!$B$5:$B$300,$B109)+SUMIFS('ИТОГО Лэндинг'!$I$5:$I$300,'ИТОГО Лэндинг'!$B$5:$B$300,$B109)+SUMIFS('История'!$I$5:$I$300,'История'!$B$5:$B$300,$B109),8)))</f>
        <v/>
      </c>
      <c r="J109" s="340">
        <f>IF($B109="","",IF(AND(C109="",F109=""),"",ROUND(SUMIFS('ИТОГО Торговля'!$J$5:$J$300,'ИТОГО Торговля'!$B$5:$B$300,$B109)+SUMIFS('ИТОГО Лэндинг'!$J$5:$J$300,'ИТОГО Лэндинг'!$B$5:$B$300,$B109)+SUMIFS('История'!$J$5:$J$300,'История'!$B$5:$B$300,$B109),8)))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Лэндинг'!$B$5:$B$300,$B109)+SUMIFS('История'!$K$5:$K$300,'История'!$B$5:$B$300,$B109),8))</f>
        <v/>
      </c>
      <c r="L109" s="177">
        <f>IF(K109="","",IF(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&lt;=0,0,ROUND(K109/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*100,2)))</f>
        <v/>
      </c>
      <c r="M109" s="343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inlineStr">
        <is>
          <t>XEM/BTC</t>
        </is>
      </c>
      <c r="C110" s="246">
        <f>IF($B110="","",IF(SUMIFS('ИТОГО Торговля'!$C$5:$C$300,'ИТОГО Торговля'!$B$5:$B$300,$B110)+SUMIFS('ИТОГО Лэндинг'!$C$5:$C$300,'ИТОГО Лэндинг'!$B$5:$B$300,$B110)+SUMIFS('История'!$C$5:$C$300,'История'!$B$5:$B$300,$B110)=0,"",SUMIFS('ИТОГО Торговля'!$C$5:$C$300,'ИТОГО Торговля'!$B$5:$B$300,$B110)+SUMIFS('ИТОГО Лэндинг'!$C$5:$C$300,'ИТОГО Лэндинг'!$B$5:$B$300,$B110)+SUMIFS('История'!$C$5:$C$300,'История'!$B$5:$B$300,$B110)))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Лэндинг'!$B$5:$B$300,$B110)+SUMIFS('История'!$E$5:$E$300,'История'!$B$5:$B$300,$B110))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Лэндинг'!$B$5:$B$300,$B110)+SUMIFS('История'!$F$5:$F$300,'История'!$B$5:$B$300,$B110)=0,"",SUMIFS('ИТОГО Торговля'!$F$5:$F$300,'ИТОГО Торговля'!$B$5:$B$300,$B110)+SUMIFS('ИТОГО Лэндинг'!$F$5:$F$300,'ИТОГО Лэндинг'!$B$5:$B$300,$B110)+SUMIFS('История'!$F$5:$F$300,'История'!$B$5:$B$300,$B110)))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Лэндинг'!$B$5:$B$300,$B110)+SUMIFS('История'!$H$5:$H$300,'История'!$B$5:$B$300,$B110))</f>
        <v/>
      </c>
      <c r="I110" s="341">
        <f>IF($B110="","",IF(AND(C110="",F110=""),"",ROUND(SUMIFS('ИТОГО Торговля'!$I$5:$I$300,'ИТОГО Торговля'!$B$5:$B$300,$B110)+SUMIFS('ИТОГО Лэндинг'!$I$5:$I$300,'ИТОГО Лэндинг'!$B$5:$B$300,$B110)+SUMIFS('История'!$I$5:$I$300,'История'!$B$5:$B$300,$B110),8)))</f>
        <v/>
      </c>
      <c r="J110" s="342">
        <f>IF($B110="","",IF(AND(C110="",F110=""),"",ROUND(SUMIFS('ИТОГО Торговля'!$J$5:$J$300,'ИТОГО Торговля'!$B$5:$B$300,$B110)+SUMIFS('ИТОГО Лэндинг'!$J$5:$J$300,'ИТОГО Лэндинг'!$B$5:$B$300,$B110)+SUMIFS('История'!$J$5:$J$300,'История'!$B$5:$B$300,$B110),8)))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Лэндинг'!$B$5:$B$300,$B110)+SUMIFS('История'!$K$5:$K$300,'История'!$B$5:$B$300,$B110),8))</f>
        <v/>
      </c>
      <c r="L110" s="183">
        <f>IF(K110="","",IF(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&lt;=0,0,ROUND(K110/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*100,2)))</f>
        <v/>
      </c>
      <c r="M110" s="344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inlineStr">
        <is>
          <t>XEM/ETH</t>
        </is>
      </c>
      <c r="C111" s="240">
        <f>IF($B111="","",IF(SUMIFS('ИТОГО Торговля'!$C$5:$C$300,'ИТОГО Торговля'!$B$5:$B$300,$B111)+SUMIFS('ИТОГО Лэндинг'!$C$5:$C$300,'ИТОГО Лэндинг'!$B$5:$B$300,$B111)+SUMIFS('История'!$C$5:$C$300,'История'!$B$5:$B$300,$B111)=0,"",SUMIFS('ИТОГО Торговля'!$C$5:$C$300,'ИТОГО Торговля'!$B$5:$B$300,$B111)+SUMIFS('ИТОГО Лэндинг'!$C$5:$C$300,'ИТОГО Лэндинг'!$B$5:$B$300,$B111)+SUMIFS('История'!$C$5:$C$300,'История'!$B$5:$B$300,$B111)))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Лэндинг'!$B$5:$B$300,$B111)+SUMIFS('История'!$E$5:$E$300,'История'!$B$5:$B$300,$B111))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Лэндинг'!$B$5:$B$300,$B111)+SUMIFS('История'!$F$5:$F$300,'История'!$B$5:$B$300,$B111)=0,"",SUMIFS('ИТОГО Торговля'!$F$5:$F$300,'ИТОГО Торговля'!$B$5:$B$300,$B111)+SUMIFS('ИТОГО Лэндинг'!$F$5:$F$300,'ИТОГО Лэндинг'!$B$5:$B$300,$B111)+SUMIFS('История'!$F$5:$F$300,'История'!$B$5:$B$300,$B111)))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Лэндинг'!$B$5:$B$300,$B111)+SUMIFS('История'!$H$5:$H$300,'История'!$B$5:$B$300,$B111))</f>
        <v/>
      </c>
      <c r="I111" s="339">
        <f>IF($B111="","",IF(AND(C111="",F111=""),"",ROUND(SUMIFS('ИТОГО Торговля'!$I$5:$I$300,'ИТОГО Торговля'!$B$5:$B$300,$B111)+SUMIFS('ИТОГО Лэндинг'!$I$5:$I$300,'ИТОГО Лэндинг'!$B$5:$B$300,$B111)+SUMIFS('История'!$I$5:$I$300,'История'!$B$5:$B$300,$B111),8)))</f>
        <v/>
      </c>
      <c r="J111" s="340">
        <f>IF($B111="","",IF(AND(C111="",F111=""),"",ROUND(SUMIFS('ИТОГО Торговля'!$J$5:$J$300,'ИТОГО Торговля'!$B$5:$B$300,$B111)+SUMIFS('ИТОГО Лэндинг'!$J$5:$J$300,'ИТОГО Лэндинг'!$B$5:$B$300,$B111)+SUMIFS('История'!$J$5:$J$300,'История'!$B$5:$B$300,$B111),8)))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Лэндинг'!$B$5:$B$300,$B111)+SUMIFS('История'!$K$5:$K$300,'История'!$B$5:$B$300,$B111),8))</f>
        <v/>
      </c>
      <c r="L111" s="177">
        <f>IF(K111="","",IF(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&lt;=0,0,ROUND(K111/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*100,2)))</f>
        <v/>
      </c>
      <c r="M111" s="343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inlineStr">
        <is>
          <t>XEM/USD</t>
        </is>
      </c>
      <c r="C112" s="246">
        <f>IF($B112="","",IF(SUMIFS('ИТОГО Торговля'!$C$5:$C$300,'ИТОГО Торговля'!$B$5:$B$300,$B112)+SUMIFS('ИТОГО Лэндинг'!$C$5:$C$300,'ИТОГО Лэндинг'!$B$5:$B$300,$B112)+SUMIFS('История'!$C$5:$C$300,'История'!$B$5:$B$300,$B112)=0,"",SUMIFS('ИТОГО Торговля'!$C$5:$C$300,'ИТОГО Торговля'!$B$5:$B$300,$B112)+SUMIFS('ИТОГО Лэндинг'!$C$5:$C$300,'ИТОГО Лэндинг'!$B$5:$B$300,$B112)+SUMIFS('История'!$C$5:$C$300,'История'!$B$5:$B$300,$B112)))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Лэндинг'!$B$5:$B$300,$B112)+SUMIFS('История'!$E$5:$E$300,'История'!$B$5:$B$300,$B112))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Лэндинг'!$B$5:$B$300,$B112)+SUMIFS('История'!$F$5:$F$300,'История'!$B$5:$B$300,$B112)=0,"",SUMIFS('ИТОГО Торговля'!$F$5:$F$300,'ИТОГО Торговля'!$B$5:$B$300,$B112)+SUMIFS('ИТОГО Лэндинг'!$F$5:$F$300,'ИТОГО Лэндинг'!$B$5:$B$300,$B112)+SUMIFS('История'!$F$5:$F$300,'История'!$B$5:$B$300,$B112)))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Лэндинг'!$B$5:$B$300,$B112)+SUMIFS('История'!$H$5:$H$300,'История'!$B$5:$B$300,$B112))</f>
        <v/>
      </c>
      <c r="I112" s="341">
        <f>IF($B112="","",IF(AND(C112="",F112=""),"",ROUND(SUMIFS('ИТОГО Торговля'!$I$5:$I$300,'ИТОГО Торговля'!$B$5:$B$300,$B112)+SUMIFS('ИТОГО Лэндинг'!$I$5:$I$300,'ИТОГО Лэндинг'!$B$5:$B$300,$B112)+SUMIFS('История'!$I$5:$I$300,'История'!$B$5:$B$300,$B112),8)))</f>
        <v/>
      </c>
      <c r="J112" s="342">
        <f>IF($B112="","",IF(AND(C112="",F112=""),"",ROUND(SUMIFS('ИТОГО Торговля'!$J$5:$J$300,'ИТОГО Торговля'!$B$5:$B$300,$B112)+SUMIFS('ИТОГО Лэндинг'!$J$5:$J$300,'ИТОГО Лэндинг'!$B$5:$B$300,$B112)+SUMIFS('История'!$J$5:$J$300,'История'!$B$5:$B$300,$B112),8)))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Лэндинг'!$B$5:$B$300,$B112)+SUMIFS('История'!$K$5:$K$300,'История'!$B$5:$B$300,$B112),8))</f>
        <v/>
      </c>
      <c r="L112" s="183">
        <f>IF(K112="","",IF(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&lt;=0,0,ROUND(K112/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*100,2)))</f>
        <v/>
      </c>
      <c r="M112" s="344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inlineStr">
        <is>
          <t>XLM/BTC</t>
        </is>
      </c>
      <c r="C113" s="240">
        <f>IF($B113="","",IF(SUMIFS('ИТОГО Торговля'!$C$5:$C$300,'ИТОГО Торговля'!$B$5:$B$300,$B113)+SUMIFS('ИТОГО Лэндинг'!$C$5:$C$300,'ИТОГО Лэндинг'!$B$5:$B$300,$B113)+SUMIFS('История'!$C$5:$C$300,'История'!$B$5:$B$300,$B113)=0,"",SUMIFS('ИТОГО Торговля'!$C$5:$C$300,'ИТОГО Торговля'!$B$5:$B$300,$B113)+SUMIFS('ИТОГО Лэндинг'!$C$5:$C$300,'ИТОГО Лэндинг'!$B$5:$B$300,$B113)+SUMIFS('История'!$C$5:$C$300,'История'!$B$5:$B$300,$B113)))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Лэндинг'!$B$5:$B$300,$B113)+SUMIFS('История'!$E$5:$E$300,'История'!$B$5:$B$300,$B113))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Лэндинг'!$B$5:$B$300,$B113)+SUMIFS('История'!$F$5:$F$300,'История'!$B$5:$B$300,$B113)=0,"",SUMIFS('ИТОГО Торговля'!$F$5:$F$300,'ИТОГО Торговля'!$B$5:$B$300,$B113)+SUMIFS('ИТОГО Лэндинг'!$F$5:$F$300,'ИТОГО Лэндинг'!$B$5:$B$300,$B113)+SUMIFS('История'!$F$5:$F$300,'История'!$B$5:$B$300,$B113)))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Лэндинг'!$B$5:$B$300,$B113)+SUMIFS('История'!$H$5:$H$300,'История'!$B$5:$B$300,$B113))</f>
        <v/>
      </c>
      <c r="I113" s="339">
        <f>IF($B113="","",IF(AND(C113="",F113=""),"",ROUND(SUMIFS('ИТОГО Торговля'!$I$5:$I$300,'ИТОГО Торговля'!$B$5:$B$300,$B113)+SUMIFS('ИТОГО Лэндинг'!$I$5:$I$300,'ИТОГО Лэндинг'!$B$5:$B$300,$B113)+SUMIFS('История'!$I$5:$I$300,'История'!$B$5:$B$300,$B113),8)))</f>
        <v/>
      </c>
      <c r="J113" s="340">
        <f>IF($B113="","",IF(AND(C113="",F113=""),"",ROUND(SUMIFS('ИТОГО Торговля'!$J$5:$J$300,'ИТОГО Торговля'!$B$5:$B$300,$B113)+SUMIFS('ИТОГО Лэндинг'!$J$5:$J$300,'ИТОГО Лэндинг'!$B$5:$B$300,$B113)+SUMIFS('История'!$J$5:$J$300,'История'!$B$5:$B$300,$B113),8)))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Лэндинг'!$B$5:$B$300,$B113)+SUMIFS('История'!$K$5:$K$300,'История'!$B$5:$B$300,$B113),8))</f>
        <v/>
      </c>
      <c r="L113" s="177">
        <f>IF(K113="","",IF(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&lt;=0,0,ROUND(K113/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*100,2)))</f>
        <v/>
      </c>
      <c r="M113" s="343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inlineStr">
        <is>
          <t>XLM/USD</t>
        </is>
      </c>
      <c r="C114" s="246">
        <f>IF($B114="","",IF(SUMIFS('ИТОГО Торговля'!$C$5:$C$300,'ИТОГО Торговля'!$B$5:$B$300,$B114)+SUMIFS('ИТОГО Лэндинг'!$C$5:$C$300,'ИТОГО Лэндинг'!$B$5:$B$300,$B114)+SUMIFS('История'!$C$5:$C$300,'История'!$B$5:$B$300,$B114)=0,"",SUMIFS('ИТОГО Торговля'!$C$5:$C$300,'ИТОГО Торговля'!$B$5:$B$300,$B114)+SUMIFS('ИТОГО Лэндинг'!$C$5:$C$300,'ИТОГО Лэндинг'!$B$5:$B$300,$B114)+SUMIFS('История'!$C$5:$C$300,'История'!$B$5:$B$300,$B114)))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Лэндинг'!$B$5:$B$300,$B114)+SUMIFS('История'!$E$5:$E$300,'История'!$B$5:$B$300,$B114))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Лэндинг'!$B$5:$B$300,$B114)+SUMIFS('История'!$F$5:$F$300,'История'!$B$5:$B$300,$B114)=0,"",SUMIFS('ИТОГО Торговля'!$F$5:$F$300,'ИТОГО Торговля'!$B$5:$B$300,$B114)+SUMIFS('ИТОГО Лэндинг'!$F$5:$F$300,'ИТОГО Лэндинг'!$B$5:$B$300,$B114)+SUMIFS('История'!$F$5:$F$300,'История'!$B$5:$B$300,$B114)))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Лэндинг'!$B$5:$B$300,$B114)+SUMIFS('История'!$H$5:$H$300,'История'!$B$5:$B$300,$B114))</f>
        <v/>
      </c>
      <c r="I114" s="341">
        <f>IF($B114="","",IF(AND(C114="",F114=""),"",ROUND(SUMIFS('ИТОГО Торговля'!$I$5:$I$300,'ИТОГО Торговля'!$B$5:$B$300,$B114)+SUMIFS('ИТОГО Лэндинг'!$I$5:$I$300,'ИТОГО Лэндинг'!$B$5:$B$300,$B114)+SUMIFS('История'!$I$5:$I$300,'История'!$B$5:$B$300,$B114),8)))</f>
        <v/>
      </c>
      <c r="J114" s="342">
        <f>IF($B114="","",IF(AND(C114="",F114=""),"",ROUND(SUMIFS('ИТОГО Торговля'!$J$5:$J$300,'ИТОГО Торговля'!$B$5:$B$300,$B114)+SUMIFS('ИТОГО Лэндинг'!$J$5:$J$300,'ИТОГО Лэндинг'!$B$5:$B$300,$B114)+SUMIFS('История'!$J$5:$J$300,'История'!$B$5:$B$300,$B114),8)))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Лэндинг'!$B$5:$B$300,$B114)+SUMIFS('История'!$K$5:$K$300,'История'!$B$5:$B$300,$B114),8))</f>
        <v/>
      </c>
      <c r="L114" s="183">
        <f>IF(K114="","",IF(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&lt;=0,0,ROUND(K114/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*100,2)))</f>
        <v/>
      </c>
      <c r="M114" s="344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inlineStr">
        <is>
          <t>XMR/ETH</t>
        </is>
      </c>
      <c r="C115" s="240">
        <f>IF($B115="","",IF(SUMIFS('ИТОГО Торговля'!$C$5:$C$300,'ИТОГО Торговля'!$B$5:$B$300,$B115)+SUMIFS('ИТОГО Лэндинг'!$C$5:$C$300,'ИТОГО Лэндинг'!$B$5:$B$300,$B115)+SUMIFS('История'!$C$5:$C$300,'История'!$B$5:$B$300,$B115)=0,"",SUMIFS('ИТОГО Торговля'!$C$5:$C$300,'ИТОГО Торговля'!$B$5:$B$300,$B115)+SUMIFS('ИТОГО Лэндинг'!$C$5:$C$300,'ИТОГО Лэндинг'!$B$5:$B$300,$B115)+SUMIFS('История'!$C$5:$C$300,'История'!$B$5:$B$300,$B115)))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Лэндинг'!$B$5:$B$300,$B115)+SUMIFS('История'!$E$5:$E$300,'История'!$B$5:$B$300,$B115))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Лэндинг'!$B$5:$B$300,$B115)+SUMIFS('История'!$F$5:$F$300,'История'!$B$5:$B$300,$B115)=0,"",SUMIFS('ИТОГО Торговля'!$F$5:$F$300,'ИТОГО Торговля'!$B$5:$B$300,$B115)+SUMIFS('ИТОГО Лэндинг'!$F$5:$F$300,'ИТОГО Лэндинг'!$B$5:$B$300,$B115)+SUMIFS('История'!$F$5:$F$300,'История'!$B$5:$B$300,$B115)))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Лэндинг'!$B$5:$B$300,$B115)+SUMIFS('История'!$H$5:$H$300,'История'!$B$5:$B$300,$B115))</f>
        <v/>
      </c>
      <c r="I115" s="339">
        <f>IF($B115="","",IF(AND(C115="",F115=""),"",ROUND(SUMIFS('ИТОГО Торговля'!$I$5:$I$300,'ИТОГО Торговля'!$B$5:$B$300,$B115)+SUMIFS('ИТОГО Лэндинг'!$I$5:$I$300,'ИТОГО Лэндинг'!$B$5:$B$300,$B115)+SUMIFS('История'!$I$5:$I$300,'История'!$B$5:$B$300,$B115),8)))</f>
        <v/>
      </c>
      <c r="J115" s="340">
        <f>IF($B115="","",IF(AND(C115="",F115=""),"",ROUND(SUMIFS('ИТОГО Торговля'!$J$5:$J$300,'ИТОГО Торговля'!$B$5:$B$300,$B115)+SUMIFS('ИТОГО Лэндинг'!$J$5:$J$300,'ИТОГО Лэндинг'!$B$5:$B$300,$B115)+SUMIFS('История'!$J$5:$J$300,'История'!$B$5:$B$300,$B115),8)))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Лэндинг'!$B$5:$B$300,$B115)+SUMIFS('История'!$K$5:$K$300,'История'!$B$5:$B$300,$B115),8))</f>
        <v/>
      </c>
      <c r="L115" s="177">
        <f>IF(K115="","",IF(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&lt;=0,0,ROUND(K115/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*100,2)))</f>
        <v/>
      </c>
      <c r="M115" s="343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inlineStr">
        <is>
          <t>XMR/USD</t>
        </is>
      </c>
      <c r="C116" s="246">
        <f>IF($B116="","",IF(SUMIFS('ИТОГО Торговля'!$C$5:$C$300,'ИТОГО Торговля'!$B$5:$B$300,$B116)+SUMIFS('ИТОГО Лэндинг'!$C$5:$C$300,'ИТОГО Лэндинг'!$B$5:$B$300,$B116)+SUMIFS('История'!$C$5:$C$300,'История'!$B$5:$B$300,$B116)=0,"",SUMIFS('ИТОГО Торговля'!$C$5:$C$300,'ИТОГО Торговля'!$B$5:$B$300,$B116)+SUMIFS('ИТОГО Лэндинг'!$C$5:$C$300,'ИТОГО Лэндинг'!$B$5:$B$300,$B116)+SUMIFS('История'!$C$5:$C$300,'История'!$B$5:$B$300,$B116)))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Лэндинг'!$B$5:$B$300,$B116)+SUMIFS('История'!$E$5:$E$300,'История'!$B$5:$B$300,$B116))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Лэндинг'!$B$5:$B$300,$B116)+SUMIFS('История'!$F$5:$F$300,'История'!$B$5:$B$300,$B116)=0,"",SUMIFS('ИТОГО Торговля'!$F$5:$F$300,'ИТОГО Торговля'!$B$5:$B$300,$B116)+SUMIFS('ИТОГО Лэндинг'!$F$5:$F$300,'ИТОГО Лэндинг'!$B$5:$B$300,$B116)+SUMIFS('История'!$F$5:$F$300,'История'!$B$5:$B$300,$B116)))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Лэндинг'!$B$5:$B$300,$B116)+SUMIFS('История'!$H$5:$H$300,'История'!$B$5:$B$300,$B116))</f>
        <v/>
      </c>
      <c r="I116" s="341">
        <f>IF($B116="","",IF(AND(C116="",F116=""),"",ROUND(SUMIFS('ИТОГО Торговля'!$I$5:$I$300,'ИТОГО Торговля'!$B$5:$B$300,$B116)+SUMIFS('ИТОГО Лэндинг'!$I$5:$I$300,'ИТОГО Лэндинг'!$B$5:$B$300,$B116)+SUMIFS('История'!$I$5:$I$300,'История'!$B$5:$B$300,$B116),8)))</f>
        <v/>
      </c>
      <c r="J116" s="342">
        <f>IF($B116="","",IF(AND(C116="",F116=""),"",ROUND(SUMIFS('ИТОГО Торговля'!$J$5:$J$300,'ИТОГО Торговля'!$B$5:$B$300,$B116)+SUMIFS('ИТОГО Лэндинг'!$J$5:$J$300,'ИТОГО Лэндинг'!$B$5:$B$300,$B116)+SUMIFS('История'!$J$5:$J$300,'История'!$B$5:$B$300,$B116),8)))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Лэндинг'!$B$5:$B$300,$B116)+SUMIFS('История'!$K$5:$K$300,'История'!$B$5:$B$300,$B116),8))</f>
        <v/>
      </c>
      <c r="L116" s="183">
        <f>IF(K116="","",IF(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&lt;=0,0,ROUND(K116/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*100,2)))</f>
        <v/>
      </c>
      <c r="M116" s="344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inlineStr">
        <is>
          <t>XRP/BNB</t>
        </is>
      </c>
      <c r="C117" s="240">
        <f>IF($B117="","",IF(SUMIFS('ИТОГО Торговля'!$C$5:$C$300,'ИТОГО Торговля'!$B$5:$B$300,$B117)+SUMIFS('ИТОГО Лэндинг'!$C$5:$C$300,'ИТОГО Лэндинг'!$B$5:$B$300,$B117)+SUMIFS('История'!$C$5:$C$300,'История'!$B$5:$B$300,$B117)=0,"",SUMIFS('ИТОГО Торговля'!$C$5:$C$300,'ИТОГО Торговля'!$B$5:$B$300,$B117)+SUMIFS('ИТОГО Лэндинг'!$C$5:$C$300,'ИТОГО Лэндинг'!$B$5:$B$300,$B117)+SUMIFS('История'!$C$5:$C$300,'История'!$B$5:$B$300,$B117)))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Лэндинг'!$B$5:$B$300,$B117)+SUMIFS('История'!$E$5:$E$300,'История'!$B$5:$B$300,$B117))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Лэндинг'!$B$5:$B$300,$B117)+SUMIFS('История'!$F$5:$F$300,'История'!$B$5:$B$300,$B117)=0,"",SUMIFS('ИТОГО Торговля'!$F$5:$F$300,'ИТОГО Торговля'!$B$5:$B$300,$B117)+SUMIFS('ИТОГО Лэндинг'!$F$5:$F$300,'ИТОГО Лэндинг'!$B$5:$B$300,$B117)+SUMIFS('История'!$F$5:$F$300,'История'!$B$5:$B$300,$B117)))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Лэндинг'!$B$5:$B$300,$B117)+SUMIFS('История'!$H$5:$H$300,'История'!$B$5:$B$300,$B117))</f>
        <v/>
      </c>
      <c r="I117" s="339">
        <f>IF($B117="","",IF(AND(C117="",F117=""),"",ROUND(SUMIFS('ИТОГО Торговля'!$I$5:$I$300,'ИТОГО Торговля'!$B$5:$B$300,$B117)+SUMIFS('ИТОГО Лэндинг'!$I$5:$I$300,'ИТОГО Лэндинг'!$B$5:$B$300,$B117)+SUMIFS('История'!$I$5:$I$300,'История'!$B$5:$B$300,$B117),8)))</f>
        <v/>
      </c>
      <c r="J117" s="340">
        <f>IF($B117="","",IF(AND(C117="",F117=""),"",ROUND(SUMIFS('ИТОГО Торговля'!$J$5:$J$300,'ИТОГО Торговля'!$B$5:$B$300,$B117)+SUMIFS('ИТОГО Лэндинг'!$J$5:$J$300,'ИТОГО Лэндинг'!$B$5:$B$300,$B117)+SUMIFS('История'!$J$5:$J$300,'История'!$B$5:$B$300,$B117),8)))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Лэндинг'!$B$5:$B$300,$B117)+SUMIFS('История'!$K$5:$K$300,'История'!$B$5:$B$300,$B117),8))</f>
        <v/>
      </c>
      <c r="L117" s="177">
        <f>IF(K117="","",IF(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&lt;=0,0,ROUND(K117/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*100,2)))</f>
        <v/>
      </c>
      <c r="M117" s="343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inlineStr">
        <is>
          <t>XRP/BTC</t>
        </is>
      </c>
      <c r="C118" s="246">
        <f>IF($B118="","",IF(SUMIFS('ИТОГО Торговля'!$C$5:$C$300,'ИТОГО Торговля'!$B$5:$B$300,$B118)+SUMIFS('ИТОГО Лэндинг'!$C$5:$C$300,'ИТОГО Лэндинг'!$B$5:$B$300,$B118)+SUMIFS('История'!$C$5:$C$300,'История'!$B$5:$B$300,$B118)=0,"",SUMIFS('ИТОГО Торговля'!$C$5:$C$300,'ИТОГО Торговля'!$B$5:$B$300,$B118)+SUMIFS('ИТОГО Лэндинг'!$C$5:$C$300,'ИТОГО Лэндинг'!$B$5:$B$300,$B118)+SUMIFS('История'!$C$5:$C$300,'История'!$B$5:$B$300,$B118)))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Лэндинг'!$B$5:$B$300,$B118)+SUMIFS('История'!$E$5:$E$300,'История'!$B$5:$B$300,$B118))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Лэндинг'!$B$5:$B$300,$B118)+SUMIFS('История'!$F$5:$F$300,'История'!$B$5:$B$300,$B118)=0,"",SUMIFS('ИТОГО Торговля'!$F$5:$F$300,'ИТОГО Торговля'!$B$5:$B$300,$B118)+SUMIFS('ИТОГО Лэндинг'!$F$5:$F$300,'ИТОГО Лэндинг'!$B$5:$B$300,$B118)+SUMIFS('История'!$F$5:$F$300,'История'!$B$5:$B$300,$B118)))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Лэндинг'!$B$5:$B$300,$B118)+SUMIFS('История'!$H$5:$H$300,'История'!$B$5:$B$300,$B118))</f>
        <v/>
      </c>
      <c r="I118" s="341">
        <f>IF($B118="","",IF(AND(C118="",F118=""),"",ROUND(SUMIFS('ИТОГО Торговля'!$I$5:$I$300,'ИТОГО Торговля'!$B$5:$B$300,$B118)+SUMIFS('ИТОГО Лэндинг'!$I$5:$I$300,'ИТОГО Лэндинг'!$B$5:$B$300,$B118)+SUMIFS('История'!$I$5:$I$300,'История'!$B$5:$B$300,$B118),8)))</f>
        <v/>
      </c>
      <c r="J118" s="342">
        <f>IF($B118="","",IF(AND(C118="",F118=""),"",ROUND(SUMIFS('ИТОГО Торговля'!$J$5:$J$300,'ИТОГО Торговля'!$B$5:$B$300,$B118)+SUMIFS('ИТОГО Лэндинг'!$J$5:$J$300,'ИТОГО Лэндинг'!$B$5:$B$300,$B118)+SUMIFS('История'!$J$5:$J$300,'История'!$B$5:$B$300,$B118),8)))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Лэндинг'!$B$5:$B$300,$B118)+SUMIFS('История'!$K$5:$K$300,'История'!$B$5:$B$300,$B118),8))</f>
        <v/>
      </c>
      <c r="L118" s="183">
        <f>IF(K118="","",IF(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&lt;=0,0,ROUND(K118/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*100,2)))</f>
        <v/>
      </c>
      <c r="M118" s="344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inlineStr">
        <is>
          <t>XRP/ETH</t>
        </is>
      </c>
      <c r="C119" s="240">
        <f>IF($B119="","",IF(SUMIFS('ИТОГО Торговля'!$C$5:$C$300,'ИТОГО Торговля'!$B$5:$B$300,$B119)+SUMIFS('ИТОГО Лэндинг'!$C$5:$C$300,'ИТОГО Лэндинг'!$B$5:$B$300,$B119)+SUMIFS('История'!$C$5:$C$300,'История'!$B$5:$B$300,$B119)=0,"",SUMIFS('ИТОГО Торговля'!$C$5:$C$300,'ИТОГО Торговля'!$B$5:$B$300,$B119)+SUMIFS('ИТОГО Лэндинг'!$C$5:$C$300,'ИТОГО Лэндинг'!$B$5:$B$300,$B119)+SUMIFS('История'!$C$5:$C$300,'История'!$B$5:$B$300,$B119)))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Лэндинг'!$B$5:$B$300,$B119)+SUMIFS('История'!$E$5:$E$300,'История'!$B$5:$B$300,$B119))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Лэндинг'!$B$5:$B$300,$B119)+SUMIFS('История'!$F$5:$F$300,'История'!$B$5:$B$300,$B119)=0,"",SUMIFS('ИТОГО Торговля'!$F$5:$F$300,'ИТОГО Торговля'!$B$5:$B$300,$B119)+SUMIFS('ИТОГО Лэндинг'!$F$5:$F$300,'ИТОГО Лэндинг'!$B$5:$B$300,$B119)+SUMIFS('История'!$F$5:$F$300,'История'!$B$5:$B$300,$B119)))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Лэндинг'!$B$5:$B$300,$B119)+SUMIFS('История'!$H$5:$H$300,'История'!$B$5:$B$300,$B119))</f>
        <v/>
      </c>
      <c r="I119" s="339">
        <f>IF($B119="","",IF(AND(C119="",F119=""),"",ROUND(SUMIFS('ИТОГО Торговля'!$I$5:$I$300,'ИТОГО Торговля'!$B$5:$B$300,$B119)+SUMIFS('ИТОГО Лэндинг'!$I$5:$I$300,'ИТОГО Лэндинг'!$B$5:$B$300,$B119)+SUMIFS('История'!$I$5:$I$300,'История'!$B$5:$B$300,$B119),8)))</f>
        <v/>
      </c>
      <c r="J119" s="340">
        <f>IF($B119="","",IF(AND(C119="",F119=""),"",ROUND(SUMIFS('ИТОГО Торговля'!$J$5:$J$300,'ИТОГО Торговля'!$B$5:$B$300,$B119)+SUMIFS('ИТОГО Лэндинг'!$J$5:$J$300,'ИТОГО Лэндинг'!$B$5:$B$300,$B119)+SUMIFS('История'!$J$5:$J$300,'История'!$B$5:$B$300,$B119),8)))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Лэндинг'!$B$5:$B$300,$B119)+SUMIFS('История'!$K$5:$K$300,'История'!$B$5:$B$300,$B119),8))</f>
        <v/>
      </c>
      <c r="L119" s="177">
        <f>IF(K119="","",IF(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&lt;=0,0,ROUND(K119/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*100,2)))</f>
        <v/>
      </c>
      <c r="M119" s="343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inlineStr">
        <is>
          <t>XRP/USD</t>
        </is>
      </c>
      <c r="C120" s="246">
        <f>IF($B120="","",IF(SUMIFS('ИТОГО Торговля'!$C$5:$C$300,'ИТОГО Торговля'!$B$5:$B$300,$B120)+SUMIFS('ИТОГО Лэндинг'!$C$5:$C$300,'ИТОГО Лэндинг'!$B$5:$B$300,$B120)+SUMIFS('История'!$C$5:$C$300,'История'!$B$5:$B$300,$B120)=0,"",SUMIFS('ИТОГО Торговля'!$C$5:$C$300,'ИТОГО Торговля'!$B$5:$B$300,$B120)+SUMIFS('ИТОГО Лэндинг'!$C$5:$C$300,'ИТОГО Лэндинг'!$B$5:$B$300,$B120)+SUMIFS('История'!$C$5:$C$300,'История'!$B$5:$B$300,$B120)))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Лэндинг'!$B$5:$B$300,$B120)+SUMIFS('История'!$E$5:$E$300,'История'!$B$5:$B$300,$B120))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Лэндинг'!$B$5:$B$300,$B120)+SUMIFS('История'!$F$5:$F$300,'История'!$B$5:$B$300,$B120)=0,"",SUMIFS('ИТОГО Торговля'!$F$5:$F$300,'ИТОГО Торговля'!$B$5:$B$300,$B120)+SUMIFS('ИТОГО Лэндинг'!$F$5:$F$300,'ИТОГО Лэндинг'!$B$5:$B$300,$B120)+SUMIFS('История'!$F$5:$F$300,'История'!$B$5:$B$300,$B120)))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Лэндинг'!$B$5:$B$300,$B120)+SUMIFS('История'!$H$5:$H$300,'История'!$B$5:$B$300,$B120))</f>
        <v/>
      </c>
      <c r="I120" s="341">
        <f>IF($B120="","",IF(AND(C120="",F120=""),"",ROUND(SUMIFS('ИТОГО Торговля'!$I$5:$I$300,'ИТОГО Торговля'!$B$5:$B$300,$B120)+SUMIFS('ИТОГО Лэндинг'!$I$5:$I$300,'ИТОГО Лэндинг'!$B$5:$B$300,$B120)+SUMIFS('История'!$I$5:$I$300,'История'!$B$5:$B$300,$B120),8)))</f>
        <v/>
      </c>
      <c r="J120" s="342">
        <f>IF($B120="","",IF(AND(C120="",F120=""),"",ROUND(SUMIFS('ИТОГО Торговля'!$J$5:$J$300,'ИТОГО Торговля'!$B$5:$B$300,$B120)+SUMIFS('ИТОГО Лэндинг'!$J$5:$J$300,'ИТОГО Лэндинг'!$B$5:$B$300,$B120)+SUMIFS('История'!$J$5:$J$300,'История'!$B$5:$B$300,$B120),8)))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Лэндинг'!$B$5:$B$300,$B120)+SUMIFS('История'!$K$5:$K$300,'История'!$B$5:$B$300,$B120),8))</f>
        <v/>
      </c>
      <c r="L120" s="183">
        <f>IF(K120="","",IF(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&lt;=0,0,ROUND(K120/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*100,2)))</f>
        <v/>
      </c>
      <c r="M120" s="344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inlineStr">
        <is>
          <t>XTZ/BTC</t>
        </is>
      </c>
      <c r="C121" s="240">
        <f>IF($B121="","",IF(SUMIFS('ИТОГО Торговля'!$C$5:$C$300,'ИТОГО Торговля'!$B$5:$B$300,$B121)+SUMIFS('ИТОГО Лэндинг'!$C$5:$C$300,'ИТОГО Лэндинг'!$B$5:$B$300,$B121)+SUMIFS('История'!$C$5:$C$300,'История'!$B$5:$B$300,$B121)=0,"",SUMIFS('ИТОГО Торговля'!$C$5:$C$300,'ИТОГО Торговля'!$B$5:$B$300,$B121)+SUMIFS('ИТОГО Лэндинг'!$C$5:$C$300,'ИТОГО Лэндинг'!$B$5:$B$300,$B121)+SUMIFS('История'!$C$5:$C$300,'История'!$B$5:$B$300,$B121)))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Лэндинг'!$B$5:$B$300,$B121)+SUMIFS('История'!$E$5:$E$300,'История'!$B$5:$B$300,$B121))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Лэндинг'!$B$5:$B$300,$B121)+SUMIFS('История'!$F$5:$F$300,'История'!$B$5:$B$300,$B121)=0,"",SUMIFS('ИТОГО Торговля'!$F$5:$F$300,'ИТОГО Торговля'!$B$5:$B$300,$B121)+SUMIFS('ИТОГО Лэндинг'!$F$5:$F$300,'ИТОГО Лэндинг'!$B$5:$B$300,$B121)+SUMIFS('История'!$F$5:$F$300,'История'!$B$5:$B$300,$B121)))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Лэндинг'!$B$5:$B$300,$B121)+SUMIFS('История'!$H$5:$H$300,'История'!$B$5:$B$300,$B121))</f>
        <v/>
      </c>
      <c r="I121" s="339">
        <f>IF($B121="","",IF(AND(C121="",F121=""),"",ROUND(SUMIFS('ИТОГО Торговля'!$I$5:$I$300,'ИТОГО Торговля'!$B$5:$B$300,$B121)+SUMIFS('ИТОГО Лэндинг'!$I$5:$I$300,'ИТОГО Лэндинг'!$B$5:$B$300,$B121)+SUMIFS('История'!$I$5:$I$300,'История'!$B$5:$B$300,$B121),8)))</f>
        <v/>
      </c>
      <c r="J121" s="340">
        <f>IF($B121="","",IF(AND(C121="",F121=""),"",ROUND(SUMIFS('ИТОГО Торговля'!$J$5:$J$300,'ИТОГО Торговля'!$B$5:$B$300,$B121)+SUMIFS('ИТОГО Лэндинг'!$J$5:$J$300,'ИТОГО Лэндинг'!$B$5:$B$300,$B121)+SUMIFS('История'!$J$5:$J$300,'История'!$B$5:$B$300,$B121),8)))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Лэндинг'!$B$5:$B$300,$B121)+SUMIFS('История'!$K$5:$K$300,'История'!$B$5:$B$300,$B121),8))</f>
        <v/>
      </c>
      <c r="L121" s="177">
        <f>IF(K121="","",IF(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&lt;=0,0,ROUND(K121/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*100,2)))</f>
        <v/>
      </c>
      <c r="M121" s="343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inlineStr">
        <is>
          <t>ZEC/BTC</t>
        </is>
      </c>
      <c r="C122" s="246">
        <f>IF($B122="","",IF(SUMIFS('ИТОГО Торговля'!$C$5:$C$300,'ИТОГО Торговля'!$B$5:$B$300,$B122)+SUMIFS('ИТОГО Лэндинг'!$C$5:$C$300,'ИТОГО Лэндинг'!$B$5:$B$300,$B122)+SUMIFS('История'!$C$5:$C$300,'История'!$B$5:$B$300,$B122)=0,"",SUMIFS('ИТОГО Торговля'!$C$5:$C$300,'ИТОГО Торговля'!$B$5:$B$300,$B122)+SUMIFS('ИТОГО Лэндинг'!$C$5:$C$300,'ИТОГО Лэндинг'!$B$5:$B$300,$B122)+SUMIFS('История'!$C$5:$C$300,'История'!$B$5:$B$300,$B122)))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Лэндинг'!$B$5:$B$300,$B122)+SUMIFS('История'!$E$5:$E$300,'История'!$B$5:$B$300,$B122))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Лэндинг'!$B$5:$B$300,$B122)+SUMIFS('История'!$F$5:$F$300,'История'!$B$5:$B$300,$B122)=0,"",SUMIFS('ИТОГО Торговля'!$F$5:$F$300,'ИТОГО Торговля'!$B$5:$B$300,$B122)+SUMIFS('ИТОГО Лэндинг'!$F$5:$F$300,'ИТОГО Лэндинг'!$B$5:$B$300,$B122)+SUMIFS('История'!$F$5:$F$300,'История'!$B$5:$B$300,$B122)))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Лэндинг'!$B$5:$B$300,$B122)+SUMIFS('История'!$H$5:$H$300,'История'!$B$5:$B$300,$B122))</f>
        <v/>
      </c>
      <c r="I122" s="341">
        <f>IF($B122="","",IF(AND(C122="",F122=""),"",ROUND(SUMIFS('ИТОГО Торговля'!$I$5:$I$300,'ИТОГО Торговля'!$B$5:$B$300,$B122)+SUMIFS('ИТОГО Лэндинг'!$I$5:$I$300,'ИТОГО Лэндинг'!$B$5:$B$300,$B122)+SUMIFS('История'!$I$5:$I$300,'История'!$B$5:$B$300,$B122),8)))</f>
        <v/>
      </c>
      <c r="J122" s="342">
        <f>IF($B122="","",IF(AND(C122="",F122=""),"",ROUND(SUMIFS('ИТОГО Торговля'!$J$5:$J$300,'ИТОГО Торговля'!$B$5:$B$300,$B122)+SUMIFS('ИТОГО Лэндинг'!$J$5:$J$300,'ИТОГО Лэндинг'!$B$5:$B$300,$B122)+SUMIFS('История'!$J$5:$J$300,'История'!$B$5:$B$300,$B122),8)))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Лэндинг'!$B$5:$B$300,$B122)+SUMIFS('История'!$K$5:$K$300,'История'!$B$5:$B$300,$B122),8))</f>
        <v/>
      </c>
      <c r="L122" s="183">
        <f>IF(K122="","",IF(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&lt;=0,0,ROUND(K122/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*100,2)))</f>
        <v/>
      </c>
      <c r="M122" s="344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inlineStr">
        <is>
          <t>ZEC/USD</t>
        </is>
      </c>
      <c r="C123" s="240">
        <f>IF($B123="","",IF(SUMIFS('ИТОГО Торговля'!$C$5:$C$300,'ИТОГО Торговля'!$B$5:$B$300,$B123)+SUMIFS('ИТОГО Лэндинг'!$C$5:$C$300,'ИТОГО Лэндинг'!$B$5:$B$300,$B123)+SUMIFS('История'!$C$5:$C$300,'История'!$B$5:$B$300,$B123)=0,"",SUMIFS('ИТОГО Торговля'!$C$5:$C$300,'ИТОГО Торговля'!$B$5:$B$300,$B123)+SUMIFS('ИТОГО Лэндинг'!$C$5:$C$300,'ИТОГО Лэндинг'!$B$5:$B$300,$B123)+SUMIFS('История'!$C$5:$C$300,'История'!$B$5:$B$300,$B123)))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Лэндинг'!$B$5:$B$300,$B123)+SUMIFS('История'!$E$5:$E$300,'История'!$B$5:$B$300,$B123))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Лэндинг'!$B$5:$B$300,$B123)+SUMIFS('История'!$F$5:$F$300,'История'!$B$5:$B$300,$B123)=0,"",SUMIFS('ИТОГО Торговля'!$F$5:$F$300,'ИТОГО Торговля'!$B$5:$B$300,$B123)+SUMIFS('ИТОГО Лэндинг'!$F$5:$F$300,'ИТОГО Лэндинг'!$B$5:$B$300,$B123)+SUMIFS('История'!$F$5:$F$300,'История'!$B$5:$B$300,$B123)))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Лэндинг'!$B$5:$B$300,$B123)+SUMIFS('История'!$H$5:$H$300,'История'!$B$5:$B$300,$B123))</f>
        <v/>
      </c>
      <c r="I123" s="339">
        <f>IF($B123="","",IF(AND(C123="",F123=""),"",ROUND(SUMIFS('ИТОГО Торговля'!$I$5:$I$300,'ИТОГО Торговля'!$B$5:$B$300,$B123)+SUMIFS('ИТОГО Лэндинг'!$I$5:$I$300,'ИТОГО Лэндинг'!$B$5:$B$300,$B123)+SUMIFS('История'!$I$5:$I$300,'История'!$B$5:$B$300,$B123),8)))</f>
        <v/>
      </c>
      <c r="J123" s="340">
        <f>IF($B123="","",IF(AND(C123="",F123=""),"",ROUND(SUMIFS('ИТОГО Торговля'!$J$5:$J$300,'ИТОГО Торговля'!$B$5:$B$300,$B123)+SUMIFS('ИТОГО Лэндинг'!$J$5:$J$300,'ИТОГО Лэндинг'!$B$5:$B$300,$B123)+SUMIFS('История'!$J$5:$J$300,'История'!$B$5:$B$300,$B123),8)))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Лэндинг'!$B$5:$B$300,$B123)+SUMIFS('История'!$K$5:$K$300,'История'!$B$5:$B$300,$B123),8))</f>
        <v/>
      </c>
      <c r="L123" s="177">
        <f>IF(K123="","",IF(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&lt;=0,0,ROUND(K123/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*100,2)))</f>
        <v/>
      </c>
      <c r="M123" s="343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inlineStr">
        <is>
          <t>ZRX/BTC</t>
        </is>
      </c>
      <c r="C124" s="246">
        <f>IF($B124="","",IF(SUMIFS('ИТОГО Торговля'!$C$5:$C$300,'ИТОГО Торговля'!$B$5:$B$300,$B124)+SUMIFS('ИТОГО Лэндинг'!$C$5:$C$300,'ИТОГО Лэндинг'!$B$5:$B$300,$B124)+SUMIFS('История'!$C$5:$C$300,'История'!$B$5:$B$300,$B124)=0,"",SUMIFS('ИТОГО Торговля'!$C$5:$C$300,'ИТОГО Торговля'!$B$5:$B$300,$B124)+SUMIFS('ИТОГО Лэндинг'!$C$5:$C$300,'ИТОГО Лэндинг'!$B$5:$B$300,$B124)+SUMIFS('История'!$C$5:$C$300,'История'!$B$5:$B$300,$B124)))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Лэндинг'!$B$5:$B$300,$B124)+SUMIFS('История'!$E$5:$E$300,'История'!$B$5:$B$300,$B124))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Лэндинг'!$B$5:$B$300,$B124)+SUMIFS('История'!$F$5:$F$300,'История'!$B$5:$B$300,$B124)=0,"",SUMIFS('ИТОГО Торговля'!$F$5:$F$300,'ИТОГО Торговля'!$B$5:$B$300,$B124)+SUMIFS('ИТОГО Лэндинг'!$F$5:$F$300,'ИТОГО Лэндинг'!$B$5:$B$300,$B124)+SUMIFS('История'!$F$5:$F$300,'История'!$B$5:$B$300,$B124)))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Лэндинг'!$B$5:$B$300,$B124)+SUMIFS('История'!$H$5:$H$300,'История'!$B$5:$B$300,$B124))</f>
        <v/>
      </c>
      <c r="I124" s="341">
        <f>IF($B124="","",IF(AND(C124="",F124=""),"",ROUND(SUMIFS('ИТОГО Торговля'!$I$5:$I$300,'ИТОГО Торговля'!$B$5:$B$300,$B124)+SUMIFS('ИТОГО Лэндинг'!$I$5:$I$300,'ИТОГО Лэндинг'!$B$5:$B$300,$B124)+SUMIFS('История'!$I$5:$I$300,'История'!$B$5:$B$300,$B124),8)))</f>
        <v/>
      </c>
      <c r="J124" s="342">
        <f>IF($B124="","",IF(AND(C124="",F124=""),"",ROUND(SUMIFS('ИТОГО Торговля'!$J$5:$J$300,'ИТОГО Торговля'!$B$5:$B$300,$B124)+SUMIFS('ИТОГО Лэндинг'!$J$5:$J$300,'ИТОГО Лэндинг'!$B$5:$B$300,$B124)+SUMIFS('История'!$J$5:$J$300,'История'!$B$5:$B$300,$B124),8)))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Лэндинг'!$B$5:$B$300,$B124)+SUMIFS('История'!$K$5:$K$300,'История'!$B$5:$B$300,$B124),8))</f>
        <v/>
      </c>
      <c r="L124" s="183">
        <f>IF(K124="","",IF(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&lt;=0,0,ROUND(K124/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*100,2)))</f>
        <v/>
      </c>
      <c r="M124" s="344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inlineStr">
        <is>
          <t>ZRX/ETH</t>
        </is>
      </c>
      <c r="C125" s="240">
        <f>IF($B125="","",IF(SUMIFS('ИТОГО Торговля'!$C$5:$C$300,'ИТОГО Торговля'!$B$5:$B$300,$B125)+SUMIFS('ИТОГО Лэндинг'!$C$5:$C$300,'ИТОГО Лэндинг'!$B$5:$B$300,$B125)+SUMIFS('История'!$C$5:$C$300,'История'!$B$5:$B$300,$B125)=0,"",SUMIFS('ИТОГО Торговля'!$C$5:$C$300,'ИТОГО Торговля'!$B$5:$B$300,$B125)+SUMIFS('ИТОГО Лэндинг'!$C$5:$C$300,'ИТОГО Лэндинг'!$B$5:$B$300,$B125)+SUMIFS('История'!$C$5:$C$300,'История'!$B$5:$B$300,$B125)))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Лэндинг'!$B$5:$B$300,$B125)+SUMIFS('История'!$E$5:$E$300,'История'!$B$5:$B$300,$B125))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Лэндинг'!$B$5:$B$300,$B125)+SUMIFS('История'!$F$5:$F$300,'История'!$B$5:$B$300,$B125)=0,"",SUMIFS('ИТОГО Торговля'!$F$5:$F$300,'ИТОГО Торговля'!$B$5:$B$300,$B125)+SUMIFS('ИТОГО Лэндинг'!$F$5:$F$300,'ИТОГО Лэндинг'!$B$5:$B$300,$B125)+SUMIFS('История'!$F$5:$F$300,'История'!$B$5:$B$300,$B125)))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Лэндинг'!$B$5:$B$300,$B125)+SUMIFS('История'!$H$5:$H$300,'История'!$B$5:$B$300,$B125))</f>
        <v/>
      </c>
      <c r="I125" s="339">
        <f>IF($B125="","",IF(AND(C125="",F125=""),"",ROUND(SUMIFS('ИТОГО Торговля'!$I$5:$I$300,'ИТОГО Торговля'!$B$5:$B$300,$B125)+SUMIFS('ИТОГО Лэндинг'!$I$5:$I$300,'ИТОГО Лэндинг'!$B$5:$B$300,$B125)+SUMIFS('История'!$I$5:$I$300,'История'!$B$5:$B$300,$B125),8)))</f>
        <v/>
      </c>
      <c r="J125" s="340">
        <f>IF($B125="","",IF(AND(C125="",F125=""),"",ROUND(SUMIFS('ИТОГО Торговля'!$J$5:$J$300,'ИТОГО Торговля'!$B$5:$B$300,$B125)+SUMIFS('ИТОГО Лэндинг'!$J$5:$J$300,'ИТОГО Лэндинг'!$B$5:$B$300,$B125)+SUMIFS('История'!$J$5:$J$300,'История'!$B$5:$B$300,$B125),8)))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Лэндинг'!$B$5:$B$300,$B125)+SUMIFS('История'!$K$5:$K$300,'История'!$B$5:$B$300,$B125),8))</f>
        <v/>
      </c>
      <c r="L125" s="177">
        <f>IF(K125="","",IF(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&lt;=0,0,ROUND(K125/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*100,2)))</f>
        <v/>
      </c>
      <c r="M125" s="343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inlineStr">
        <is>
          <t>ZRX/USD</t>
        </is>
      </c>
      <c r="C126" s="246">
        <f>IF($B126="","",IF(SUMIFS('ИТОГО Торговля'!$C$5:$C$300,'ИТОГО Торговля'!$B$5:$B$300,$B126)+SUMIFS('ИТОГО Лэндинг'!$C$5:$C$300,'ИТОГО Лэндинг'!$B$5:$B$300,$B126)+SUMIFS('История'!$C$5:$C$300,'История'!$B$5:$B$300,$B126)=0,"",SUMIFS('ИТОГО Торговля'!$C$5:$C$300,'ИТОГО Торговля'!$B$5:$B$300,$B126)+SUMIFS('ИТОГО Лэндинг'!$C$5:$C$300,'ИТОГО Лэндинг'!$B$5:$B$300,$B126)+SUMIFS('История'!$C$5:$C$300,'История'!$B$5:$B$300,$B126)))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Лэндинг'!$B$5:$B$300,$B126)+SUMIFS('История'!$E$5:$E$300,'История'!$B$5:$B$300,$B126))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Лэндинг'!$B$5:$B$300,$B126)+SUMIFS('История'!$F$5:$F$300,'История'!$B$5:$B$300,$B126)=0,"",SUMIFS('ИТОГО Торговля'!$F$5:$F$300,'ИТОГО Торговля'!$B$5:$B$300,$B126)+SUMIFS('ИТОГО Лэндинг'!$F$5:$F$300,'ИТОГО Лэндинг'!$B$5:$B$300,$B126)+SUMIFS('История'!$F$5:$F$300,'История'!$B$5:$B$300,$B126)))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Лэндинг'!$B$5:$B$300,$B126)+SUMIFS('История'!$H$5:$H$300,'История'!$B$5:$B$300,$B126))</f>
        <v/>
      </c>
      <c r="I126" s="341">
        <f>IF($B126="","",IF(AND(C126="",F126=""),"",ROUND(SUMIFS('ИТОГО Торговля'!$I$5:$I$300,'ИТОГО Торговля'!$B$5:$B$300,$B126)+SUMIFS('ИТОГО Лэндинг'!$I$5:$I$300,'ИТОГО Лэндинг'!$B$5:$B$300,$B126)+SUMIFS('История'!$I$5:$I$300,'История'!$B$5:$B$300,$B126),8)))</f>
        <v/>
      </c>
      <c r="J126" s="342">
        <f>IF($B126="","",IF(AND(C126="",F126=""),"",ROUND(SUMIFS('ИТОГО Торговля'!$J$5:$J$300,'ИТОГО Торговля'!$B$5:$B$300,$B126)+SUMIFS('ИТОГО Лэндинг'!$J$5:$J$300,'ИТОГО Лэндинг'!$B$5:$B$300,$B126)+SUMIFS('История'!$J$5:$J$300,'История'!$B$5:$B$300,$B126),8)))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Лэндинг'!$B$5:$B$300,$B126)+SUMIFS('История'!$K$5:$K$300,'История'!$B$5:$B$300,$B126),8))</f>
        <v/>
      </c>
      <c r="L126" s="183">
        <f>IF(K126="","",IF(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&lt;=0,0,ROUND(K126/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*100,2)))</f>
        <v/>
      </c>
      <c r="M126" s="344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Лэндинг'!$B$5:$B$300,$B127)+SUMIFS('История'!$C$5:$C$300,'История'!$B$5:$B$300,$B127)=0,"",SUMIFS('ИТОГО Торговля'!$C$5:$C$300,'ИТОГО Торговля'!$B$5:$B$300,$B127)+SUMIFS('ИТОГО Лэндинг'!$C$5:$C$300,'ИТОГО Лэндинг'!$B$5:$B$300,$B127)+SUMIFS('История'!$C$5:$C$300,'История'!$B$5:$B$300,$B127)))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Лэндинг'!$B$5:$B$300,$B127)+SUMIFS('История'!$E$5:$E$300,'История'!$B$5:$B$300,$B127))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Лэндинг'!$B$5:$B$300,$B127)+SUMIFS('История'!$F$5:$F$300,'История'!$B$5:$B$300,$B127)=0,"",SUMIFS('ИТОГО Торговля'!$F$5:$F$300,'ИТОГО Торговля'!$B$5:$B$300,$B127)+SUMIFS('ИТОГО Лэндинг'!$F$5:$F$300,'ИТОГО Лэндинг'!$B$5:$B$300,$B127)+SUMIFS('История'!$F$5:$F$300,'История'!$B$5:$B$300,$B127)))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Лэндинг'!$B$5:$B$300,$B127)+SUMIFS('История'!$H$5:$H$300,'История'!$B$5:$B$300,$B127))</f>
        <v/>
      </c>
      <c r="I127" s="339">
        <f>IF($B127="","",IF(AND(C127="",F127=""),"",ROUND(SUMIFS('ИТОГО Торговля'!$I$5:$I$300,'ИТОГО Торговля'!$B$5:$B$300,$B127)+SUMIFS('ИТОГО Лэндинг'!$I$5:$I$300,'ИТОГО Лэндинг'!$B$5:$B$300,$B127)+SUMIFS('История'!$I$5:$I$300,'История'!$B$5:$B$300,$B127),8)))</f>
        <v/>
      </c>
      <c r="J127" s="340">
        <f>IF($B127="","",IF(AND(C127="",F127=""),"",ROUND(SUMIFS('ИТОГО Торговля'!$J$5:$J$300,'ИТОГО Торговля'!$B$5:$B$300,$B127)+SUMIFS('ИТОГО Лэндинг'!$J$5:$J$300,'ИТОГО Лэндинг'!$B$5:$B$300,$B127)+SUMIFS('История'!$J$5:$J$300,'История'!$B$5:$B$300,$B127),8)))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Лэндинг'!$B$5:$B$300,$B127)+SUMIFS('История'!$K$5:$K$300,'История'!$B$5:$B$300,$B127),8))</f>
        <v/>
      </c>
      <c r="L127" s="177">
        <f>IF(K127="","",IF(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&lt;=0,0,ROUND(K127/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*100,2)))</f>
        <v/>
      </c>
      <c r="M127" s="343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Лэндинг'!$B$5:$B$300,$B128)+SUMIFS('История'!$C$5:$C$300,'История'!$B$5:$B$300,$B128)=0,"",SUMIFS('ИТОГО Торговля'!$C$5:$C$300,'ИТОГО Торговля'!$B$5:$B$300,$B128)+SUMIFS('ИТОГО Лэндинг'!$C$5:$C$300,'ИТОГО Лэндинг'!$B$5:$B$300,$B128)+SUMIFS('История'!$C$5:$C$300,'История'!$B$5:$B$300,$B128)))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Лэндинг'!$B$5:$B$300,$B128)+SUMIFS('История'!$E$5:$E$300,'История'!$B$5:$B$300,$B128))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Лэндинг'!$B$5:$B$300,$B128)+SUMIFS('История'!$F$5:$F$300,'История'!$B$5:$B$300,$B128)=0,"",SUMIFS('ИТОГО Торговля'!$F$5:$F$300,'ИТОГО Торговля'!$B$5:$B$300,$B128)+SUMIFS('ИТОГО Лэндинг'!$F$5:$F$300,'ИТОГО Лэндинг'!$B$5:$B$300,$B128)+SUMIFS('История'!$F$5:$F$300,'История'!$B$5:$B$300,$B128)))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Лэндинг'!$B$5:$B$300,$B128)+SUMIFS('История'!$H$5:$H$300,'История'!$B$5:$B$300,$B128))</f>
        <v/>
      </c>
      <c r="I128" s="341">
        <f>IF($B128="","",IF(AND(C128="",F128=""),"",ROUND(SUMIFS('ИТОГО Торговля'!$I$5:$I$300,'ИТОГО Торговля'!$B$5:$B$300,$B128)+SUMIFS('ИТОГО Лэндинг'!$I$5:$I$300,'ИТОГО Лэндинг'!$B$5:$B$300,$B128)+SUMIFS('История'!$I$5:$I$300,'История'!$B$5:$B$300,$B128),8)))</f>
        <v/>
      </c>
      <c r="J128" s="342">
        <f>IF($B128="","",IF(AND(C128="",F128=""),"",ROUND(SUMIFS('ИТОГО Торговля'!$J$5:$J$300,'ИТОГО Торговля'!$B$5:$B$300,$B128)+SUMIFS('ИТОГО Лэндинг'!$J$5:$J$300,'ИТОГО Лэндинг'!$B$5:$B$300,$B128)+SUMIFS('История'!$J$5:$J$300,'История'!$B$5:$B$300,$B128),8)))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Лэндинг'!$B$5:$B$300,$B128)+SUMIFS('История'!$K$5:$K$300,'История'!$B$5:$B$300,$B128),8))</f>
        <v/>
      </c>
      <c r="L128" s="183">
        <f>IF(K128="","",IF(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&lt;=0,0,ROUND(K128/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*100,2)))</f>
        <v/>
      </c>
      <c r="M128" s="344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Лэндинг'!$B$5:$B$300,$B129)+SUMIFS('История'!$C$5:$C$300,'История'!$B$5:$B$300,$B129)=0,"",SUMIFS('ИТОГО Торговля'!$C$5:$C$300,'ИТОГО Торговля'!$B$5:$B$300,$B129)+SUMIFS('ИТОГО Лэндинг'!$C$5:$C$300,'ИТОГО Лэндинг'!$B$5:$B$300,$B129)+SUMIFS('История'!$C$5:$C$300,'История'!$B$5:$B$300,$B129)))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Лэндинг'!$B$5:$B$300,$B129)+SUMIFS('История'!$E$5:$E$300,'История'!$B$5:$B$300,$B129))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Лэндинг'!$B$5:$B$300,$B129)+SUMIFS('История'!$F$5:$F$300,'История'!$B$5:$B$300,$B129)=0,"",SUMIFS('ИТОГО Торговля'!$F$5:$F$300,'ИТОГО Торговля'!$B$5:$B$300,$B129)+SUMIFS('ИТОГО Лэндинг'!$F$5:$F$300,'ИТОГО Лэндинг'!$B$5:$B$300,$B129)+SUMIFS('История'!$F$5:$F$300,'История'!$B$5:$B$300,$B129)))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Лэндинг'!$B$5:$B$300,$B129)+SUMIFS('История'!$H$5:$H$300,'История'!$B$5:$B$300,$B129))</f>
        <v/>
      </c>
      <c r="I129" s="339">
        <f>IF($B129="","",IF(AND(C129="",F129=""),"",ROUND(SUMIFS('ИТОГО Торговля'!$I$5:$I$300,'ИТОГО Торговля'!$B$5:$B$300,$B129)+SUMIFS('ИТОГО Лэндинг'!$I$5:$I$300,'ИТОГО Лэндинг'!$B$5:$B$300,$B129)+SUMIFS('История'!$I$5:$I$300,'История'!$B$5:$B$300,$B129),8)))</f>
        <v/>
      </c>
      <c r="J129" s="340">
        <f>IF($B129="","",IF(AND(C129="",F129=""),"",ROUND(SUMIFS('ИТОГО Торговля'!$J$5:$J$300,'ИТОГО Торговля'!$B$5:$B$300,$B129)+SUMIFS('ИТОГО Лэндинг'!$J$5:$J$300,'ИТОГО Лэндинг'!$B$5:$B$300,$B129)+SUMIFS('История'!$J$5:$J$300,'История'!$B$5:$B$300,$B129),8)))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Лэндинг'!$B$5:$B$300,$B129)+SUMIFS('История'!$K$5:$K$300,'История'!$B$5:$B$300,$B129),8))</f>
        <v/>
      </c>
      <c r="L129" s="177">
        <f>IF(K129="","",IF(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&lt;=0,0,ROUND(K129/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*100,2)))</f>
        <v/>
      </c>
      <c r="M129" s="343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Лэндинг'!$B$5:$B$300,$B130)+SUMIFS('История'!$C$5:$C$300,'История'!$B$5:$B$300,$B130)=0,"",SUMIFS('ИТОГО Торговля'!$C$5:$C$300,'ИТОГО Торговля'!$B$5:$B$300,$B130)+SUMIFS('ИТОГО Лэндинг'!$C$5:$C$300,'ИТОГО Лэндинг'!$B$5:$B$300,$B130)+SUMIFS('История'!$C$5:$C$300,'История'!$B$5:$B$300,$B130)))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Лэндинг'!$B$5:$B$300,$B130)+SUMIFS('История'!$E$5:$E$300,'История'!$B$5:$B$300,$B130))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Лэндинг'!$B$5:$B$300,$B130)+SUMIFS('История'!$F$5:$F$300,'История'!$B$5:$B$300,$B130)=0,"",SUMIFS('ИТОГО Торговля'!$F$5:$F$300,'ИТОГО Торговля'!$B$5:$B$300,$B130)+SUMIFS('ИТОГО Лэндинг'!$F$5:$F$300,'ИТОГО Лэндинг'!$B$5:$B$300,$B130)+SUMIFS('История'!$F$5:$F$300,'История'!$B$5:$B$300,$B130)))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Лэндинг'!$B$5:$B$300,$B130)+SUMIFS('История'!$H$5:$H$300,'История'!$B$5:$B$300,$B130))</f>
        <v/>
      </c>
      <c r="I130" s="341">
        <f>IF($B130="","",IF(AND(C130="",F130=""),"",ROUND(SUMIFS('ИТОГО Торговля'!$I$5:$I$300,'ИТОГО Торговля'!$B$5:$B$300,$B130)+SUMIFS('ИТОГО Лэндинг'!$I$5:$I$300,'ИТОГО Лэндинг'!$B$5:$B$300,$B130)+SUMIFS('История'!$I$5:$I$300,'История'!$B$5:$B$300,$B130),8)))</f>
        <v/>
      </c>
      <c r="J130" s="342">
        <f>IF($B130="","",IF(AND(C130="",F130=""),"",ROUND(SUMIFS('ИТОГО Торговля'!$J$5:$J$300,'ИТОГО Торговля'!$B$5:$B$300,$B130)+SUMIFS('ИТОГО Лэндинг'!$J$5:$J$300,'ИТОГО Лэндинг'!$B$5:$B$300,$B130)+SUMIFS('История'!$J$5:$J$300,'История'!$B$5:$B$300,$B130),8)))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Лэндинг'!$B$5:$B$300,$B130)+SUMIFS('История'!$K$5:$K$300,'История'!$B$5:$B$300,$B130),8))</f>
        <v/>
      </c>
      <c r="L130" s="183">
        <f>IF(K130="","",IF(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&lt;=0,0,ROUND(K130/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*100,2)))</f>
        <v/>
      </c>
      <c r="M130" s="344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Лэндинг'!$B$5:$B$300,$B131)+SUMIFS('История'!$C$5:$C$300,'История'!$B$5:$B$300,$B131)=0,"",SUMIFS('ИТОГО Торговля'!$C$5:$C$300,'ИТОГО Торговля'!$B$5:$B$300,$B131)+SUMIFS('ИТОГО Лэндинг'!$C$5:$C$300,'ИТОГО Лэндинг'!$B$5:$B$300,$B131)+SUMIFS('История'!$C$5:$C$300,'История'!$B$5:$B$300,$B131)))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Лэндинг'!$B$5:$B$300,$B131)+SUMIFS('История'!$E$5:$E$300,'История'!$B$5:$B$300,$B131))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Лэндинг'!$B$5:$B$300,$B131)+SUMIFS('История'!$F$5:$F$300,'История'!$B$5:$B$300,$B131)=0,"",SUMIFS('ИТОГО Торговля'!$F$5:$F$300,'ИТОГО Торговля'!$B$5:$B$300,$B131)+SUMIFS('ИТОГО Лэндинг'!$F$5:$F$300,'ИТОГО Лэндинг'!$B$5:$B$300,$B131)+SUMIFS('История'!$F$5:$F$300,'История'!$B$5:$B$300,$B131)))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Лэндинг'!$B$5:$B$300,$B131)+SUMIFS('История'!$H$5:$H$300,'История'!$B$5:$B$300,$B131))</f>
        <v/>
      </c>
      <c r="I131" s="339">
        <f>IF($B131="","",IF(AND(C131="",F131=""),"",ROUND(SUMIFS('ИТОГО Торговля'!$I$5:$I$300,'ИТОГО Торговля'!$B$5:$B$300,$B131)+SUMIFS('ИТОГО Лэндинг'!$I$5:$I$300,'ИТОГО Лэндинг'!$B$5:$B$300,$B131)+SUMIFS('История'!$I$5:$I$300,'История'!$B$5:$B$300,$B131),8)))</f>
        <v/>
      </c>
      <c r="J131" s="340">
        <f>IF($B131="","",IF(AND(C131="",F131=""),"",ROUND(SUMIFS('ИТОГО Торговля'!$J$5:$J$300,'ИТОГО Торговля'!$B$5:$B$300,$B131)+SUMIFS('ИТОГО Лэндинг'!$J$5:$J$300,'ИТОГО Лэндинг'!$B$5:$B$300,$B131)+SUMIFS('История'!$J$5:$J$300,'История'!$B$5:$B$300,$B131),8)))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Лэндинг'!$B$5:$B$300,$B131)+SUMIFS('История'!$K$5:$K$300,'История'!$B$5:$B$300,$B131),8))</f>
        <v/>
      </c>
      <c r="L131" s="177">
        <f>IF(K131="","",IF(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&lt;=0,0,ROUND(K131/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*100,2)))</f>
        <v/>
      </c>
      <c r="M131" s="343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Лэндинг'!$B$5:$B$300,$B132)+SUMIFS('История'!$C$5:$C$300,'История'!$B$5:$B$300,$B132)=0,"",SUMIFS('ИТОГО Торговля'!$C$5:$C$300,'ИТОГО Торговля'!$B$5:$B$300,$B132)+SUMIFS('ИТОГО Лэндинг'!$C$5:$C$300,'ИТОГО Лэндинг'!$B$5:$B$300,$B132)+SUMIFS('История'!$C$5:$C$300,'История'!$B$5:$B$300,$B132)))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Лэндинг'!$B$5:$B$300,$B132)+SUMIFS('История'!$E$5:$E$300,'История'!$B$5:$B$300,$B132))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Лэндинг'!$B$5:$B$300,$B132)+SUMIFS('История'!$F$5:$F$300,'История'!$B$5:$B$300,$B132)=0,"",SUMIFS('ИТОГО Торговля'!$F$5:$F$300,'ИТОГО Торговля'!$B$5:$B$300,$B132)+SUMIFS('ИТОГО Лэндинг'!$F$5:$F$300,'ИТОГО Лэндинг'!$B$5:$B$300,$B132)+SUMIFS('История'!$F$5:$F$300,'История'!$B$5:$B$300,$B132)))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Лэндинг'!$B$5:$B$300,$B132)+SUMIFS('История'!$H$5:$H$300,'История'!$B$5:$B$300,$B132))</f>
        <v/>
      </c>
      <c r="I132" s="341">
        <f>IF($B132="","",IF(AND(C132="",F132=""),"",ROUND(SUMIFS('ИТОГО Торговля'!$I$5:$I$300,'ИТОГО Торговля'!$B$5:$B$300,$B132)+SUMIFS('ИТОГО Лэндинг'!$I$5:$I$300,'ИТОГО Лэндинг'!$B$5:$B$300,$B132)+SUMIFS('История'!$I$5:$I$300,'История'!$B$5:$B$300,$B132),8)))</f>
        <v/>
      </c>
      <c r="J132" s="342">
        <f>IF($B132="","",IF(AND(C132="",F132=""),"",ROUND(SUMIFS('ИТОГО Торговля'!$J$5:$J$300,'ИТОГО Торговля'!$B$5:$B$300,$B132)+SUMIFS('ИТОГО Лэндинг'!$J$5:$J$300,'ИТОГО Лэндинг'!$B$5:$B$300,$B132)+SUMIFS('История'!$J$5:$J$300,'История'!$B$5:$B$300,$B132),8)))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Лэндинг'!$B$5:$B$300,$B132)+SUMIFS('История'!$K$5:$K$300,'История'!$B$5:$B$300,$B132),8))</f>
        <v/>
      </c>
      <c r="L132" s="183">
        <f>IF(K132="","",IF(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&lt;=0,0,ROUND(K132/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*100,2)))</f>
        <v/>
      </c>
      <c r="M132" s="344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Лэндинг'!$B$5:$B$300,$B133)+SUMIFS('История'!$C$5:$C$300,'История'!$B$5:$B$300,$B133)=0,"",SUMIFS('ИТОГО Торговля'!$C$5:$C$300,'ИТОГО Торговля'!$B$5:$B$300,$B133)+SUMIFS('ИТОГО Лэндинг'!$C$5:$C$300,'ИТОГО Лэндинг'!$B$5:$B$300,$B133)+SUMIFS('История'!$C$5:$C$300,'История'!$B$5:$B$300,$B133)))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Лэндинг'!$B$5:$B$300,$B133)+SUMIFS('История'!$E$5:$E$300,'История'!$B$5:$B$300,$B133))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Лэндинг'!$B$5:$B$300,$B133)+SUMIFS('История'!$F$5:$F$300,'История'!$B$5:$B$300,$B133)=0,"",SUMIFS('ИТОГО Торговля'!$F$5:$F$300,'ИТОГО Торговля'!$B$5:$B$300,$B133)+SUMIFS('ИТОГО Лэндинг'!$F$5:$F$300,'ИТОГО Лэндинг'!$B$5:$B$300,$B133)+SUMIFS('История'!$F$5:$F$300,'История'!$B$5:$B$300,$B133)))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Лэндинг'!$B$5:$B$300,$B133)+SUMIFS('История'!$H$5:$H$300,'История'!$B$5:$B$300,$B133))</f>
        <v/>
      </c>
      <c r="I133" s="339">
        <f>IF($B133="","",IF(AND(C133="",F133=""),"",ROUND(SUMIFS('ИТОГО Торговля'!$I$5:$I$300,'ИТОГО Торговля'!$B$5:$B$300,$B133)+SUMIFS('ИТОГО Лэндинг'!$I$5:$I$300,'ИТОГО Лэндинг'!$B$5:$B$300,$B133)+SUMIFS('История'!$I$5:$I$300,'История'!$B$5:$B$300,$B133),8)))</f>
        <v/>
      </c>
      <c r="J133" s="340">
        <f>IF($B133="","",IF(AND(C133="",F133=""),"",ROUND(SUMIFS('ИТОГО Торговля'!$J$5:$J$300,'ИТОГО Торговля'!$B$5:$B$300,$B133)+SUMIFS('ИТОГО Лэндинг'!$J$5:$J$300,'ИТОГО Лэндинг'!$B$5:$B$300,$B133)+SUMIFS('История'!$J$5:$J$300,'История'!$B$5:$B$300,$B133),8)))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Лэндинг'!$B$5:$B$300,$B133)+SUMIFS('История'!$K$5:$K$300,'История'!$B$5:$B$300,$B133),8))</f>
        <v/>
      </c>
      <c r="L133" s="177">
        <f>IF(K133="","",IF(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&lt;=0,0,ROUND(K133/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*100,2)))</f>
        <v/>
      </c>
      <c r="M133" s="343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Лэндинг'!$B$5:$B$300,$B134)+SUMIFS('История'!$C$5:$C$300,'История'!$B$5:$B$300,$B134)=0,"",SUMIFS('ИТОГО Торговля'!$C$5:$C$300,'ИТОГО Торговля'!$B$5:$B$300,$B134)+SUMIFS('ИТОГО Лэндинг'!$C$5:$C$300,'ИТОГО Лэндинг'!$B$5:$B$300,$B134)+SUMIFS('История'!$C$5:$C$300,'История'!$B$5:$B$300,$B134)))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Лэндинг'!$B$5:$B$300,$B134)+SUMIFS('История'!$E$5:$E$300,'История'!$B$5:$B$300,$B134))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Лэндинг'!$B$5:$B$300,$B134)+SUMIFS('История'!$F$5:$F$300,'История'!$B$5:$B$300,$B134)=0,"",SUMIFS('ИТОГО Торговля'!$F$5:$F$300,'ИТОГО Торговля'!$B$5:$B$300,$B134)+SUMIFS('ИТОГО Лэндинг'!$F$5:$F$300,'ИТОГО Лэндинг'!$B$5:$B$300,$B134)+SUMIFS('История'!$F$5:$F$300,'История'!$B$5:$B$300,$B134)))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Лэндинг'!$B$5:$B$300,$B134)+SUMIFS('История'!$H$5:$H$300,'История'!$B$5:$B$300,$B134))</f>
        <v/>
      </c>
      <c r="I134" s="341">
        <f>IF($B134="","",IF(AND(C134="",F134=""),"",ROUND(SUMIFS('ИТОГО Торговля'!$I$5:$I$300,'ИТОГО Торговля'!$B$5:$B$300,$B134)+SUMIFS('ИТОГО Лэндинг'!$I$5:$I$300,'ИТОГО Лэндинг'!$B$5:$B$300,$B134)+SUMIFS('История'!$I$5:$I$300,'История'!$B$5:$B$300,$B134),8)))</f>
        <v/>
      </c>
      <c r="J134" s="342">
        <f>IF($B134="","",IF(AND(C134="",F134=""),"",ROUND(SUMIFS('ИТОГО Торговля'!$J$5:$J$300,'ИТОГО Торговля'!$B$5:$B$300,$B134)+SUMIFS('ИТОГО Лэндинг'!$J$5:$J$300,'ИТОГО Лэндинг'!$B$5:$B$300,$B134)+SUMIFS('История'!$J$5:$J$300,'История'!$B$5:$B$300,$B134),8)))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Лэндинг'!$B$5:$B$300,$B134)+SUMIFS('История'!$K$5:$K$300,'История'!$B$5:$B$300,$B134),8))</f>
        <v/>
      </c>
      <c r="L134" s="183">
        <f>IF(K134="","",IF(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&lt;=0,0,ROUND(K134/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*100,2)))</f>
        <v/>
      </c>
      <c r="M134" s="344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Лэндинг'!$B$5:$B$300,$B135)+SUMIFS('История'!$C$5:$C$300,'История'!$B$5:$B$300,$B135)=0,"",SUMIFS('ИТОГО Торговля'!$C$5:$C$300,'ИТОГО Торговля'!$B$5:$B$300,$B135)+SUMIFS('ИТОГО Лэндинг'!$C$5:$C$300,'ИТОГО Лэндинг'!$B$5:$B$300,$B135)+SUMIFS('История'!$C$5:$C$300,'История'!$B$5:$B$300,$B135)))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Лэндинг'!$B$5:$B$300,$B135)+SUMIFS('История'!$E$5:$E$300,'История'!$B$5:$B$300,$B135))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Лэндинг'!$B$5:$B$300,$B135)+SUMIFS('История'!$F$5:$F$300,'История'!$B$5:$B$300,$B135)=0,"",SUMIFS('ИТОГО Торговля'!$F$5:$F$300,'ИТОГО Торговля'!$B$5:$B$300,$B135)+SUMIFS('ИТОГО Лэндинг'!$F$5:$F$300,'ИТОГО Лэндинг'!$B$5:$B$300,$B135)+SUMIFS('История'!$F$5:$F$300,'История'!$B$5:$B$300,$B135)))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Лэндинг'!$B$5:$B$300,$B135)+SUMIFS('История'!$H$5:$H$300,'История'!$B$5:$B$300,$B135))</f>
        <v/>
      </c>
      <c r="I135" s="339">
        <f>IF($B135="","",IF(AND(C135="",F135=""),"",ROUND(SUMIFS('ИТОГО Торговля'!$I$5:$I$300,'ИТОГО Торговля'!$B$5:$B$300,$B135)+SUMIFS('ИТОГО Лэндинг'!$I$5:$I$300,'ИТОГО Лэндинг'!$B$5:$B$300,$B135)+SUMIFS('История'!$I$5:$I$300,'История'!$B$5:$B$300,$B135),8)))</f>
        <v/>
      </c>
      <c r="J135" s="340">
        <f>IF($B135="","",IF(AND(C135="",F135=""),"",ROUND(SUMIFS('ИТОГО Торговля'!$J$5:$J$300,'ИТОГО Торговля'!$B$5:$B$300,$B135)+SUMIFS('ИТОГО Лэндинг'!$J$5:$J$300,'ИТОГО Лэндинг'!$B$5:$B$300,$B135)+SUMIFS('История'!$J$5:$J$300,'История'!$B$5:$B$300,$B135),8)))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Лэндинг'!$B$5:$B$300,$B135)+SUMIFS('История'!$K$5:$K$300,'История'!$B$5:$B$300,$B135),8))</f>
        <v/>
      </c>
      <c r="L135" s="177">
        <f>IF(K135="","",IF(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&lt;=0,0,ROUND(K135/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*100,2)))</f>
        <v/>
      </c>
      <c r="M135" s="343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Лэндинг'!$B$5:$B$300,$B136)+SUMIFS('История'!$C$5:$C$300,'История'!$B$5:$B$300,$B136)=0,"",SUMIFS('ИТОГО Торговля'!$C$5:$C$300,'ИТОГО Торговля'!$B$5:$B$300,$B136)+SUMIFS('ИТОГО Лэндинг'!$C$5:$C$300,'ИТОГО Лэндинг'!$B$5:$B$300,$B136)+SUMIFS('История'!$C$5:$C$300,'История'!$B$5:$B$300,$B136)))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Лэндинг'!$B$5:$B$300,$B136)+SUMIFS('История'!$E$5:$E$300,'История'!$B$5:$B$300,$B136))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Лэндинг'!$B$5:$B$300,$B136)+SUMIFS('История'!$F$5:$F$300,'История'!$B$5:$B$300,$B136)=0,"",SUMIFS('ИТОГО Торговля'!$F$5:$F$300,'ИТОГО Торговля'!$B$5:$B$300,$B136)+SUMIFS('ИТОГО Лэндинг'!$F$5:$F$300,'ИТОГО Лэндинг'!$B$5:$B$300,$B136)+SUMIFS('История'!$F$5:$F$300,'История'!$B$5:$B$300,$B136)))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Лэндинг'!$B$5:$B$300,$B136)+SUMIFS('История'!$H$5:$H$300,'История'!$B$5:$B$300,$B136))</f>
        <v/>
      </c>
      <c r="I136" s="341">
        <f>IF($B136="","",IF(AND(C136="",F136=""),"",ROUND(SUMIFS('ИТОГО Торговля'!$I$5:$I$300,'ИТОГО Торговля'!$B$5:$B$300,$B136)+SUMIFS('ИТОГО Лэндинг'!$I$5:$I$300,'ИТОГО Лэндинг'!$B$5:$B$300,$B136)+SUMIFS('История'!$I$5:$I$300,'История'!$B$5:$B$300,$B136),8)))</f>
        <v/>
      </c>
      <c r="J136" s="342">
        <f>IF($B136="","",IF(AND(C136="",F136=""),"",ROUND(SUMIFS('ИТОГО Торговля'!$J$5:$J$300,'ИТОГО Торговля'!$B$5:$B$300,$B136)+SUMIFS('ИТОГО Лэндинг'!$J$5:$J$300,'ИТОГО Лэндинг'!$B$5:$B$300,$B136)+SUMIFS('История'!$J$5:$J$300,'История'!$B$5:$B$300,$B136),8)))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Лэндинг'!$B$5:$B$300,$B136)+SUMIFS('История'!$K$5:$K$300,'История'!$B$5:$B$300,$B136),8))</f>
        <v/>
      </c>
      <c r="L136" s="183">
        <f>IF(K136="","",IF(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&lt;=0,0,ROUND(K136/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*100,2)))</f>
        <v/>
      </c>
      <c r="M136" s="344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Лэндинг'!$B$5:$B$300,$B137)+SUMIFS('История'!$C$5:$C$300,'История'!$B$5:$B$300,$B137)=0,"",SUMIFS('ИТОГО Торговля'!$C$5:$C$300,'ИТОГО Торговля'!$B$5:$B$300,$B137)+SUMIFS('ИТОГО Лэндинг'!$C$5:$C$300,'ИТОГО Лэндинг'!$B$5:$B$300,$B137)+SUMIFS('История'!$C$5:$C$300,'История'!$B$5:$B$300,$B137)))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Лэндинг'!$B$5:$B$300,$B137)+SUMIFS('История'!$E$5:$E$300,'История'!$B$5:$B$300,$B137))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Лэндинг'!$B$5:$B$300,$B137)+SUMIFS('История'!$F$5:$F$300,'История'!$B$5:$B$300,$B137)=0,"",SUMIFS('ИТОГО Торговля'!$F$5:$F$300,'ИТОГО Торговля'!$B$5:$B$300,$B137)+SUMIFS('ИТОГО Лэндинг'!$F$5:$F$300,'ИТОГО Лэндинг'!$B$5:$B$300,$B137)+SUMIFS('История'!$F$5:$F$300,'История'!$B$5:$B$300,$B137)))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Лэндинг'!$B$5:$B$300,$B137)+SUMIFS('История'!$H$5:$H$300,'История'!$B$5:$B$300,$B137))</f>
        <v/>
      </c>
      <c r="I137" s="339">
        <f>IF($B137="","",IF(AND(C137="",F137=""),"",ROUND(SUMIFS('ИТОГО Торговля'!$I$5:$I$300,'ИТОГО Торговля'!$B$5:$B$300,$B137)+SUMIFS('ИТОГО Лэндинг'!$I$5:$I$300,'ИТОГО Лэндинг'!$B$5:$B$300,$B137)+SUMIFS('История'!$I$5:$I$300,'История'!$B$5:$B$300,$B137),8)))</f>
        <v/>
      </c>
      <c r="J137" s="340">
        <f>IF($B137="","",IF(AND(C137="",F137=""),"",ROUND(SUMIFS('ИТОГО Торговля'!$J$5:$J$300,'ИТОГО Торговля'!$B$5:$B$300,$B137)+SUMIFS('ИТОГО Лэндинг'!$J$5:$J$300,'ИТОГО Лэндинг'!$B$5:$B$300,$B137)+SUMIFS('История'!$J$5:$J$300,'История'!$B$5:$B$300,$B137),8)))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Лэндинг'!$B$5:$B$300,$B137)+SUMIFS('История'!$K$5:$K$300,'История'!$B$5:$B$300,$B137),8))</f>
        <v/>
      </c>
      <c r="L137" s="177">
        <f>IF(K137="","",IF(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&lt;=0,0,ROUND(K137/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*100,2)))</f>
        <v/>
      </c>
      <c r="M137" s="343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Лэндинг'!$B$5:$B$300,$B138)+SUMIFS('История'!$C$5:$C$300,'История'!$B$5:$B$300,$B138)=0,"",SUMIFS('ИТОГО Торговля'!$C$5:$C$300,'ИТОГО Торговля'!$B$5:$B$300,$B138)+SUMIFS('ИТОГО Лэндинг'!$C$5:$C$300,'ИТОГО Лэндинг'!$B$5:$B$300,$B138)+SUMIFS('История'!$C$5:$C$300,'История'!$B$5:$B$300,$B138)))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Лэндинг'!$B$5:$B$300,$B138)+SUMIFS('История'!$E$5:$E$300,'История'!$B$5:$B$300,$B138))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Лэндинг'!$B$5:$B$300,$B138)+SUMIFS('История'!$F$5:$F$300,'История'!$B$5:$B$300,$B138)=0,"",SUMIFS('ИТОГО Торговля'!$F$5:$F$300,'ИТОГО Торговля'!$B$5:$B$300,$B138)+SUMIFS('ИТОГО Лэндинг'!$F$5:$F$300,'ИТОГО Лэндинг'!$B$5:$B$300,$B138)+SUMIFS('История'!$F$5:$F$300,'История'!$B$5:$B$300,$B138)))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Лэндинг'!$B$5:$B$300,$B138)+SUMIFS('История'!$H$5:$H$300,'История'!$B$5:$B$300,$B138))</f>
        <v/>
      </c>
      <c r="I138" s="341">
        <f>IF($B138="","",IF(AND(C138="",F138=""),"",ROUND(SUMIFS('ИТОГО Торговля'!$I$5:$I$300,'ИТОГО Торговля'!$B$5:$B$300,$B138)+SUMIFS('ИТОГО Лэндинг'!$I$5:$I$300,'ИТОГО Лэндинг'!$B$5:$B$300,$B138)+SUMIFS('История'!$I$5:$I$300,'История'!$B$5:$B$300,$B138),8)))</f>
        <v/>
      </c>
      <c r="J138" s="342">
        <f>IF($B138="","",IF(AND(C138="",F138=""),"",ROUND(SUMIFS('ИТОГО Торговля'!$J$5:$J$300,'ИТОГО Торговля'!$B$5:$B$300,$B138)+SUMIFS('ИТОГО Лэндинг'!$J$5:$J$300,'ИТОГО Лэндинг'!$B$5:$B$300,$B138)+SUMIFS('История'!$J$5:$J$300,'История'!$B$5:$B$300,$B138),8)))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Лэндинг'!$B$5:$B$300,$B138)+SUMIFS('История'!$K$5:$K$300,'История'!$B$5:$B$300,$B138),8))</f>
        <v/>
      </c>
      <c r="L138" s="183">
        <f>IF(K138="","",IF(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&lt;=0,0,ROUND(K138/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*100,2)))</f>
        <v/>
      </c>
      <c r="M138" s="344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Лэндинг'!$B$5:$B$300,$B139)+SUMIFS('История'!$C$5:$C$300,'История'!$B$5:$B$300,$B139)=0,"",SUMIFS('ИТОГО Торговля'!$C$5:$C$300,'ИТОГО Торговля'!$B$5:$B$300,$B139)+SUMIFS('ИТОГО Лэндинг'!$C$5:$C$300,'ИТОГО Лэндинг'!$B$5:$B$300,$B139)+SUMIFS('История'!$C$5:$C$300,'История'!$B$5:$B$300,$B139)))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Лэндинг'!$B$5:$B$300,$B139)+SUMIFS('История'!$E$5:$E$300,'История'!$B$5:$B$300,$B139))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Лэндинг'!$B$5:$B$300,$B139)+SUMIFS('История'!$F$5:$F$300,'История'!$B$5:$B$300,$B139)=0,"",SUMIFS('ИТОГО Торговля'!$F$5:$F$300,'ИТОГО Торговля'!$B$5:$B$300,$B139)+SUMIFS('ИТОГО Лэндинг'!$F$5:$F$300,'ИТОГО Лэндинг'!$B$5:$B$300,$B139)+SUMIFS('История'!$F$5:$F$300,'История'!$B$5:$B$300,$B139)))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Лэндинг'!$B$5:$B$300,$B139)+SUMIFS('История'!$H$5:$H$300,'История'!$B$5:$B$300,$B139))</f>
        <v/>
      </c>
      <c r="I139" s="339">
        <f>IF($B139="","",IF(AND(C139="",F139=""),"",ROUND(SUMIFS('ИТОГО Торговля'!$I$5:$I$300,'ИТОГО Торговля'!$B$5:$B$300,$B139)+SUMIFS('ИТОГО Лэндинг'!$I$5:$I$300,'ИТОГО Лэндинг'!$B$5:$B$300,$B139)+SUMIFS('История'!$I$5:$I$300,'История'!$B$5:$B$300,$B139),8)))</f>
        <v/>
      </c>
      <c r="J139" s="340">
        <f>IF($B139="","",IF(AND(C139="",F139=""),"",ROUND(SUMIFS('ИТОГО Торговля'!$J$5:$J$300,'ИТОГО Торговля'!$B$5:$B$300,$B139)+SUMIFS('ИТОГО Лэндинг'!$J$5:$J$300,'ИТОГО Лэндинг'!$B$5:$B$300,$B139)+SUMIFS('История'!$J$5:$J$300,'История'!$B$5:$B$300,$B139),8)))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Лэндинг'!$B$5:$B$300,$B139)+SUMIFS('История'!$K$5:$K$300,'История'!$B$5:$B$300,$B139),8))</f>
        <v/>
      </c>
      <c r="L139" s="177">
        <f>IF(K139="","",IF(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&lt;=0,0,ROUND(K139/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*100,2)))</f>
        <v/>
      </c>
      <c r="M139" s="343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Лэндинг'!$B$5:$B$300,$B140)+SUMIFS('История'!$C$5:$C$300,'История'!$B$5:$B$300,$B140)=0,"",SUMIFS('ИТОГО Торговля'!$C$5:$C$300,'ИТОГО Торговля'!$B$5:$B$300,$B140)+SUMIFS('ИТОГО Лэндинг'!$C$5:$C$300,'ИТОГО Лэндинг'!$B$5:$B$300,$B140)+SUMIFS('История'!$C$5:$C$300,'История'!$B$5:$B$300,$B140)))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Лэндинг'!$B$5:$B$300,$B140)+SUMIFS('История'!$E$5:$E$300,'История'!$B$5:$B$300,$B140))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Лэндинг'!$B$5:$B$300,$B140)+SUMIFS('История'!$F$5:$F$300,'История'!$B$5:$B$300,$B140)=0,"",SUMIFS('ИТОГО Торговля'!$F$5:$F$300,'ИТОГО Торговля'!$B$5:$B$300,$B140)+SUMIFS('ИТОГО Лэндинг'!$F$5:$F$300,'ИТОГО Лэндинг'!$B$5:$B$300,$B140)+SUMIFS('История'!$F$5:$F$300,'История'!$B$5:$B$300,$B140)))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Лэндинг'!$B$5:$B$300,$B140)+SUMIFS('История'!$H$5:$H$300,'История'!$B$5:$B$300,$B140))</f>
        <v/>
      </c>
      <c r="I140" s="341">
        <f>IF($B140="","",IF(AND(C140="",F140=""),"",ROUND(SUMIFS('ИТОГО Торговля'!$I$5:$I$300,'ИТОГО Торговля'!$B$5:$B$300,$B140)+SUMIFS('ИТОГО Лэндинг'!$I$5:$I$300,'ИТОГО Лэндинг'!$B$5:$B$300,$B140)+SUMIFS('История'!$I$5:$I$300,'История'!$B$5:$B$300,$B140),8)))</f>
        <v/>
      </c>
      <c r="J140" s="342">
        <f>IF($B140="","",IF(AND(C140="",F140=""),"",ROUND(SUMIFS('ИТОГО Торговля'!$J$5:$J$300,'ИТОГО Торговля'!$B$5:$B$300,$B140)+SUMIFS('ИТОГО Лэндинг'!$J$5:$J$300,'ИТОГО Лэндинг'!$B$5:$B$300,$B140)+SUMIFS('История'!$J$5:$J$300,'История'!$B$5:$B$300,$B140),8)))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Лэндинг'!$B$5:$B$300,$B140)+SUMIFS('История'!$K$5:$K$300,'История'!$B$5:$B$300,$B140),8))</f>
        <v/>
      </c>
      <c r="L140" s="183">
        <f>IF(K140="","",IF(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&lt;=0,0,ROUND(K140/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*100,2)))</f>
        <v/>
      </c>
      <c r="M140" s="344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Лэндинг'!$B$5:$B$300,$B141)+SUMIFS('История'!$C$5:$C$300,'История'!$B$5:$B$300,$B141)=0,"",SUMIFS('ИТОГО Торговля'!$C$5:$C$300,'ИТОГО Торговля'!$B$5:$B$300,$B141)+SUMIFS('ИТОГО Лэндинг'!$C$5:$C$300,'ИТОГО Лэндинг'!$B$5:$B$300,$B141)+SUMIFS('История'!$C$5:$C$300,'История'!$B$5:$B$300,$B141)))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Лэндинг'!$B$5:$B$300,$B141)+SUMIFS('История'!$E$5:$E$300,'История'!$B$5:$B$300,$B141))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Лэндинг'!$B$5:$B$300,$B141)+SUMIFS('История'!$F$5:$F$300,'История'!$B$5:$B$300,$B141)=0,"",SUMIFS('ИТОГО Торговля'!$F$5:$F$300,'ИТОГО Торговля'!$B$5:$B$300,$B141)+SUMIFS('ИТОГО Лэндинг'!$F$5:$F$300,'ИТОГО Лэндинг'!$B$5:$B$300,$B141)+SUMIFS('История'!$F$5:$F$300,'История'!$B$5:$B$300,$B141)))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Лэндинг'!$B$5:$B$300,$B141)+SUMIFS('История'!$H$5:$H$300,'История'!$B$5:$B$300,$B141))</f>
        <v/>
      </c>
      <c r="I141" s="339">
        <f>IF($B141="","",IF(AND(C141="",F141=""),"",ROUND(SUMIFS('ИТОГО Торговля'!$I$5:$I$300,'ИТОГО Торговля'!$B$5:$B$300,$B141)+SUMIFS('ИТОГО Лэндинг'!$I$5:$I$300,'ИТОГО Лэндинг'!$B$5:$B$300,$B141)+SUMIFS('История'!$I$5:$I$300,'История'!$B$5:$B$300,$B141),8)))</f>
        <v/>
      </c>
      <c r="J141" s="340">
        <f>IF($B141="","",IF(AND(C141="",F141=""),"",ROUND(SUMIFS('ИТОГО Торговля'!$J$5:$J$300,'ИТОГО Торговля'!$B$5:$B$300,$B141)+SUMIFS('ИТОГО Лэндинг'!$J$5:$J$300,'ИТОГО Лэндинг'!$B$5:$B$300,$B141)+SUMIFS('История'!$J$5:$J$300,'История'!$B$5:$B$300,$B141),8)))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Лэндинг'!$B$5:$B$300,$B141)+SUMIFS('История'!$K$5:$K$300,'История'!$B$5:$B$300,$B141),8))</f>
        <v/>
      </c>
      <c r="L141" s="177">
        <f>IF(K141="","",IF(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&lt;=0,0,ROUND(K141/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*100,2)))</f>
        <v/>
      </c>
      <c r="M141" s="343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Лэндинг'!$B$5:$B$300,$B142)+SUMIFS('История'!$C$5:$C$300,'История'!$B$5:$B$300,$B142)=0,"",SUMIFS('ИТОГО Торговля'!$C$5:$C$300,'ИТОГО Торговля'!$B$5:$B$300,$B142)+SUMIFS('ИТОГО Лэндинг'!$C$5:$C$300,'ИТОГО Лэндинг'!$B$5:$B$300,$B142)+SUMIFS('История'!$C$5:$C$300,'История'!$B$5:$B$300,$B142)))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Лэндинг'!$B$5:$B$300,$B142)+SUMIFS('История'!$E$5:$E$300,'История'!$B$5:$B$300,$B142))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Лэндинг'!$B$5:$B$300,$B142)+SUMIFS('История'!$F$5:$F$300,'История'!$B$5:$B$300,$B142)=0,"",SUMIFS('ИТОГО Торговля'!$F$5:$F$300,'ИТОГО Торговля'!$B$5:$B$300,$B142)+SUMIFS('ИТОГО Лэндинг'!$F$5:$F$300,'ИТОГО Лэндинг'!$B$5:$B$300,$B142)+SUMIFS('История'!$F$5:$F$300,'История'!$B$5:$B$300,$B142)))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Лэндинг'!$B$5:$B$300,$B142)+SUMIFS('История'!$H$5:$H$300,'История'!$B$5:$B$300,$B142))</f>
        <v/>
      </c>
      <c r="I142" s="341">
        <f>IF($B142="","",IF(AND(C142="",F142=""),"",ROUND(SUMIFS('ИТОГО Торговля'!$I$5:$I$300,'ИТОГО Торговля'!$B$5:$B$300,$B142)+SUMIFS('ИТОГО Лэндинг'!$I$5:$I$300,'ИТОГО Лэндинг'!$B$5:$B$300,$B142)+SUMIFS('История'!$I$5:$I$300,'История'!$B$5:$B$300,$B142),8)))</f>
        <v/>
      </c>
      <c r="J142" s="342">
        <f>IF($B142="","",IF(AND(C142="",F142=""),"",ROUND(SUMIFS('ИТОГО Торговля'!$J$5:$J$300,'ИТОГО Торговля'!$B$5:$B$300,$B142)+SUMIFS('ИТОГО Лэндинг'!$J$5:$J$300,'ИТОГО Лэндинг'!$B$5:$B$300,$B142)+SUMIFS('История'!$J$5:$J$300,'История'!$B$5:$B$300,$B142),8)))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Лэндинг'!$B$5:$B$300,$B142)+SUMIFS('История'!$K$5:$K$300,'История'!$B$5:$B$300,$B142),8))</f>
        <v/>
      </c>
      <c r="L142" s="183">
        <f>IF(K142="","",IF(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&lt;=0,0,ROUND(K142/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*100,2)))</f>
        <v/>
      </c>
      <c r="M142" s="344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Лэндинг'!$B$5:$B$300,$B143)+SUMIFS('История'!$C$5:$C$300,'История'!$B$5:$B$300,$B143)=0,"",SUMIFS('ИТОГО Торговля'!$C$5:$C$300,'ИТОГО Торговля'!$B$5:$B$300,$B143)+SUMIFS('ИТОГО Лэндинг'!$C$5:$C$300,'ИТОГО Лэндинг'!$B$5:$B$300,$B143)+SUMIFS('История'!$C$5:$C$300,'История'!$B$5:$B$300,$B143)))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Лэндинг'!$B$5:$B$300,$B143)+SUMIFS('История'!$E$5:$E$300,'История'!$B$5:$B$300,$B143))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Лэндинг'!$B$5:$B$300,$B143)+SUMIFS('История'!$F$5:$F$300,'История'!$B$5:$B$300,$B143)=0,"",SUMIFS('ИТОГО Торговля'!$F$5:$F$300,'ИТОГО Торговля'!$B$5:$B$300,$B143)+SUMIFS('ИТОГО Лэндинг'!$F$5:$F$300,'ИТОГО Лэндинг'!$B$5:$B$300,$B143)+SUMIFS('История'!$F$5:$F$300,'История'!$B$5:$B$300,$B143)))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Лэндинг'!$B$5:$B$300,$B143)+SUMIFS('История'!$H$5:$H$300,'История'!$B$5:$B$300,$B143))</f>
        <v/>
      </c>
      <c r="I143" s="339">
        <f>IF($B143="","",IF(AND(C143="",F143=""),"",ROUND(SUMIFS('ИТОГО Торговля'!$I$5:$I$300,'ИТОГО Торговля'!$B$5:$B$300,$B143)+SUMIFS('ИТОГО Лэндинг'!$I$5:$I$300,'ИТОГО Лэндинг'!$B$5:$B$300,$B143)+SUMIFS('История'!$I$5:$I$300,'История'!$B$5:$B$300,$B143),8)))</f>
        <v/>
      </c>
      <c r="J143" s="340">
        <f>IF($B143="","",IF(AND(C143="",F143=""),"",ROUND(SUMIFS('ИТОГО Торговля'!$J$5:$J$300,'ИТОГО Торговля'!$B$5:$B$300,$B143)+SUMIFS('ИТОГО Лэндинг'!$J$5:$J$300,'ИТОГО Лэндинг'!$B$5:$B$300,$B143)+SUMIFS('История'!$J$5:$J$300,'История'!$B$5:$B$300,$B143),8)))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Лэндинг'!$B$5:$B$300,$B143)+SUMIFS('История'!$K$5:$K$300,'История'!$B$5:$B$300,$B143),8))</f>
        <v/>
      </c>
      <c r="L143" s="177">
        <f>IF(K143="","",IF(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&lt;=0,0,ROUND(K143/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*100,2)))</f>
        <v/>
      </c>
      <c r="M143" s="343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Лэндинг'!$B$5:$B$300,$B144)+SUMIFS('История'!$C$5:$C$300,'История'!$B$5:$B$300,$B144)=0,"",SUMIFS('ИТОГО Торговля'!$C$5:$C$300,'ИТОГО Торговля'!$B$5:$B$300,$B144)+SUMIFS('ИТОГО Лэндинг'!$C$5:$C$300,'ИТОГО Лэндинг'!$B$5:$B$300,$B144)+SUMIFS('История'!$C$5:$C$300,'История'!$B$5:$B$300,$B144)))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Лэндинг'!$B$5:$B$300,$B144)+SUMIFS('История'!$E$5:$E$300,'История'!$B$5:$B$300,$B144))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Лэндинг'!$B$5:$B$300,$B144)+SUMIFS('История'!$F$5:$F$300,'История'!$B$5:$B$300,$B144)=0,"",SUMIFS('ИТОГО Торговля'!$F$5:$F$300,'ИТОГО Торговля'!$B$5:$B$300,$B144)+SUMIFS('ИТОГО Лэндинг'!$F$5:$F$300,'ИТОГО Лэндинг'!$B$5:$B$300,$B144)+SUMIFS('История'!$F$5:$F$300,'История'!$B$5:$B$300,$B144)))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Лэндинг'!$B$5:$B$300,$B144)+SUMIFS('История'!$H$5:$H$300,'История'!$B$5:$B$300,$B144))</f>
        <v/>
      </c>
      <c r="I144" s="341">
        <f>IF($B144="","",IF(AND(C144="",F144=""),"",ROUND(SUMIFS('ИТОГО Торговля'!$I$5:$I$300,'ИТОГО Торговля'!$B$5:$B$300,$B144)+SUMIFS('ИТОГО Лэндинг'!$I$5:$I$300,'ИТОГО Лэндинг'!$B$5:$B$300,$B144)+SUMIFS('История'!$I$5:$I$300,'История'!$B$5:$B$300,$B144),8)))</f>
        <v/>
      </c>
      <c r="J144" s="342">
        <f>IF($B144="","",IF(AND(C144="",F144=""),"",ROUND(SUMIFS('ИТОГО Торговля'!$J$5:$J$300,'ИТОГО Торговля'!$B$5:$B$300,$B144)+SUMIFS('ИТОГО Лэндинг'!$J$5:$J$300,'ИТОГО Лэндинг'!$B$5:$B$300,$B144)+SUMIFS('История'!$J$5:$J$300,'История'!$B$5:$B$300,$B144),8)))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Лэндинг'!$B$5:$B$300,$B144)+SUMIFS('История'!$K$5:$K$300,'История'!$B$5:$B$300,$B144),8))</f>
        <v/>
      </c>
      <c r="L144" s="183">
        <f>IF(K144="","",IF(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&lt;=0,0,ROUND(K144/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*100,2)))</f>
        <v/>
      </c>
      <c r="M144" s="344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Лэндинг'!$B$5:$B$300,$B145)+SUMIFS('История'!$C$5:$C$300,'История'!$B$5:$B$300,$B145)=0,"",SUMIFS('ИТОГО Торговля'!$C$5:$C$300,'ИТОГО Торговля'!$B$5:$B$300,$B145)+SUMIFS('ИТОГО Лэндинг'!$C$5:$C$300,'ИТОГО Лэндинг'!$B$5:$B$300,$B145)+SUMIFS('История'!$C$5:$C$300,'История'!$B$5:$B$300,$B145)))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Лэндинг'!$B$5:$B$300,$B145)+SUMIFS('История'!$E$5:$E$300,'История'!$B$5:$B$300,$B145))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Лэндинг'!$B$5:$B$300,$B145)+SUMIFS('История'!$F$5:$F$300,'История'!$B$5:$B$300,$B145)=0,"",SUMIFS('ИТОГО Торговля'!$F$5:$F$300,'ИТОГО Торговля'!$B$5:$B$300,$B145)+SUMIFS('ИТОГО Лэндинг'!$F$5:$F$300,'ИТОГО Лэндинг'!$B$5:$B$300,$B145)+SUMIFS('История'!$F$5:$F$300,'История'!$B$5:$B$300,$B145)))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Лэндинг'!$B$5:$B$300,$B145)+SUMIFS('История'!$H$5:$H$300,'История'!$B$5:$B$300,$B145))</f>
        <v/>
      </c>
      <c r="I145" s="339">
        <f>IF($B145="","",IF(AND(C145="",F145=""),"",ROUND(SUMIFS('ИТОГО Торговля'!$I$5:$I$300,'ИТОГО Торговля'!$B$5:$B$300,$B145)+SUMIFS('ИТОГО Лэндинг'!$I$5:$I$300,'ИТОГО Лэндинг'!$B$5:$B$300,$B145)+SUMIFS('История'!$I$5:$I$300,'История'!$B$5:$B$300,$B145),8)))</f>
        <v/>
      </c>
      <c r="J145" s="340">
        <f>IF($B145="","",IF(AND(C145="",F145=""),"",ROUND(SUMIFS('ИТОГО Торговля'!$J$5:$J$300,'ИТОГО Торговля'!$B$5:$B$300,$B145)+SUMIFS('ИТОГО Лэндинг'!$J$5:$J$300,'ИТОГО Лэндинг'!$B$5:$B$300,$B145)+SUMIFS('История'!$J$5:$J$300,'История'!$B$5:$B$300,$B145),8)))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Лэндинг'!$B$5:$B$300,$B145)+SUMIFS('История'!$K$5:$K$300,'История'!$B$5:$B$300,$B145),8))</f>
        <v/>
      </c>
      <c r="L145" s="177">
        <f>IF(K145="","",IF(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&lt;=0,0,ROUND(K145/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*100,2)))</f>
        <v/>
      </c>
      <c r="M145" s="343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Лэндинг'!$B$5:$B$300,$B146)+SUMIFS('История'!$C$5:$C$300,'История'!$B$5:$B$300,$B146)=0,"",SUMIFS('ИТОГО Торговля'!$C$5:$C$300,'ИТОГО Торговля'!$B$5:$B$300,$B146)+SUMIFS('ИТОГО Лэндинг'!$C$5:$C$300,'ИТОГО Лэндинг'!$B$5:$B$300,$B146)+SUMIFS('История'!$C$5:$C$300,'История'!$B$5:$B$300,$B146)))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Лэндинг'!$B$5:$B$300,$B146)+SUMIFS('История'!$E$5:$E$300,'История'!$B$5:$B$300,$B146))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Лэндинг'!$B$5:$B$300,$B146)+SUMIFS('История'!$F$5:$F$300,'История'!$B$5:$B$300,$B146)=0,"",SUMIFS('ИТОГО Торговля'!$F$5:$F$300,'ИТОГО Торговля'!$B$5:$B$300,$B146)+SUMIFS('ИТОГО Лэндинг'!$F$5:$F$300,'ИТОГО Лэндинг'!$B$5:$B$300,$B146)+SUMIFS('История'!$F$5:$F$300,'История'!$B$5:$B$300,$B146)))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Лэндинг'!$B$5:$B$300,$B146)+SUMIFS('История'!$H$5:$H$300,'История'!$B$5:$B$300,$B146))</f>
        <v/>
      </c>
      <c r="I146" s="341">
        <f>IF($B146="","",IF(AND(C146="",F146=""),"",ROUND(SUMIFS('ИТОГО Торговля'!$I$5:$I$300,'ИТОГО Торговля'!$B$5:$B$300,$B146)+SUMIFS('ИТОГО Лэндинг'!$I$5:$I$300,'ИТОГО Лэндинг'!$B$5:$B$300,$B146)+SUMIFS('История'!$I$5:$I$300,'История'!$B$5:$B$300,$B146),8)))</f>
        <v/>
      </c>
      <c r="J146" s="342">
        <f>IF($B146="","",IF(AND(C146="",F146=""),"",ROUND(SUMIFS('ИТОГО Торговля'!$J$5:$J$300,'ИТОГО Торговля'!$B$5:$B$300,$B146)+SUMIFS('ИТОГО Лэндинг'!$J$5:$J$300,'ИТОГО Лэндинг'!$B$5:$B$300,$B146)+SUMIFS('История'!$J$5:$J$300,'История'!$B$5:$B$300,$B146),8)))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Лэндинг'!$B$5:$B$300,$B146)+SUMIFS('История'!$K$5:$K$300,'История'!$B$5:$B$300,$B146),8))</f>
        <v/>
      </c>
      <c r="L146" s="183">
        <f>IF(K146="","",IF(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&lt;=0,0,ROUND(K146/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*100,2)))</f>
        <v/>
      </c>
      <c r="M146" s="344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Лэндинг'!$B$5:$B$300,$B147)+SUMIFS('История'!$C$5:$C$300,'История'!$B$5:$B$300,$B147)=0,"",SUMIFS('ИТОГО Торговля'!$C$5:$C$300,'ИТОГО Торговля'!$B$5:$B$300,$B147)+SUMIFS('ИТОГО Лэндинг'!$C$5:$C$300,'ИТОГО Лэндинг'!$B$5:$B$300,$B147)+SUMIFS('История'!$C$5:$C$300,'История'!$B$5:$B$300,$B147)))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Лэндинг'!$B$5:$B$300,$B147)+SUMIFS('История'!$E$5:$E$300,'История'!$B$5:$B$300,$B147))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Лэндинг'!$B$5:$B$300,$B147)+SUMIFS('История'!$F$5:$F$300,'История'!$B$5:$B$300,$B147)=0,"",SUMIFS('ИТОГО Торговля'!$F$5:$F$300,'ИТОГО Торговля'!$B$5:$B$300,$B147)+SUMIFS('ИТОГО Лэндинг'!$F$5:$F$300,'ИТОГО Лэндинг'!$B$5:$B$300,$B147)+SUMIFS('История'!$F$5:$F$300,'История'!$B$5:$B$300,$B147)))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Лэндинг'!$B$5:$B$300,$B147)+SUMIFS('История'!$H$5:$H$300,'История'!$B$5:$B$300,$B147))</f>
        <v/>
      </c>
      <c r="I147" s="339">
        <f>IF($B147="","",IF(AND(C147="",F147=""),"",ROUND(SUMIFS('ИТОГО Торговля'!$I$5:$I$300,'ИТОГО Торговля'!$B$5:$B$300,$B147)+SUMIFS('ИТОГО Лэндинг'!$I$5:$I$300,'ИТОГО Лэндинг'!$B$5:$B$300,$B147)+SUMIFS('История'!$I$5:$I$300,'История'!$B$5:$B$300,$B147),8)))</f>
        <v/>
      </c>
      <c r="J147" s="340">
        <f>IF($B147="","",IF(AND(C147="",F147=""),"",ROUND(SUMIFS('ИТОГО Торговля'!$J$5:$J$300,'ИТОГО Торговля'!$B$5:$B$300,$B147)+SUMIFS('ИТОГО Лэндинг'!$J$5:$J$300,'ИТОГО Лэндинг'!$B$5:$B$300,$B147)+SUMIFS('История'!$J$5:$J$300,'История'!$B$5:$B$300,$B147),8)))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Лэндинг'!$B$5:$B$300,$B147)+SUMIFS('История'!$K$5:$K$300,'История'!$B$5:$B$300,$B147),8))</f>
        <v/>
      </c>
      <c r="L147" s="177">
        <f>IF(K147="","",IF(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&lt;=0,0,ROUND(K147/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*100,2)))</f>
        <v/>
      </c>
      <c r="M147" s="343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Лэндинг'!$B$5:$B$300,$B148)+SUMIFS('История'!$C$5:$C$300,'История'!$B$5:$B$300,$B148)=0,"",SUMIFS('ИТОГО Торговля'!$C$5:$C$300,'ИТОГО Торговля'!$B$5:$B$300,$B148)+SUMIFS('ИТОГО Лэндинг'!$C$5:$C$300,'ИТОГО Лэндинг'!$B$5:$B$300,$B148)+SUMIFS('История'!$C$5:$C$300,'История'!$B$5:$B$300,$B148)))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Лэндинг'!$B$5:$B$300,$B148)+SUMIFS('История'!$E$5:$E$300,'История'!$B$5:$B$300,$B148))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Лэндинг'!$B$5:$B$300,$B148)+SUMIFS('История'!$F$5:$F$300,'История'!$B$5:$B$300,$B148)=0,"",SUMIFS('ИТОГО Торговля'!$F$5:$F$300,'ИТОГО Торговля'!$B$5:$B$300,$B148)+SUMIFS('ИТОГО Лэндинг'!$F$5:$F$300,'ИТОГО Лэндинг'!$B$5:$B$300,$B148)+SUMIFS('История'!$F$5:$F$300,'История'!$B$5:$B$300,$B148)))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Лэндинг'!$B$5:$B$300,$B148)+SUMIFS('История'!$H$5:$H$300,'История'!$B$5:$B$300,$B148))</f>
        <v/>
      </c>
      <c r="I148" s="341">
        <f>IF($B148="","",IF(AND(C148="",F148=""),"",ROUND(SUMIFS('ИТОГО Торговля'!$I$5:$I$300,'ИТОГО Торговля'!$B$5:$B$300,$B148)+SUMIFS('ИТОГО Лэндинг'!$I$5:$I$300,'ИТОГО Лэндинг'!$B$5:$B$300,$B148)+SUMIFS('История'!$I$5:$I$300,'История'!$B$5:$B$300,$B148),8)))</f>
        <v/>
      </c>
      <c r="J148" s="342">
        <f>IF($B148="","",IF(AND(C148="",F148=""),"",ROUND(SUMIFS('ИТОГО Торговля'!$J$5:$J$300,'ИТОГО Торговля'!$B$5:$B$300,$B148)+SUMIFS('ИТОГО Лэндинг'!$J$5:$J$300,'ИТОГО Лэндинг'!$B$5:$B$300,$B148)+SUMIFS('История'!$J$5:$J$300,'История'!$B$5:$B$300,$B148),8)))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Лэндинг'!$B$5:$B$300,$B148)+SUMIFS('История'!$K$5:$K$300,'История'!$B$5:$B$300,$B148),8))</f>
        <v/>
      </c>
      <c r="L148" s="183">
        <f>IF(K148="","",IF(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&lt;=0,0,ROUND(K148/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*100,2)))</f>
        <v/>
      </c>
      <c r="M148" s="344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Лэндинг'!$B$5:$B$300,$B149)+SUMIFS('История'!$C$5:$C$300,'История'!$B$5:$B$300,$B149)=0,"",SUMIFS('ИТОГО Торговля'!$C$5:$C$300,'ИТОГО Торговля'!$B$5:$B$300,$B149)+SUMIFS('ИТОГО Лэндинг'!$C$5:$C$300,'ИТОГО Лэндинг'!$B$5:$B$300,$B149)+SUMIFS('История'!$C$5:$C$300,'История'!$B$5:$B$300,$B149)))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Лэндинг'!$B$5:$B$300,$B149)+SUMIFS('История'!$E$5:$E$300,'История'!$B$5:$B$300,$B149))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Лэндинг'!$B$5:$B$300,$B149)+SUMIFS('История'!$F$5:$F$300,'История'!$B$5:$B$300,$B149)=0,"",SUMIFS('ИТОГО Торговля'!$F$5:$F$300,'ИТОГО Торговля'!$B$5:$B$300,$B149)+SUMIFS('ИТОГО Лэндинг'!$F$5:$F$300,'ИТОГО Лэндинг'!$B$5:$B$300,$B149)+SUMIFS('История'!$F$5:$F$300,'История'!$B$5:$B$300,$B149)))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Лэндинг'!$B$5:$B$300,$B149)+SUMIFS('История'!$H$5:$H$300,'История'!$B$5:$B$300,$B149))</f>
        <v/>
      </c>
      <c r="I149" s="339">
        <f>IF($B149="","",IF(AND(C149="",F149=""),"",ROUND(SUMIFS('ИТОГО Торговля'!$I$5:$I$300,'ИТОГО Торговля'!$B$5:$B$300,$B149)+SUMIFS('ИТОГО Лэндинг'!$I$5:$I$300,'ИТОГО Лэндинг'!$B$5:$B$300,$B149)+SUMIFS('История'!$I$5:$I$300,'История'!$B$5:$B$300,$B149),8)))</f>
        <v/>
      </c>
      <c r="J149" s="340">
        <f>IF($B149="","",IF(AND(C149="",F149=""),"",ROUND(SUMIFS('ИТОГО Торговля'!$J$5:$J$300,'ИТОГО Торговля'!$B$5:$B$300,$B149)+SUMIFS('ИТОГО Лэндинг'!$J$5:$J$300,'ИТОГО Лэндинг'!$B$5:$B$300,$B149)+SUMIFS('История'!$J$5:$J$300,'История'!$B$5:$B$300,$B149),8)))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Лэндинг'!$B$5:$B$300,$B149)+SUMIFS('История'!$K$5:$K$300,'История'!$B$5:$B$300,$B149),8))</f>
        <v/>
      </c>
      <c r="L149" s="177">
        <f>IF(K149="","",IF(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&lt;=0,0,ROUND(K149/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*100,2)))</f>
        <v/>
      </c>
      <c r="M149" s="343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Лэндинг'!$B$5:$B$300,$B150)+SUMIFS('История'!$C$5:$C$300,'История'!$B$5:$B$300,$B150)=0,"",SUMIFS('ИТОГО Торговля'!$C$5:$C$300,'ИТОГО Торговля'!$B$5:$B$300,$B150)+SUMIFS('ИТОГО Лэндинг'!$C$5:$C$300,'ИТОГО Лэндинг'!$B$5:$B$300,$B150)+SUMIFS('История'!$C$5:$C$300,'История'!$B$5:$B$300,$B150)))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Лэндинг'!$B$5:$B$300,$B150)+SUMIFS('История'!$E$5:$E$300,'История'!$B$5:$B$300,$B150))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Лэндинг'!$B$5:$B$300,$B150)+SUMIFS('История'!$F$5:$F$300,'История'!$B$5:$B$300,$B150)=0,"",SUMIFS('ИТОГО Торговля'!$F$5:$F$300,'ИТОГО Торговля'!$B$5:$B$300,$B150)+SUMIFS('ИТОГО Лэндинг'!$F$5:$F$300,'ИТОГО Лэндинг'!$B$5:$B$300,$B150)+SUMIFS('История'!$F$5:$F$300,'История'!$B$5:$B$300,$B150)))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Лэндинг'!$B$5:$B$300,$B150)+SUMIFS('История'!$H$5:$H$300,'История'!$B$5:$B$300,$B150))</f>
        <v/>
      </c>
      <c r="I150" s="341">
        <f>IF($B150="","",IF(AND(C150="",F150=""),"",ROUND(SUMIFS('ИТОГО Торговля'!$I$5:$I$300,'ИТОГО Торговля'!$B$5:$B$300,$B150)+SUMIFS('ИТОГО Лэндинг'!$I$5:$I$300,'ИТОГО Лэндинг'!$B$5:$B$300,$B150)+SUMIFS('История'!$I$5:$I$300,'История'!$B$5:$B$300,$B150),8)))</f>
        <v/>
      </c>
      <c r="J150" s="342">
        <f>IF($B150="","",IF(AND(C150="",F150=""),"",ROUND(SUMIFS('ИТОГО Торговля'!$J$5:$J$300,'ИТОГО Торговля'!$B$5:$B$300,$B150)+SUMIFS('ИТОГО Лэндинг'!$J$5:$J$300,'ИТОГО Лэндинг'!$B$5:$B$300,$B150)+SUMIFS('История'!$J$5:$J$300,'История'!$B$5:$B$300,$B150),8)))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Лэндинг'!$B$5:$B$300,$B150)+SUMIFS('История'!$K$5:$K$300,'История'!$B$5:$B$300,$B150),8))</f>
        <v/>
      </c>
      <c r="L150" s="183">
        <f>IF(K150="","",IF(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&lt;=0,0,ROUND(K150/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*100,2)))</f>
        <v/>
      </c>
      <c r="M150" s="344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Лэндинг'!$B$5:$B$300,$B151)+SUMIFS('История'!$C$5:$C$300,'История'!$B$5:$B$300,$B151)=0,"",SUMIFS('ИТОГО Торговля'!$C$5:$C$300,'ИТОГО Торговля'!$B$5:$B$300,$B151)+SUMIFS('ИТОГО Лэндинг'!$C$5:$C$300,'ИТОГО Лэндинг'!$B$5:$B$300,$B151)+SUMIFS('История'!$C$5:$C$300,'История'!$B$5:$B$300,$B151)))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Лэндинг'!$B$5:$B$300,$B151)+SUMIFS('История'!$E$5:$E$300,'История'!$B$5:$B$300,$B151))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Лэндинг'!$B$5:$B$300,$B151)+SUMIFS('История'!$F$5:$F$300,'История'!$B$5:$B$300,$B151)=0,"",SUMIFS('ИТОГО Торговля'!$F$5:$F$300,'ИТОГО Торговля'!$B$5:$B$300,$B151)+SUMIFS('ИТОГО Лэндинг'!$F$5:$F$300,'ИТОГО Лэндинг'!$B$5:$B$300,$B151)+SUMIFS('История'!$F$5:$F$300,'История'!$B$5:$B$300,$B151)))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Лэндинг'!$B$5:$B$300,$B151)+SUMIFS('История'!$H$5:$H$300,'История'!$B$5:$B$300,$B151))</f>
        <v/>
      </c>
      <c r="I151" s="339">
        <f>IF($B151="","",IF(AND(C151="",F151=""),"",ROUND(SUMIFS('ИТОГО Торговля'!$I$5:$I$300,'ИТОГО Торговля'!$B$5:$B$300,$B151)+SUMIFS('ИТОГО Лэндинг'!$I$5:$I$300,'ИТОГО Лэндинг'!$B$5:$B$300,$B151)+SUMIFS('История'!$I$5:$I$300,'История'!$B$5:$B$300,$B151),8)))</f>
        <v/>
      </c>
      <c r="J151" s="340">
        <f>IF($B151="","",IF(AND(C151="",F151=""),"",ROUND(SUMIFS('ИТОГО Торговля'!$J$5:$J$300,'ИТОГО Торговля'!$B$5:$B$300,$B151)+SUMIFS('ИТОГО Лэндинг'!$J$5:$J$300,'ИТОГО Лэндинг'!$B$5:$B$300,$B151)+SUMIFS('История'!$J$5:$J$300,'История'!$B$5:$B$300,$B151),8)))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Лэндинг'!$B$5:$B$300,$B151)+SUMIFS('История'!$K$5:$K$300,'История'!$B$5:$B$300,$B151),8))</f>
        <v/>
      </c>
      <c r="L151" s="177">
        <f>IF(K151="","",IF(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&lt;=0,0,ROUND(K151/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*100,2)))</f>
        <v/>
      </c>
      <c r="M151" s="343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Лэндинг'!$B$5:$B$300,$B152)+SUMIFS('История'!$C$5:$C$300,'История'!$B$5:$B$300,$B152)=0,"",SUMIFS('ИТОГО Торговля'!$C$5:$C$300,'ИТОГО Торговля'!$B$5:$B$300,$B152)+SUMIFS('ИТОГО Лэндинг'!$C$5:$C$300,'ИТОГО Лэндинг'!$B$5:$B$300,$B152)+SUMIFS('История'!$C$5:$C$300,'История'!$B$5:$B$300,$B152)))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Лэндинг'!$B$5:$B$300,$B152)+SUMIFS('История'!$E$5:$E$300,'История'!$B$5:$B$300,$B152))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Лэндинг'!$B$5:$B$300,$B152)+SUMIFS('История'!$F$5:$F$300,'История'!$B$5:$B$300,$B152)=0,"",SUMIFS('ИТОГО Торговля'!$F$5:$F$300,'ИТОГО Торговля'!$B$5:$B$300,$B152)+SUMIFS('ИТОГО Лэндинг'!$F$5:$F$300,'ИТОГО Лэндинг'!$B$5:$B$300,$B152)+SUMIFS('История'!$F$5:$F$300,'История'!$B$5:$B$300,$B152)))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Лэндинг'!$B$5:$B$300,$B152)+SUMIFS('История'!$H$5:$H$300,'История'!$B$5:$B$300,$B152))</f>
        <v/>
      </c>
      <c r="I152" s="341">
        <f>IF($B152="","",IF(AND(C152="",F152=""),"",ROUND(SUMIFS('ИТОГО Торговля'!$I$5:$I$300,'ИТОГО Торговля'!$B$5:$B$300,$B152)+SUMIFS('ИТОГО Лэндинг'!$I$5:$I$300,'ИТОГО Лэндинг'!$B$5:$B$300,$B152)+SUMIFS('История'!$I$5:$I$300,'История'!$B$5:$B$300,$B152),8)))</f>
        <v/>
      </c>
      <c r="J152" s="342">
        <f>IF($B152="","",IF(AND(C152="",F152=""),"",ROUND(SUMIFS('ИТОГО Торговля'!$J$5:$J$300,'ИТОГО Торговля'!$B$5:$B$300,$B152)+SUMIFS('ИТОГО Лэндинг'!$J$5:$J$300,'ИТОГО Лэндинг'!$B$5:$B$300,$B152)+SUMIFS('История'!$J$5:$J$300,'История'!$B$5:$B$300,$B152),8)))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Лэндинг'!$B$5:$B$300,$B152)+SUMIFS('История'!$K$5:$K$300,'История'!$B$5:$B$300,$B152),8))</f>
        <v/>
      </c>
      <c r="L152" s="183">
        <f>IF(K152="","",IF(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&lt;=0,0,ROUND(K152/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*100,2)))</f>
        <v/>
      </c>
      <c r="M152" s="344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Лэндинг'!$B$5:$B$300,$B153)+SUMIFS('История'!$C$5:$C$300,'История'!$B$5:$B$300,$B153)=0,"",SUMIFS('ИТОГО Торговля'!$C$5:$C$300,'ИТОГО Торговля'!$B$5:$B$300,$B153)+SUMIFS('ИТОГО Лэндинг'!$C$5:$C$300,'ИТОГО Лэндинг'!$B$5:$B$300,$B153)+SUMIFS('История'!$C$5:$C$300,'История'!$B$5:$B$300,$B153)))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Лэндинг'!$B$5:$B$300,$B153)+SUMIFS('История'!$E$5:$E$300,'История'!$B$5:$B$300,$B153))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Лэндинг'!$B$5:$B$300,$B153)+SUMIFS('История'!$F$5:$F$300,'История'!$B$5:$B$300,$B153)=0,"",SUMIFS('ИТОГО Торговля'!$F$5:$F$300,'ИТОГО Торговля'!$B$5:$B$300,$B153)+SUMIFS('ИТОГО Лэндинг'!$F$5:$F$300,'ИТОГО Лэндинг'!$B$5:$B$300,$B153)+SUMIFS('История'!$F$5:$F$300,'История'!$B$5:$B$300,$B153)))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Лэндинг'!$B$5:$B$300,$B153)+SUMIFS('История'!$H$5:$H$300,'История'!$B$5:$B$300,$B153))</f>
        <v/>
      </c>
      <c r="I153" s="339">
        <f>IF($B153="","",IF(AND(C153="",F153=""),"",ROUND(SUMIFS('ИТОГО Торговля'!$I$5:$I$300,'ИТОГО Торговля'!$B$5:$B$300,$B153)+SUMIFS('ИТОГО Лэндинг'!$I$5:$I$300,'ИТОГО Лэндинг'!$B$5:$B$300,$B153)+SUMIFS('История'!$I$5:$I$300,'История'!$B$5:$B$300,$B153),8)))</f>
        <v/>
      </c>
      <c r="J153" s="340">
        <f>IF($B153="","",IF(AND(C153="",F153=""),"",ROUND(SUMIFS('ИТОГО Торговля'!$J$5:$J$300,'ИТОГО Торговля'!$B$5:$B$300,$B153)+SUMIFS('ИТОГО Лэндинг'!$J$5:$J$300,'ИТОГО Лэндинг'!$B$5:$B$300,$B153)+SUMIFS('История'!$J$5:$J$300,'История'!$B$5:$B$300,$B153),8)))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Лэндинг'!$B$5:$B$300,$B153)+SUMIFS('История'!$K$5:$K$300,'История'!$B$5:$B$300,$B153),8))</f>
        <v/>
      </c>
      <c r="L153" s="177">
        <f>IF(K153="","",IF(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&lt;=0,0,ROUND(K153/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*100,2)))</f>
        <v/>
      </c>
      <c r="M153" s="343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Лэндинг'!$B$5:$B$300,$B154)+SUMIFS('История'!$C$5:$C$300,'История'!$B$5:$B$300,$B154)=0,"",SUMIFS('ИТОГО Торговля'!$C$5:$C$300,'ИТОГО Торговля'!$B$5:$B$300,$B154)+SUMIFS('ИТОГО Лэндинг'!$C$5:$C$300,'ИТОГО Лэндинг'!$B$5:$B$300,$B154)+SUMIFS('История'!$C$5:$C$300,'История'!$B$5:$B$300,$B154)))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Лэндинг'!$B$5:$B$300,$B154)+SUMIFS('История'!$E$5:$E$300,'История'!$B$5:$B$300,$B154))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Лэндинг'!$B$5:$B$300,$B154)+SUMIFS('История'!$F$5:$F$300,'История'!$B$5:$B$300,$B154)=0,"",SUMIFS('ИТОГО Торговля'!$F$5:$F$300,'ИТОГО Торговля'!$B$5:$B$300,$B154)+SUMIFS('ИТОГО Лэндинг'!$F$5:$F$300,'ИТОГО Лэндинг'!$B$5:$B$300,$B154)+SUMIFS('История'!$F$5:$F$300,'История'!$B$5:$B$300,$B154)))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Лэндинг'!$B$5:$B$300,$B154)+SUMIFS('История'!$H$5:$H$300,'История'!$B$5:$B$300,$B154))</f>
        <v/>
      </c>
      <c r="I154" s="341">
        <f>IF($B154="","",IF(AND(C154="",F154=""),"",ROUND(SUMIFS('ИТОГО Торговля'!$I$5:$I$300,'ИТОГО Торговля'!$B$5:$B$300,$B154)+SUMIFS('ИТОГО Лэндинг'!$I$5:$I$300,'ИТОГО Лэндинг'!$B$5:$B$300,$B154)+SUMIFS('История'!$I$5:$I$300,'История'!$B$5:$B$300,$B154),8)))</f>
        <v/>
      </c>
      <c r="J154" s="342">
        <f>IF($B154="","",IF(AND(C154="",F154=""),"",ROUND(SUMIFS('ИТОГО Торговля'!$J$5:$J$300,'ИТОГО Торговля'!$B$5:$B$300,$B154)+SUMIFS('ИТОГО Лэндинг'!$J$5:$J$300,'ИТОГО Лэндинг'!$B$5:$B$300,$B154)+SUMIFS('История'!$J$5:$J$300,'История'!$B$5:$B$300,$B154),8)))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Лэндинг'!$B$5:$B$300,$B154)+SUMIFS('История'!$K$5:$K$300,'История'!$B$5:$B$300,$B154),8))</f>
        <v/>
      </c>
      <c r="L154" s="183">
        <f>IF(K154="","",IF(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&lt;=0,0,ROUND(K154/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*100,2)))</f>
        <v/>
      </c>
      <c r="M154" s="344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Лэндинг'!$B$5:$B$300,$B155)+SUMIFS('История'!$C$5:$C$300,'История'!$B$5:$B$300,$B155)=0,"",SUMIFS('ИТОГО Торговля'!$C$5:$C$300,'ИТОГО Торговля'!$B$5:$B$300,$B155)+SUMIFS('ИТОГО Лэндинг'!$C$5:$C$300,'ИТОГО Лэндинг'!$B$5:$B$300,$B155)+SUMIFS('История'!$C$5:$C$300,'История'!$B$5:$B$300,$B155)))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Лэндинг'!$B$5:$B$300,$B155)+SUMIFS('История'!$E$5:$E$300,'История'!$B$5:$B$300,$B155))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Лэндинг'!$B$5:$B$300,$B155)+SUMIFS('История'!$F$5:$F$300,'История'!$B$5:$B$300,$B155)=0,"",SUMIFS('ИТОГО Торговля'!$F$5:$F$300,'ИТОГО Торговля'!$B$5:$B$300,$B155)+SUMIFS('ИТОГО Лэндинг'!$F$5:$F$300,'ИТОГО Лэндинг'!$B$5:$B$300,$B155)+SUMIFS('История'!$F$5:$F$300,'История'!$B$5:$B$300,$B155)))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Лэндинг'!$B$5:$B$300,$B155)+SUMIFS('История'!$H$5:$H$300,'История'!$B$5:$B$300,$B155))</f>
        <v/>
      </c>
      <c r="I155" s="339">
        <f>IF($B155="","",IF(AND(C155="",F155=""),"",ROUND(SUMIFS('ИТОГО Торговля'!$I$5:$I$300,'ИТОГО Торговля'!$B$5:$B$300,$B155)+SUMIFS('ИТОГО Лэндинг'!$I$5:$I$300,'ИТОГО Лэндинг'!$B$5:$B$300,$B155)+SUMIFS('История'!$I$5:$I$300,'История'!$B$5:$B$300,$B155),8)))</f>
        <v/>
      </c>
      <c r="J155" s="340">
        <f>IF($B155="","",IF(AND(C155="",F155=""),"",ROUND(SUMIFS('ИТОГО Торговля'!$J$5:$J$300,'ИТОГО Торговля'!$B$5:$B$300,$B155)+SUMIFS('ИТОГО Лэндинг'!$J$5:$J$300,'ИТОГО Лэндинг'!$B$5:$B$300,$B155)+SUMIFS('История'!$J$5:$J$300,'История'!$B$5:$B$300,$B155),8)))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Лэндинг'!$B$5:$B$300,$B155)+SUMIFS('История'!$K$5:$K$300,'История'!$B$5:$B$300,$B155),8))</f>
        <v/>
      </c>
      <c r="L155" s="177">
        <f>IF(K155="","",IF(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&lt;=0,0,ROUND(K155/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*100,2)))</f>
        <v/>
      </c>
      <c r="M155" s="343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Лэндинг'!$B$5:$B$300,$B156)+SUMIFS('История'!$C$5:$C$300,'История'!$B$5:$B$300,$B156)=0,"",SUMIFS('ИТОГО Торговля'!$C$5:$C$300,'ИТОГО Торговля'!$B$5:$B$300,$B156)+SUMIFS('ИТОГО Лэндинг'!$C$5:$C$300,'ИТОГО Лэндинг'!$B$5:$B$300,$B156)+SUMIFS('История'!$C$5:$C$300,'История'!$B$5:$B$300,$B156)))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Лэндинг'!$B$5:$B$300,$B156)+SUMIFS('История'!$E$5:$E$300,'История'!$B$5:$B$300,$B156))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Лэндинг'!$B$5:$B$300,$B156)+SUMIFS('История'!$F$5:$F$300,'История'!$B$5:$B$300,$B156)=0,"",SUMIFS('ИТОГО Торговля'!$F$5:$F$300,'ИТОГО Торговля'!$B$5:$B$300,$B156)+SUMIFS('ИТОГО Лэндинг'!$F$5:$F$300,'ИТОГО Лэндинг'!$B$5:$B$300,$B156)+SUMIFS('История'!$F$5:$F$300,'История'!$B$5:$B$300,$B156)))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Лэндинг'!$B$5:$B$300,$B156)+SUMIFS('История'!$H$5:$H$300,'История'!$B$5:$B$300,$B156))</f>
        <v/>
      </c>
      <c r="I156" s="341">
        <f>IF($B156="","",IF(AND(C156="",F156=""),"",ROUND(SUMIFS('ИТОГО Торговля'!$I$5:$I$300,'ИТОГО Торговля'!$B$5:$B$300,$B156)+SUMIFS('ИТОГО Лэндинг'!$I$5:$I$300,'ИТОГО Лэндинг'!$B$5:$B$300,$B156)+SUMIFS('История'!$I$5:$I$300,'История'!$B$5:$B$300,$B156),8)))</f>
        <v/>
      </c>
      <c r="J156" s="342">
        <f>IF($B156="","",IF(AND(C156="",F156=""),"",ROUND(SUMIFS('ИТОГО Торговля'!$J$5:$J$300,'ИТОГО Торговля'!$B$5:$B$300,$B156)+SUMIFS('ИТОГО Лэндинг'!$J$5:$J$300,'ИТОГО Лэндинг'!$B$5:$B$300,$B156)+SUMIFS('История'!$J$5:$J$300,'История'!$B$5:$B$300,$B156),8)))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Лэндинг'!$B$5:$B$300,$B156)+SUMIFS('История'!$K$5:$K$300,'История'!$B$5:$B$300,$B156),8))</f>
        <v/>
      </c>
      <c r="L156" s="183">
        <f>IF(K156="","",IF(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&lt;=0,0,ROUND(K156/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*100,2)))</f>
        <v/>
      </c>
      <c r="M156" s="344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Лэндинг'!$B$5:$B$300,$B157)+SUMIFS('История'!$C$5:$C$300,'История'!$B$5:$B$300,$B157)=0,"",SUMIFS('ИТОГО Торговля'!$C$5:$C$300,'ИТОГО Торговля'!$B$5:$B$300,$B157)+SUMIFS('ИТОГО Лэндинг'!$C$5:$C$300,'ИТОГО Лэндинг'!$B$5:$B$300,$B157)+SUMIFS('История'!$C$5:$C$300,'История'!$B$5:$B$300,$B157)))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Лэндинг'!$B$5:$B$300,$B157)+SUMIFS('История'!$E$5:$E$300,'История'!$B$5:$B$300,$B157))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Лэндинг'!$B$5:$B$300,$B157)+SUMIFS('История'!$F$5:$F$300,'История'!$B$5:$B$300,$B157)=0,"",SUMIFS('ИТОГО Торговля'!$F$5:$F$300,'ИТОГО Торговля'!$B$5:$B$300,$B157)+SUMIFS('ИТОГО Лэндинг'!$F$5:$F$300,'ИТОГО Лэндинг'!$B$5:$B$300,$B157)+SUMIFS('История'!$F$5:$F$300,'История'!$B$5:$B$300,$B157)))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Лэндинг'!$B$5:$B$300,$B157)+SUMIFS('История'!$H$5:$H$300,'История'!$B$5:$B$300,$B157))</f>
        <v/>
      </c>
      <c r="I157" s="339">
        <f>IF($B157="","",IF(AND(C157="",F157=""),"",ROUND(SUMIFS('ИТОГО Торговля'!$I$5:$I$300,'ИТОГО Торговля'!$B$5:$B$300,$B157)+SUMIFS('ИТОГО Лэндинг'!$I$5:$I$300,'ИТОГО Лэндинг'!$B$5:$B$300,$B157)+SUMIFS('История'!$I$5:$I$300,'История'!$B$5:$B$300,$B157),8)))</f>
        <v/>
      </c>
      <c r="J157" s="340">
        <f>IF($B157="","",IF(AND(C157="",F157=""),"",ROUND(SUMIFS('ИТОГО Торговля'!$J$5:$J$300,'ИТОГО Торговля'!$B$5:$B$300,$B157)+SUMIFS('ИТОГО Лэндинг'!$J$5:$J$300,'ИТОГО Лэндинг'!$B$5:$B$300,$B157)+SUMIFS('История'!$J$5:$J$300,'История'!$B$5:$B$300,$B157),8)))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Лэндинг'!$B$5:$B$300,$B157)+SUMIFS('История'!$K$5:$K$300,'История'!$B$5:$B$300,$B157),8))</f>
        <v/>
      </c>
      <c r="L157" s="177">
        <f>IF(K157="","",IF(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&lt;=0,0,ROUND(K157/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*100,2)))</f>
        <v/>
      </c>
      <c r="M157" s="343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Лэндинг'!$B$5:$B$300,$B158)+SUMIFS('История'!$C$5:$C$300,'История'!$B$5:$B$300,$B158)=0,"",SUMIFS('ИТОГО Торговля'!$C$5:$C$300,'ИТОГО Торговля'!$B$5:$B$300,$B158)+SUMIFS('ИТОГО Лэндинг'!$C$5:$C$300,'ИТОГО Лэндинг'!$B$5:$B$300,$B158)+SUMIFS('История'!$C$5:$C$300,'История'!$B$5:$B$300,$B158)))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Лэндинг'!$B$5:$B$300,$B158)+SUMIFS('История'!$E$5:$E$300,'История'!$B$5:$B$300,$B158))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Лэндинг'!$B$5:$B$300,$B158)+SUMIFS('История'!$F$5:$F$300,'История'!$B$5:$B$300,$B158)=0,"",SUMIFS('ИТОГО Торговля'!$F$5:$F$300,'ИТОГО Торговля'!$B$5:$B$300,$B158)+SUMIFS('ИТОГО Лэндинг'!$F$5:$F$300,'ИТОГО Лэндинг'!$B$5:$B$300,$B158)+SUMIFS('История'!$F$5:$F$300,'История'!$B$5:$B$300,$B158)))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Лэндинг'!$B$5:$B$300,$B158)+SUMIFS('История'!$H$5:$H$300,'История'!$B$5:$B$300,$B158))</f>
        <v/>
      </c>
      <c r="I158" s="341">
        <f>IF($B158="","",IF(AND(C158="",F158=""),"",ROUND(SUMIFS('ИТОГО Торговля'!$I$5:$I$300,'ИТОГО Торговля'!$B$5:$B$300,$B158)+SUMIFS('ИТОГО Лэндинг'!$I$5:$I$300,'ИТОГО Лэндинг'!$B$5:$B$300,$B158)+SUMIFS('История'!$I$5:$I$300,'История'!$B$5:$B$300,$B158),8)))</f>
        <v/>
      </c>
      <c r="J158" s="342">
        <f>IF($B158="","",IF(AND(C158="",F158=""),"",ROUND(SUMIFS('ИТОГО Торговля'!$J$5:$J$300,'ИТОГО Торговля'!$B$5:$B$300,$B158)+SUMIFS('ИТОГО Лэндинг'!$J$5:$J$300,'ИТОГО Лэндинг'!$B$5:$B$300,$B158)+SUMIFS('История'!$J$5:$J$300,'История'!$B$5:$B$300,$B158),8)))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Лэндинг'!$B$5:$B$300,$B158)+SUMIFS('История'!$K$5:$K$300,'История'!$B$5:$B$300,$B158),8))</f>
        <v/>
      </c>
      <c r="L158" s="183">
        <f>IF(K158="","",IF(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&lt;=0,0,ROUND(K158/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*100,2)))</f>
        <v/>
      </c>
      <c r="M158" s="344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Лэндинг'!$B$5:$B$300,$B159)+SUMIFS('История'!$C$5:$C$300,'История'!$B$5:$B$300,$B159)=0,"",SUMIFS('ИТОГО Торговля'!$C$5:$C$300,'ИТОГО Торговля'!$B$5:$B$300,$B159)+SUMIFS('ИТОГО Лэндинг'!$C$5:$C$300,'ИТОГО Лэндинг'!$B$5:$B$300,$B159)+SUMIFS('История'!$C$5:$C$300,'История'!$B$5:$B$300,$B159)))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Лэндинг'!$B$5:$B$300,$B159)+SUMIFS('История'!$E$5:$E$300,'История'!$B$5:$B$300,$B159))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Лэндинг'!$B$5:$B$300,$B159)+SUMIFS('История'!$F$5:$F$300,'История'!$B$5:$B$300,$B159)=0,"",SUMIFS('ИТОГО Торговля'!$F$5:$F$300,'ИТОГО Торговля'!$B$5:$B$300,$B159)+SUMIFS('ИТОГО Лэндинг'!$F$5:$F$300,'ИТОГО Лэндинг'!$B$5:$B$300,$B159)+SUMIFS('История'!$F$5:$F$300,'История'!$B$5:$B$300,$B159)))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Лэндинг'!$B$5:$B$300,$B159)+SUMIFS('История'!$H$5:$H$300,'История'!$B$5:$B$300,$B159))</f>
        <v/>
      </c>
      <c r="I159" s="339">
        <f>IF($B159="","",IF(AND(C159="",F159=""),"",ROUND(SUMIFS('ИТОГО Торговля'!$I$5:$I$300,'ИТОГО Торговля'!$B$5:$B$300,$B159)+SUMIFS('ИТОГО Лэндинг'!$I$5:$I$300,'ИТОГО Лэндинг'!$B$5:$B$300,$B159)+SUMIFS('История'!$I$5:$I$300,'История'!$B$5:$B$300,$B159),8)))</f>
        <v/>
      </c>
      <c r="J159" s="340">
        <f>IF($B159="","",IF(AND(C159="",F159=""),"",ROUND(SUMIFS('ИТОГО Торговля'!$J$5:$J$300,'ИТОГО Торговля'!$B$5:$B$300,$B159)+SUMIFS('ИТОГО Лэндинг'!$J$5:$J$300,'ИТОГО Лэндинг'!$B$5:$B$300,$B159)+SUMIFS('История'!$J$5:$J$300,'История'!$B$5:$B$300,$B159),8)))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Лэндинг'!$B$5:$B$300,$B159)+SUMIFS('История'!$K$5:$K$300,'История'!$B$5:$B$300,$B159),8))</f>
        <v/>
      </c>
      <c r="L159" s="177">
        <f>IF(K159="","",IF(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&lt;=0,0,ROUND(K159/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*100,2)))</f>
        <v/>
      </c>
      <c r="M159" s="343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Лэндинг'!$B$5:$B$300,$B160)+SUMIFS('История'!$C$5:$C$300,'История'!$B$5:$B$300,$B160)=0,"",SUMIFS('ИТОГО Торговля'!$C$5:$C$300,'ИТОГО Торговля'!$B$5:$B$300,$B160)+SUMIFS('ИТОГО Лэндинг'!$C$5:$C$300,'ИТОГО Лэндинг'!$B$5:$B$300,$B160)+SUMIFS('История'!$C$5:$C$300,'История'!$B$5:$B$300,$B160)))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Лэндинг'!$B$5:$B$300,$B160)+SUMIFS('История'!$E$5:$E$300,'История'!$B$5:$B$300,$B160))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Лэндинг'!$B$5:$B$300,$B160)+SUMIFS('История'!$F$5:$F$300,'История'!$B$5:$B$300,$B160)=0,"",SUMIFS('ИТОГО Торговля'!$F$5:$F$300,'ИТОГО Торговля'!$B$5:$B$300,$B160)+SUMIFS('ИТОГО Лэндинг'!$F$5:$F$300,'ИТОГО Лэндинг'!$B$5:$B$300,$B160)+SUMIFS('История'!$F$5:$F$300,'История'!$B$5:$B$300,$B160)))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Лэндинг'!$B$5:$B$300,$B160)+SUMIFS('История'!$H$5:$H$300,'История'!$B$5:$B$300,$B160))</f>
        <v/>
      </c>
      <c r="I160" s="341">
        <f>IF($B160="","",IF(AND(C160="",F160=""),"",ROUND(SUMIFS('ИТОГО Торговля'!$I$5:$I$300,'ИТОГО Торговля'!$B$5:$B$300,$B160)+SUMIFS('ИТОГО Лэндинг'!$I$5:$I$300,'ИТОГО Лэндинг'!$B$5:$B$300,$B160)+SUMIFS('История'!$I$5:$I$300,'История'!$B$5:$B$300,$B160),8)))</f>
        <v/>
      </c>
      <c r="J160" s="342">
        <f>IF($B160="","",IF(AND(C160="",F160=""),"",ROUND(SUMIFS('ИТОГО Торговля'!$J$5:$J$300,'ИТОГО Торговля'!$B$5:$B$300,$B160)+SUMIFS('ИТОГО Лэндинг'!$J$5:$J$300,'ИТОГО Лэндинг'!$B$5:$B$300,$B160)+SUMIFS('История'!$J$5:$J$300,'История'!$B$5:$B$300,$B160),8)))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Лэндинг'!$B$5:$B$300,$B160)+SUMIFS('История'!$K$5:$K$300,'История'!$B$5:$B$300,$B160),8))</f>
        <v/>
      </c>
      <c r="L160" s="183">
        <f>IF(K160="","",IF(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&lt;=0,0,ROUND(K160/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*100,2)))</f>
        <v/>
      </c>
      <c r="M160" s="344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Лэндинг'!$B$5:$B$300,$B161)+SUMIFS('История'!$C$5:$C$300,'История'!$B$5:$B$300,$B161)=0,"",SUMIFS('ИТОГО Торговля'!$C$5:$C$300,'ИТОГО Торговля'!$B$5:$B$300,$B161)+SUMIFS('ИТОГО Лэндинг'!$C$5:$C$300,'ИТОГО Лэндинг'!$B$5:$B$300,$B161)+SUMIFS('История'!$C$5:$C$300,'История'!$B$5:$B$300,$B161)))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Лэндинг'!$B$5:$B$300,$B161)+SUMIFS('История'!$E$5:$E$300,'История'!$B$5:$B$300,$B161))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Лэндинг'!$B$5:$B$300,$B161)+SUMIFS('История'!$F$5:$F$300,'История'!$B$5:$B$300,$B161)=0,"",SUMIFS('ИТОГО Торговля'!$F$5:$F$300,'ИТОГО Торговля'!$B$5:$B$300,$B161)+SUMIFS('ИТОГО Лэндинг'!$F$5:$F$300,'ИТОГО Лэндинг'!$B$5:$B$300,$B161)+SUMIFS('История'!$F$5:$F$300,'История'!$B$5:$B$300,$B161)))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Лэндинг'!$B$5:$B$300,$B161)+SUMIFS('История'!$H$5:$H$300,'История'!$B$5:$B$300,$B161))</f>
        <v/>
      </c>
      <c r="I161" s="339">
        <f>IF($B161="","",IF(AND(C161="",F161=""),"",ROUND(SUMIFS('ИТОГО Торговля'!$I$5:$I$300,'ИТОГО Торговля'!$B$5:$B$300,$B161)+SUMIFS('ИТОГО Лэндинг'!$I$5:$I$300,'ИТОГО Лэндинг'!$B$5:$B$300,$B161)+SUMIFS('История'!$I$5:$I$300,'История'!$B$5:$B$300,$B161),8)))</f>
        <v/>
      </c>
      <c r="J161" s="340">
        <f>IF($B161="","",IF(AND(C161="",F161=""),"",ROUND(SUMIFS('ИТОГО Торговля'!$J$5:$J$300,'ИТОГО Торговля'!$B$5:$B$300,$B161)+SUMIFS('ИТОГО Лэндинг'!$J$5:$J$300,'ИТОГО Лэндинг'!$B$5:$B$300,$B161)+SUMIFS('История'!$J$5:$J$300,'История'!$B$5:$B$300,$B161),8)))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Лэндинг'!$B$5:$B$300,$B161)+SUMIFS('История'!$K$5:$K$300,'История'!$B$5:$B$300,$B161),8))</f>
        <v/>
      </c>
      <c r="L161" s="177">
        <f>IF(K161="","",IF(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&lt;=0,0,ROUND(K161/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*100,2)))</f>
        <v/>
      </c>
      <c r="M161" s="343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Лэндинг'!$B$5:$B$300,$B162)+SUMIFS('История'!$C$5:$C$300,'История'!$B$5:$B$300,$B162)=0,"",SUMIFS('ИТОГО Торговля'!$C$5:$C$300,'ИТОГО Торговля'!$B$5:$B$300,$B162)+SUMIFS('ИТОГО Лэндинг'!$C$5:$C$300,'ИТОГО Лэндинг'!$B$5:$B$300,$B162)+SUMIFS('История'!$C$5:$C$300,'История'!$B$5:$B$300,$B162)))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Лэндинг'!$B$5:$B$300,$B162)+SUMIFS('История'!$E$5:$E$300,'История'!$B$5:$B$300,$B162))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Лэндинг'!$B$5:$B$300,$B162)+SUMIFS('История'!$F$5:$F$300,'История'!$B$5:$B$300,$B162)=0,"",SUMIFS('ИТОГО Торговля'!$F$5:$F$300,'ИТОГО Торговля'!$B$5:$B$300,$B162)+SUMIFS('ИТОГО Лэндинг'!$F$5:$F$300,'ИТОГО Лэндинг'!$B$5:$B$300,$B162)+SUMIFS('История'!$F$5:$F$300,'История'!$B$5:$B$300,$B162)))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Лэндинг'!$B$5:$B$300,$B162)+SUMIFS('История'!$H$5:$H$300,'История'!$B$5:$B$300,$B162))</f>
        <v/>
      </c>
      <c r="I162" s="341">
        <f>IF($B162="","",IF(AND(C162="",F162=""),"",ROUND(SUMIFS('ИТОГО Торговля'!$I$5:$I$300,'ИТОГО Торговля'!$B$5:$B$300,$B162)+SUMIFS('ИТОГО Лэндинг'!$I$5:$I$300,'ИТОГО Лэндинг'!$B$5:$B$300,$B162)+SUMIFS('История'!$I$5:$I$300,'История'!$B$5:$B$300,$B162),8)))</f>
        <v/>
      </c>
      <c r="J162" s="342">
        <f>IF($B162="","",IF(AND(C162="",F162=""),"",ROUND(SUMIFS('ИТОГО Торговля'!$J$5:$J$300,'ИТОГО Торговля'!$B$5:$B$300,$B162)+SUMIFS('ИТОГО Лэндинг'!$J$5:$J$300,'ИТОГО Лэндинг'!$B$5:$B$300,$B162)+SUMIFS('История'!$J$5:$J$300,'История'!$B$5:$B$300,$B162),8)))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Лэндинг'!$B$5:$B$300,$B162)+SUMIFS('История'!$K$5:$K$300,'История'!$B$5:$B$300,$B162),8))</f>
        <v/>
      </c>
      <c r="L162" s="183">
        <f>IF(K162="","",IF(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&lt;=0,0,ROUND(K162/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*100,2)))</f>
        <v/>
      </c>
      <c r="M162" s="344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Лэндинг'!$B$5:$B$300,$B163)+SUMIFS('История'!$C$5:$C$300,'История'!$B$5:$B$300,$B163)=0,"",SUMIFS('ИТОГО Торговля'!$C$5:$C$300,'ИТОГО Торговля'!$B$5:$B$300,$B163)+SUMIFS('ИТОГО Лэндинг'!$C$5:$C$300,'ИТОГО Лэндинг'!$B$5:$B$300,$B163)+SUMIFS('История'!$C$5:$C$300,'История'!$B$5:$B$300,$B163)))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Лэндинг'!$B$5:$B$300,$B163)+SUMIFS('История'!$E$5:$E$300,'История'!$B$5:$B$300,$B163))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Лэндинг'!$B$5:$B$300,$B163)+SUMIFS('История'!$F$5:$F$300,'История'!$B$5:$B$300,$B163)=0,"",SUMIFS('ИТОГО Торговля'!$F$5:$F$300,'ИТОГО Торговля'!$B$5:$B$300,$B163)+SUMIFS('ИТОГО Лэндинг'!$F$5:$F$300,'ИТОГО Лэндинг'!$B$5:$B$300,$B163)+SUMIFS('История'!$F$5:$F$300,'История'!$B$5:$B$300,$B163)))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Лэндинг'!$B$5:$B$300,$B163)+SUMIFS('История'!$H$5:$H$300,'История'!$B$5:$B$300,$B163))</f>
        <v/>
      </c>
      <c r="I163" s="339">
        <f>IF($B163="","",IF(AND(C163="",F163=""),"",ROUND(SUMIFS('ИТОГО Торговля'!$I$5:$I$300,'ИТОГО Торговля'!$B$5:$B$300,$B163)+SUMIFS('ИТОГО Лэндинг'!$I$5:$I$300,'ИТОГО Лэндинг'!$B$5:$B$300,$B163)+SUMIFS('История'!$I$5:$I$300,'История'!$B$5:$B$300,$B163),8)))</f>
        <v/>
      </c>
      <c r="J163" s="340">
        <f>IF($B163="","",IF(AND(C163="",F163=""),"",ROUND(SUMIFS('ИТОГО Торговля'!$J$5:$J$300,'ИТОГО Торговля'!$B$5:$B$300,$B163)+SUMIFS('ИТОГО Лэндинг'!$J$5:$J$300,'ИТОГО Лэндинг'!$B$5:$B$300,$B163)+SUMIFS('История'!$J$5:$J$300,'История'!$B$5:$B$300,$B163),8)))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Лэндинг'!$B$5:$B$300,$B163)+SUMIFS('История'!$K$5:$K$300,'История'!$B$5:$B$300,$B163),8))</f>
        <v/>
      </c>
      <c r="L163" s="177">
        <f>IF(K163="","",IF(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&lt;=0,0,ROUND(K163/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*100,2)))</f>
        <v/>
      </c>
      <c r="M163" s="343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Лэндинг'!$B$5:$B$300,$B164)+SUMIFS('История'!$C$5:$C$300,'История'!$B$5:$B$300,$B164)=0,"",SUMIFS('ИТОГО Торговля'!$C$5:$C$300,'ИТОГО Торговля'!$B$5:$B$300,$B164)+SUMIFS('ИТОГО Лэндинг'!$C$5:$C$300,'ИТОГО Лэндинг'!$B$5:$B$300,$B164)+SUMIFS('История'!$C$5:$C$300,'История'!$B$5:$B$300,$B164)))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Лэндинг'!$B$5:$B$300,$B164)+SUMIFS('История'!$E$5:$E$300,'История'!$B$5:$B$300,$B164))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Лэндинг'!$B$5:$B$300,$B164)+SUMIFS('История'!$F$5:$F$300,'История'!$B$5:$B$300,$B164)=0,"",SUMIFS('ИТОГО Торговля'!$F$5:$F$300,'ИТОГО Торговля'!$B$5:$B$300,$B164)+SUMIFS('ИТОГО Лэндинг'!$F$5:$F$300,'ИТОГО Лэндинг'!$B$5:$B$300,$B164)+SUMIFS('История'!$F$5:$F$300,'История'!$B$5:$B$300,$B164)))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Лэндинг'!$B$5:$B$300,$B164)+SUMIFS('История'!$H$5:$H$300,'История'!$B$5:$B$300,$B164))</f>
        <v/>
      </c>
      <c r="I164" s="341">
        <f>IF($B164="","",IF(AND(C164="",F164=""),"",ROUND(SUMIFS('ИТОГО Торговля'!$I$5:$I$300,'ИТОГО Торговля'!$B$5:$B$300,$B164)+SUMIFS('ИТОГО Лэндинг'!$I$5:$I$300,'ИТОГО Лэндинг'!$B$5:$B$300,$B164)+SUMIFS('История'!$I$5:$I$300,'История'!$B$5:$B$300,$B164),8)))</f>
        <v/>
      </c>
      <c r="J164" s="342">
        <f>IF($B164="","",IF(AND(C164="",F164=""),"",ROUND(SUMIFS('ИТОГО Торговля'!$J$5:$J$300,'ИТОГО Торговля'!$B$5:$B$300,$B164)+SUMIFS('ИТОГО Лэндинг'!$J$5:$J$300,'ИТОГО Лэндинг'!$B$5:$B$300,$B164)+SUMIFS('История'!$J$5:$J$300,'История'!$B$5:$B$300,$B164),8)))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Лэндинг'!$B$5:$B$300,$B164)+SUMIFS('История'!$K$5:$K$300,'История'!$B$5:$B$300,$B164),8))</f>
        <v/>
      </c>
      <c r="L164" s="183">
        <f>IF(K164="","",IF(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&lt;=0,0,ROUND(K164/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*100,2)))</f>
        <v/>
      </c>
      <c r="M164" s="344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Лэндинг'!$B$5:$B$300,$B165)+SUMIFS('История'!$C$5:$C$300,'История'!$B$5:$B$300,$B165)=0,"",SUMIFS('ИТОГО Торговля'!$C$5:$C$300,'ИТОГО Торговля'!$B$5:$B$300,$B165)+SUMIFS('ИТОГО Лэндинг'!$C$5:$C$300,'ИТОГО Лэндинг'!$B$5:$B$300,$B165)+SUMIFS('История'!$C$5:$C$300,'История'!$B$5:$B$300,$B165)))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Лэндинг'!$B$5:$B$300,$B165)+SUMIFS('История'!$E$5:$E$300,'История'!$B$5:$B$300,$B165))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Лэндинг'!$B$5:$B$300,$B165)+SUMIFS('История'!$F$5:$F$300,'История'!$B$5:$B$300,$B165)=0,"",SUMIFS('ИТОГО Торговля'!$F$5:$F$300,'ИТОГО Торговля'!$B$5:$B$300,$B165)+SUMIFS('ИТОГО Лэндинг'!$F$5:$F$300,'ИТОГО Лэндинг'!$B$5:$B$300,$B165)+SUMIFS('История'!$F$5:$F$300,'История'!$B$5:$B$300,$B165)))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Лэндинг'!$B$5:$B$300,$B165)+SUMIFS('История'!$H$5:$H$300,'История'!$B$5:$B$300,$B165))</f>
        <v/>
      </c>
      <c r="I165" s="339">
        <f>IF($B165="","",IF(AND(C165="",F165=""),"",ROUND(SUMIFS('ИТОГО Торговля'!$I$5:$I$300,'ИТОГО Торговля'!$B$5:$B$300,$B165)+SUMIFS('ИТОГО Лэндинг'!$I$5:$I$300,'ИТОГО Лэндинг'!$B$5:$B$300,$B165)+SUMIFS('История'!$I$5:$I$300,'История'!$B$5:$B$300,$B165),8)))</f>
        <v/>
      </c>
      <c r="J165" s="340">
        <f>IF($B165="","",IF(AND(C165="",F165=""),"",ROUND(SUMIFS('ИТОГО Торговля'!$J$5:$J$300,'ИТОГО Торговля'!$B$5:$B$300,$B165)+SUMIFS('ИТОГО Лэндинг'!$J$5:$J$300,'ИТОГО Лэндинг'!$B$5:$B$300,$B165)+SUMIFS('История'!$J$5:$J$300,'История'!$B$5:$B$300,$B165),8)))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Лэндинг'!$B$5:$B$300,$B165)+SUMIFS('История'!$K$5:$K$300,'История'!$B$5:$B$300,$B165),8))</f>
        <v/>
      </c>
      <c r="L165" s="177">
        <f>IF(K165="","",IF(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&lt;=0,0,ROUND(K165/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*100,2)))</f>
        <v/>
      </c>
      <c r="M165" s="343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Лэндинг'!$B$5:$B$300,$B166)+SUMIFS('История'!$C$5:$C$300,'История'!$B$5:$B$300,$B166)=0,"",SUMIFS('ИТОГО Торговля'!$C$5:$C$300,'ИТОГО Торговля'!$B$5:$B$300,$B166)+SUMIFS('ИТОГО Лэндинг'!$C$5:$C$300,'ИТОГО Лэндинг'!$B$5:$B$300,$B166)+SUMIFS('История'!$C$5:$C$300,'История'!$B$5:$B$300,$B166)))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Лэндинг'!$B$5:$B$300,$B166)+SUMIFS('История'!$E$5:$E$300,'История'!$B$5:$B$300,$B166))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Лэндинг'!$B$5:$B$300,$B166)+SUMIFS('История'!$F$5:$F$300,'История'!$B$5:$B$300,$B166)=0,"",SUMIFS('ИТОГО Торговля'!$F$5:$F$300,'ИТОГО Торговля'!$B$5:$B$300,$B166)+SUMIFS('ИТОГО Лэндинг'!$F$5:$F$300,'ИТОГО Лэндинг'!$B$5:$B$300,$B166)+SUMIFS('История'!$F$5:$F$300,'История'!$B$5:$B$300,$B166)))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Лэндинг'!$B$5:$B$300,$B166)+SUMIFS('История'!$H$5:$H$300,'История'!$B$5:$B$300,$B166))</f>
        <v/>
      </c>
      <c r="I166" s="341">
        <f>IF($B166="","",IF(AND(C166="",F166=""),"",ROUND(SUMIFS('ИТОГО Торговля'!$I$5:$I$300,'ИТОГО Торговля'!$B$5:$B$300,$B166)+SUMIFS('ИТОГО Лэндинг'!$I$5:$I$300,'ИТОГО Лэндинг'!$B$5:$B$300,$B166)+SUMIFS('История'!$I$5:$I$300,'История'!$B$5:$B$300,$B166),8)))</f>
        <v/>
      </c>
      <c r="J166" s="342">
        <f>IF($B166="","",IF(AND(C166="",F166=""),"",ROUND(SUMIFS('ИТОГО Торговля'!$J$5:$J$300,'ИТОГО Торговля'!$B$5:$B$300,$B166)+SUMIFS('ИТОГО Лэндинг'!$J$5:$J$300,'ИТОГО Лэндинг'!$B$5:$B$300,$B166)+SUMIFS('История'!$J$5:$J$300,'История'!$B$5:$B$300,$B166),8)))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Лэндинг'!$B$5:$B$300,$B166)+SUMIFS('История'!$K$5:$K$300,'История'!$B$5:$B$300,$B166),8))</f>
        <v/>
      </c>
      <c r="L166" s="183">
        <f>IF(K166="","",IF(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&lt;=0,0,ROUND(K166/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*100,2)))</f>
        <v/>
      </c>
      <c r="M166" s="344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Лэндинг'!$B$5:$B$300,$B167)+SUMIFS('История'!$C$5:$C$300,'История'!$B$5:$B$300,$B167)=0,"",SUMIFS('ИТОГО Торговля'!$C$5:$C$300,'ИТОГО Торговля'!$B$5:$B$300,$B167)+SUMIFS('ИТОГО Лэндинг'!$C$5:$C$300,'ИТОГО Лэндинг'!$B$5:$B$300,$B167)+SUMIFS('История'!$C$5:$C$300,'История'!$B$5:$B$300,$B167)))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Лэндинг'!$B$5:$B$300,$B167)+SUMIFS('История'!$E$5:$E$300,'История'!$B$5:$B$300,$B167))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Лэндинг'!$B$5:$B$300,$B167)+SUMIFS('История'!$F$5:$F$300,'История'!$B$5:$B$300,$B167)=0,"",SUMIFS('ИТОГО Торговля'!$F$5:$F$300,'ИТОГО Торговля'!$B$5:$B$300,$B167)+SUMIFS('ИТОГО Лэндинг'!$F$5:$F$300,'ИТОГО Лэндинг'!$B$5:$B$300,$B167)+SUMIFS('История'!$F$5:$F$300,'История'!$B$5:$B$300,$B167)))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Лэндинг'!$B$5:$B$300,$B167)+SUMIFS('История'!$H$5:$H$300,'История'!$B$5:$B$300,$B167))</f>
        <v/>
      </c>
      <c r="I167" s="339">
        <f>IF($B167="","",IF(AND(C167="",F167=""),"",ROUND(SUMIFS('ИТОГО Торговля'!$I$5:$I$300,'ИТОГО Торговля'!$B$5:$B$300,$B167)+SUMIFS('ИТОГО Лэндинг'!$I$5:$I$300,'ИТОГО Лэндинг'!$B$5:$B$300,$B167)+SUMIFS('История'!$I$5:$I$300,'История'!$B$5:$B$300,$B167),8)))</f>
        <v/>
      </c>
      <c r="J167" s="340">
        <f>IF($B167="","",IF(AND(C167="",F167=""),"",ROUND(SUMIFS('ИТОГО Торговля'!$J$5:$J$300,'ИТОГО Торговля'!$B$5:$B$300,$B167)+SUMIFS('ИТОГО Лэндинг'!$J$5:$J$300,'ИТОГО Лэндинг'!$B$5:$B$300,$B167)+SUMIFS('История'!$J$5:$J$300,'История'!$B$5:$B$300,$B167),8)))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Лэндинг'!$B$5:$B$300,$B167)+SUMIFS('История'!$K$5:$K$300,'История'!$B$5:$B$300,$B167),8))</f>
        <v/>
      </c>
      <c r="L167" s="177">
        <f>IF(K167="","",IF(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&lt;=0,0,ROUND(K167/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*100,2)))</f>
        <v/>
      </c>
      <c r="M167" s="343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Лэндинг'!$B$5:$B$300,$B168)+SUMIFS('История'!$C$5:$C$300,'История'!$B$5:$B$300,$B168)=0,"",SUMIFS('ИТОГО Торговля'!$C$5:$C$300,'ИТОГО Торговля'!$B$5:$B$300,$B168)+SUMIFS('ИТОГО Лэндинг'!$C$5:$C$300,'ИТОГО Лэндинг'!$B$5:$B$300,$B168)+SUMIFS('История'!$C$5:$C$300,'История'!$B$5:$B$300,$B168)))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Лэндинг'!$B$5:$B$300,$B168)+SUMIFS('История'!$E$5:$E$300,'История'!$B$5:$B$300,$B168))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Лэндинг'!$B$5:$B$300,$B168)+SUMIFS('История'!$F$5:$F$300,'История'!$B$5:$B$300,$B168)=0,"",SUMIFS('ИТОГО Торговля'!$F$5:$F$300,'ИТОГО Торговля'!$B$5:$B$300,$B168)+SUMIFS('ИТОГО Лэндинг'!$F$5:$F$300,'ИТОГО Лэндинг'!$B$5:$B$300,$B168)+SUMIFS('История'!$F$5:$F$300,'История'!$B$5:$B$300,$B168)))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Лэндинг'!$B$5:$B$300,$B168)+SUMIFS('История'!$H$5:$H$300,'История'!$B$5:$B$300,$B168))</f>
        <v/>
      </c>
      <c r="I168" s="341">
        <f>IF($B168="","",IF(AND(C168="",F168=""),"",ROUND(SUMIFS('ИТОГО Торговля'!$I$5:$I$300,'ИТОГО Торговля'!$B$5:$B$300,$B168)+SUMIFS('ИТОГО Лэндинг'!$I$5:$I$300,'ИТОГО Лэндинг'!$B$5:$B$300,$B168)+SUMIFS('История'!$I$5:$I$300,'История'!$B$5:$B$300,$B168),8)))</f>
        <v/>
      </c>
      <c r="J168" s="342">
        <f>IF($B168="","",IF(AND(C168="",F168=""),"",ROUND(SUMIFS('ИТОГО Торговля'!$J$5:$J$300,'ИТОГО Торговля'!$B$5:$B$300,$B168)+SUMIFS('ИТОГО Лэндинг'!$J$5:$J$300,'ИТОГО Лэндинг'!$B$5:$B$300,$B168)+SUMIFS('История'!$J$5:$J$300,'История'!$B$5:$B$300,$B168),8)))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Лэндинг'!$B$5:$B$300,$B168)+SUMIFS('История'!$K$5:$K$300,'История'!$B$5:$B$300,$B168),8))</f>
        <v/>
      </c>
      <c r="L168" s="183">
        <f>IF(K168="","",IF(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&lt;=0,0,ROUND(K168/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*100,2)))</f>
        <v/>
      </c>
      <c r="M168" s="344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Лэндинг'!$B$5:$B$300,$B169)+SUMIFS('История'!$C$5:$C$300,'История'!$B$5:$B$300,$B169)=0,"",SUMIFS('ИТОГО Торговля'!$C$5:$C$300,'ИТОГО Торговля'!$B$5:$B$300,$B169)+SUMIFS('ИТОГО Лэндинг'!$C$5:$C$300,'ИТОГО Лэндинг'!$B$5:$B$300,$B169)+SUMIFS('История'!$C$5:$C$300,'История'!$B$5:$B$300,$B169)))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Лэндинг'!$B$5:$B$300,$B169)+SUMIFS('История'!$E$5:$E$300,'История'!$B$5:$B$300,$B169))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Лэндинг'!$B$5:$B$300,$B169)+SUMIFS('История'!$F$5:$F$300,'История'!$B$5:$B$300,$B169)=0,"",SUMIFS('ИТОГО Торговля'!$F$5:$F$300,'ИТОГО Торговля'!$B$5:$B$300,$B169)+SUMIFS('ИТОГО Лэндинг'!$F$5:$F$300,'ИТОГО Лэндинг'!$B$5:$B$300,$B169)+SUMIFS('История'!$F$5:$F$300,'История'!$B$5:$B$300,$B169)))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Лэндинг'!$B$5:$B$300,$B169)+SUMIFS('История'!$H$5:$H$300,'История'!$B$5:$B$300,$B169))</f>
        <v/>
      </c>
      <c r="I169" s="339">
        <f>IF($B169="","",IF(AND(C169="",F169=""),"",ROUND(SUMIFS('ИТОГО Торговля'!$I$5:$I$300,'ИТОГО Торговля'!$B$5:$B$300,$B169)+SUMIFS('ИТОГО Лэндинг'!$I$5:$I$300,'ИТОГО Лэндинг'!$B$5:$B$300,$B169)+SUMIFS('История'!$I$5:$I$300,'История'!$B$5:$B$300,$B169),8)))</f>
        <v/>
      </c>
      <c r="J169" s="340">
        <f>IF($B169="","",IF(AND(C169="",F169=""),"",ROUND(SUMIFS('ИТОГО Торговля'!$J$5:$J$300,'ИТОГО Торговля'!$B$5:$B$300,$B169)+SUMIFS('ИТОГО Лэндинг'!$J$5:$J$300,'ИТОГО Лэндинг'!$B$5:$B$300,$B169)+SUMIFS('История'!$J$5:$J$300,'История'!$B$5:$B$300,$B169),8)))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Лэндинг'!$B$5:$B$300,$B169)+SUMIFS('История'!$K$5:$K$300,'История'!$B$5:$B$300,$B169),8))</f>
        <v/>
      </c>
      <c r="L169" s="177">
        <f>IF(K169="","",IF(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&lt;=0,0,ROUND(K169/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*100,2)))</f>
        <v/>
      </c>
      <c r="M169" s="343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Лэндинг'!$B$5:$B$300,$B170)+SUMIFS('История'!$C$5:$C$300,'История'!$B$5:$B$300,$B170)=0,"",SUMIFS('ИТОГО Торговля'!$C$5:$C$300,'ИТОГО Торговля'!$B$5:$B$300,$B170)+SUMIFS('ИТОГО Лэндинг'!$C$5:$C$300,'ИТОГО Лэндинг'!$B$5:$B$300,$B170)+SUMIFS('История'!$C$5:$C$300,'История'!$B$5:$B$300,$B170)))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Лэндинг'!$B$5:$B$300,$B170)+SUMIFS('История'!$E$5:$E$300,'История'!$B$5:$B$300,$B170))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Лэндинг'!$B$5:$B$300,$B170)+SUMIFS('История'!$F$5:$F$300,'История'!$B$5:$B$300,$B170)=0,"",SUMIFS('ИТОГО Торговля'!$F$5:$F$300,'ИТОГО Торговля'!$B$5:$B$300,$B170)+SUMIFS('ИТОГО Лэндинг'!$F$5:$F$300,'ИТОГО Лэндинг'!$B$5:$B$300,$B170)+SUMIFS('История'!$F$5:$F$300,'История'!$B$5:$B$300,$B170)))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Лэндинг'!$B$5:$B$300,$B170)+SUMIFS('История'!$H$5:$H$300,'История'!$B$5:$B$300,$B170))</f>
        <v/>
      </c>
      <c r="I170" s="341">
        <f>IF($B170="","",IF(AND(C170="",F170=""),"",ROUND(SUMIFS('ИТОГО Торговля'!$I$5:$I$300,'ИТОГО Торговля'!$B$5:$B$300,$B170)+SUMIFS('ИТОГО Лэндинг'!$I$5:$I$300,'ИТОГО Лэндинг'!$B$5:$B$300,$B170)+SUMIFS('История'!$I$5:$I$300,'История'!$B$5:$B$300,$B170),8)))</f>
        <v/>
      </c>
      <c r="J170" s="342">
        <f>IF($B170="","",IF(AND(C170="",F170=""),"",ROUND(SUMIFS('ИТОГО Торговля'!$J$5:$J$300,'ИТОГО Торговля'!$B$5:$B$300,$B170)+SUMIFS('ИТОГО Лэндинг'!$J$5:$J$300,'ИТОГО Лэндинг'!$B$5:$B$300,$B170)+SUMIFS('История'!$J$5:$J$300,'История'!$B$5:$B$300,$B170),8)))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Лэндинг'!$B$5:$B$300,$B170)+SUMIFS('История'!$K$5:$K$300,'История'!$B$5:$B$300,$B170),8))</f>
        <v/>
      </c>
      <c r="L170" s="183">
        <f>IF(K170="","",IF(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&lt;=0,0,ROUND(K170/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*100,2)))</f>
        <v/>
      </c>
      <c r="M170" s="344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Лэндинг'!$B$5:$B$300,$B171)+SUMIFS('История'!$C$5:$C$300,'История'!$B$5:$B$300,$B171)=0,"",SUMIFS('ИТОГО Торговля'!$C$5:$C$300,'ИТОГО Торговля'!$B$5:$B$300,$B171)+SUMIFS('ИТОГО Лэндинг'!$C$5:$C$300,'ИТОГО Лэндинг'!$B$5:$B$300,$B171)+SUMIFS('История'!$C$5:$C$300,'История'!$B$5:$B$300,$B171)))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Лэндинг'!$B$5:$B$300,$B171)+SUMIFS('История'!$E$5:$E$300,'История'!$B$5:$B$300,$B171))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Лэндинг'!$B$5:$B$300,$B171)+SUMIFS('История'!$F$5:$F$300,'История'!$B$5:$B$300,$B171)=0,"",SUMIFS('ИТОГО Торговля'!$F$5:$F$300,'ИТОГО Торговля'!$B$5:$B$300,$B171)+SUMIFS('ИТОГО Лэндинг'!$F$5:$F$300,'ИТОГО Лэндинг'!$B$5:$B$300,$B171)+SUMIFS('История'!$F$5:$F$300,'История'!$B$5:$B$300,$B171)))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Лэндинг'!$B$5:$B$300,$B171)+SUMIFS('История'!$H$5:$H$300,'История'!$B$5:$B$300,$B171))</f>
        <v/>
      </c>
      <c r="I171" s="339">
        <f>IF($B171="","",IF(AND(C171="",F171=""),"",ROUND(SUMIFS('ИТОГО Торговля'!$I$5:$I$300,'ИТОГО Торговля'!$B$5:$B$300,$B171)+SUMIFS('ИТОГО Лэндинг'!$I$5:$I$300,'ИТОГО Лэндинг'!$B$5:$B$300,$B171)+SUMIFS('История'!$I$5:$I$300,'История'!$B$5:$B$300,$B171),8)))</f>
        <v/>
      </c>
      <c r="J171" s="340">
        <f>IF($B171="","",IF(AND(C171="",F171=""),"",ROUND(SUMIFS('ИТОГО Торговля'!$J$5:$J$300,'ИТОГО Торговля'!$B$5:$B$300,$B171)+SUMIFS('ИТОГО Лэндинг'!$J$5:$J$300,'ИТОГО Лэндинг'!$B$5:$B$300,$B171)+SUMIFS('История'!$J$5:$J$300,'История'!$B$5:$B$300,$B171),8)))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Лэндинг'!$B$5:$B$300,$B171)+SUMIFS('История'!$K$5:$K$300,'История'!$B$5:$B$300,$B171),8))</f>
        <v/>
      </c>
      <c r="L171" s="177">
        <f>IF(K171="","",IF(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&lt;=0,0,ROUND(K171/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*100,2)))</f>
        <v/>
      </c>
      <c r="M171" s="343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Лэндинг'!$B$5:$B$300,$B172)+SUMIFS('История'!$C$5:$C$300,'История'!$B$5:$B$300,$B172)=0,"",SUMIFS('ИТОГО Торговля'!$C$5:$C$300,'ИТОГО Торговля'!$B$5:$B$300,$B172)+SUMIFS('ИТОГО Лэндинг'!$C$5:$C$300,'ИТОГО Лэндинг'!$B$5:$B$300,$B172)+SUMIFS('История'!$C$5:$C$300,'История'!$B$5:$B$300,$B172)))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Лэндинг'!$B$5:$B$300,$B172)+SUMIFS('История'!$E$5:$E$300,'История'!$B$5:$B$300,$B172))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Лэндинг'!$B$5:$B$300,$B172)+SUMIFS('История'!$F$5:$F$300,'История'!$B$5:$B$300,$B172)=0,"",SUMIFS('ИТОГО Торговля'!$F$5:$F$300,'ИТОГО Торговля'!$B$5:$B$300,$B172)+SUMIFS('ИТОГО Лэндинг'!$F$5:$F$300,'ИТОГО Лэндинг'!$B$5:$B$300,$B172)+SUMIFS('История'!$F$5:$F$300,'История'!$B$5:$B$300,$B172)))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Лэндинг'!$B$5:$B$300,$B172)+SUMIFS('История'!$H$5:$H$300,'История'!$B$5:$B$300,$B172))</f>
        <v/>
      </c>
      <c r="I172" s="341">
        <f>IF($B172="","",IF(AND(C172="",F172=""),"",ROUND(SUMIFS('ИТОГО Торговля'!$I$5:$I$300,'ИТОГО Торговля'!$B$5:$B$300,$B172)+SUMIFS('ИТОГО Лэндинг'!$I$5:$I$300,'ИТОГО Лэндинг'!$B$5:$B$300,$B172)+SUMIFS('История'!$I$5:$I$300,'История'!$B$5:$B$300,$B172),8)))</f>
        <v/>
      </c>
      <c r="J172" s="342">
        <f>IF($B172="","",IF(AND(C172="",F172=""),"",ROUND(SUMIFS('ИТОГО Торговля'!$J$5:$J$300,'ИТОГО Торговля'!$B$5:$B$300,$B172)+SUMIFS('ИТОГО Лэндинг'!$J$5:$J$300,'ИТОГО Лэндинг'!$B$5:$B$300,$B172)+SUMIFS('История'!$J$5:$J$300,'История'!$B$5:$B$300,$B172),8)))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Лэндинг'!$B$5:$B$300,$B172)+SUMIFS('История'!$K$5:$K$300,'История'!$B$5:$B$300,$B172),8))</f>
        <v/>
      </c>
      <c r="L172" s="183">
        <f>IF(K172="","",IF(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&lt;=0,0,ROUND(K172/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*100,2)))</f>
        <v/>
      </c>
      <c r="M172" s="344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Лэндинг'!$B$5:$B$300,$B173)+SUMIFS('История'!$C$5:$C$300,'История'!$B$5:$B$300,$B173)=0,"",SUMIFS('ИТОГО Торговля'!$C$5:$C$300,'ИТОГО Торговля'!$B$5:$B$300,$B173)+SUMIFS('ИТОГО Лэндинг'!$C$5:$C$300,'ИТОГО Лэндинг'!$B$5:$B$300,$B173)+SUMIFS('История'!$C$5:$C$300,'История'!$B$5:$B$300,$B173)))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Лэндинг'!$B$5:$B$300,$B173)+SUMIFS('История'!$E$5:$E$300,'История'!$B$5:$B$300,$B173))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Лэндинг'!$B$5:$B$300,$B173)+SUMIFS('История'!$F$5:$F$300,'История'!$B$5:$B$300,$B173)=0,"",SUMIFS('ИТОГО Торговля'!$F$5:$F$300,'ИТОГО Торговля'!$B$5:$B$300,$B173)+SUMIFS('ИТОГО Лэндинг'!$F$5:$F$300,'ИТОГО Лэндинг'!$B$5:$B$300,$B173)+SUMIFS('История'!$F$5:$F$300,'История'!$B$5:$B$300,$B173)))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Лэндинг'!$B$5:$B$300,$B173)+SUMIFS('История'!$H$5:$H$300,'История'!$B$5:$B$300,$B173))</f>
        <v/>
      </c>
      <c r="I173" s="339">
        <f>IF($B173="","",IF(AND(C173="",F173=""),"",ROUND(SUMIFS('ИТОГО Торговля'!$I$5:$I$300,'ИТОГО Торговля'!$B$5:$B$300,$B173)+SUMIFS('ИТОГО Лэндинг'!$I$5:$I$300,'ИТОГО Лэндинг'!$B$5:$B$300,$B173)+SUMIFS('История'!$I$5:$I$300,'История'!$B$5:$B$300,$B173),8)))</f>
        <v/>
      </c>
      <c r="J173" s="340">
        <f>IF($B173="","",IF(AND(C173="",F173=""),"",ROUND(SUMIFS('ИТОГО Торговля'!$J$5:$J$300,'ИТОГО Торговля'!$B$5:$B$300,$B173)+SUMIFS('ИТОГО Лэндинг'!$J$5:$J$300,'ИТОГО Лэндинг'!$B$5:$B$300,$B173)+SUMIFS('История'!$J$5:$J$300,'История'!$B$5:$B$300,$B173),8)))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Лэндинг'!$B$5:$B$300,$B173)+SUMIFS('История'!$K$5:$K$300,'История'!$B$5:$B$300,$B173),8))</f>
        <v/>
      </c>
      <c r="L173" s="177">
        <f>IF(K173="","",IF(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&lt;=0,0,ROUND(K173/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*100,2)))</f>
        <v/>
      </c>
      <c r="M173" s="343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Лэндинг'!$B$5:$B$300,$B174)+SUMIFS('История'!$C$5:$C$300,'История'!$B$5:$B$300,$B174)=0,"",SUMIFS('ИТОГО Торговля'!$C$5:$C$300,'ИТОГО Торговля'!$B$5:$B$300,$B174)+SUMIFS('ИТОГО Лэндинг'!$C$5:$C$300,'ИТОГО Лэндинг'!$B$5:$B$300,$B174)+SUMIFS('История'!$C$5:$C$300,'История'!$B$5:$B$300,$B174)))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Лэндинг'!$B$5:$B$300,$B174)+SUMIFS('История'!$E$5:$E$300,'История'!$B$5:$B$300,$B174))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Лэндинг'!$B$5:$B$300,$B174)+SUMIFS('История'!$F$5:$F$300,'История'!$B$5:$B$300,$B174)=0,"",SUMIFS('ИТОГО Торговля'!$F$5:$F$300,'ИТОГО Торговля'!$B$5:$B$300,$B174)+SUMIFS('ИТОГО Лэндинг'!$F$5:$F$300,'ИТОГО Лэндинг'!$B$5:$B$300,$B174)+SUMIFS('История'!$F$5:$F$300,'История'!$B$5:$B$300,$B174)))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Лэндинг'!$B$5:$B$300,$B174)+SUMIFS('История'!$H$5:$H$300,'История'!$B$5:$B$300,$B174))</f>
        <v/>
      </c>
      <c r="I174" s="341">
        <f>IF($B174="","",IF(AND(C174="",F174=""),"",ROUND(SUMIFS('ИТОГО Торговля'!$I$5:$I$300,'ИТОГО Торговля'!$B$5:$B$300,$B174)+SUMIFS('ИТОГО Лэндинг'!$I$5:$I$300,'ИТОГО Лэндинг'!$B$5:$B$300,$B174)+SUMIFS('История'!$I$5:$I$300,'История'!$B$5:$B$300,$B174),8)))</f>
        <v/>
      </c>
      <c r="J174" s="342">
        <f>IF($B174="","",IF(AND(C174="",F174=""),"",ROUND(SUMIFS('ИТОГО Торговля'!$J$5:$J$300,'ИТОГО Торговля'!$B$5:$B$300,$B174)+SUMIFS('ИТОГО Лэндинг'!$J$5:$J$300,'ИТОГО Лэндинг'!$B$5:$B$300,$B174)+SUMIFS('История'!$J$5:$J$300,'История'!$B$5:$B$300,$B174),8)))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Лэндинг'!$B$5:$B$300,$B174)+SUMIFS('История'!$K$5:$K$300,'История'!$B$5:$B$300,$B174),8))</f>
        <v/>
      </c>
      <c r="L174" s="183">
        <f>IF(K174="","",IF(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&lt;=0,0,ROUND(K174/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*100,2)))</f>
        <v/>
      </c>
      <c r="M174" s="344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Лэндинг'!$B$5:$B$300,$B175)+SUMIFS('История'!$C$5:$C$300,'История'!$B$5:$B$300,$B175)=0,"",SUMIFS('ИТОГО Торговля'!$C$5:$C$300,'ИТОГО Торговля'!$B$5:$B$300,$B175)+SUMIFS('ИТОГО Лэндинг'!$C$5:$C$300,'ИТОГО Лэндинг'!$B$5:$B$300,$B175)+SUMIFS('История'!$C$5:$C$300,'История'!$B$5:$B$300,$B175)))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Лэндинг'!$B$5:$B$300,$B175)+SUMIFS('История'!$E$5:$E$300,'История'!$B$5:$B$300,$B175))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Лэндинг'!$B$5:$B$300,$B175)+SUMIFS('История'!$F$5:$F$300,'История'!$B$5:$B$300,$B175)=0,"",SUMIFS('ИТОГО Торговля'!$F$5:$F$300,'ИТОГО Торговля'!$B$5:$B$300,$B175)+SUMIFS('ИТОГО Лэндинг'!$F$5:$F$300,'ИТОГО Лэндинг'!$B$5:$B$300,$B175)+SUMIFS('История'!$F$5:$F$300,'История'!$B$5:$B$300,$B175)))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Лэндинг'!$B$5:$B$300,$B175)+SUMIFS('История'!$H$5:$H$300,'История'!$B$5:$B$300,$B175))</f>
        <v/>
      </c>
      <c r="I175" s="339">
        <f>IF($B175="","",IF(AND(C175="",F175=""),"",ROUND(SUMIFS('ИТОГО Торговля'!$I$5:$I$300,'ИТОГО Торговля'!$B$5:$B$300,$B175)+SUMIFS('ИТОГО Лэндинг'!$I$5:$I$300,'ИТОГО Лэндинг'!$B$5:$B$300,$B175)+SUMIFS('История'!$I$5:$I$300,'История'!$B$5:$B$300,$B175),8)))</f>
        <v/>
      </c>
      <c r="J175" s="340">
        <f>IF($B175="","",IF(AND(C175="",F175=""),"",ROUND(SUMIFS('ИТОГО Торговля'!$J$5:$J$300,'ИТОГО Торговля'!$B$5:$B$300,$B175)+SUMIFS('ИТОГО Лэндинг'!$J$5:$J$300,'ИТОГО Лэндинг'!$B$5:$B$300,$B175)+SUMIFS('История'!$J$5:$J$300,'История'!$B$5:$B$300,$B175),8)))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Лэндинг'!$B$5:$B$300,$B175)+SUMIFS('История'!$K$5:$K$300,'История'!$B$5:$B$300,$B175),8))</f>
        <v/>
      </c>
      <c r="L175" s="177">
        <f>IF(K175="","",IF(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&lt;=0,0,ROUND(K175/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*100,2)))</f>
        <v/>
      </c>
      <c r="M175" s="343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Лэндинг'!$B$5:$B$300,$B176)+SUMIFS('История'!$C$5:$C$300,'История'!$B$5:$B$300,$B176)=0,"",SUMIFS('ИТОГО Торговля'!$C$5:$C$300,'ИТОГО Торговля'!$B$5:$B$300,$B176)+SUMIFS('ИТОГО Лэндинг'!$C$5:$C$300,'ИТОГО Лэндинг'!$B$5:$B$300,$B176)+SUMIFS('История'!$C$5:$C$300,'История'!$B$5:$B$300,$B176)))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Лэндинг'!$B$5:$B$300,$B176)+SUMIFS('История'!$E$5:$E$300,'История'!$B$5:$B$300,$B176))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Лэндинг'!$B$5:$B$300,$B176)+SUMIFS('История'!$F$5:$F$300,'История'!$B$5:$B$300,$B176)=0,"",SUMIFS('ИТОГО Торговля'!$F$5:$F$300,'ИТОГО Торговля'!$B$5:$B$300,$B176)+SUMIFS('ИТОГО Лэндинг'!$F$5:$F$300,'ИТОГО Лэндинг'!$B$5:$B$300,$B176)+SUMIFS('История'!$F$5:$F$300,'История'!$B$5:$B$300,$B176)))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Лэндинг'!$B$5:$B$300,$B176)+SUMIFS('История'!$H$5:$H$300,'История'!$B$5:$B$300,$B176))</f>
        <v/>
      </c>
      <c r="I176" s="341">
        <f>IF($B176="","",IF(AND(C176="",F176=""),"",ROUND(SUMIFS('ИТОГО Торговля'!$I$5:$I$300,'ИТОГО Торговля'!$B$5:$B$300,$B176)+SUMIFS('ИТОГО Лэндинг'!$I$5:$I$300,'ИТОГО Лэндинг'!$B$5:$B$300,$B176)+SUMIFS('История'!$I$5:$I$300,'История'!$B$5:$B$300,$B176),8)))</f>
        <v/>
      </c>
      <c r="J176" s="342">
        <f>IF($B176="","",IF(AND(C176="",F176=""),"",ROUND(SUMIFS('ИТОГО Торговля'!$J$5:$J$300,'ИТОГО Торговля'!$B$5:$B$300,$B176)+SUMIFS('ИТОГО Лэндинг'!$J$5:$J$300,'ИТОГО Лэндинг'!$B$5:$B$300,$B176)+SUMIFS('История'!$J$5:$J$300,'История'!$B$5:$B$300,$B176),8)))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Лэндинг'!$B$5:$B$300,$B176)+SUMIFS('История'!$K$5:$K$300,'История'!$B$5:$B$300,$B176),8))</f>
        <v/>
      </c>
      <c r="L176" s="183">
        <f>IF(K176="","",IF(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&lt;=0,0,ROUND(K176/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*100,2)))</f>
        <v/>
      </c>
      <c r="M176" s="344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Лэндинг'!$B$5:$B$300,$B177)+SUMIFS('История'!$C$5:$C$300,'История'!$B$5:$B$300,$B177)=0,"",SUMIFS('ИТОГО Торговля'!$C$5:$C$300,'ИТОГО Торговля'!$B$5:$B$300,$B177)+SUMIFS('ИТОГО Лэндинг'!$C$5:$C$300,'ИТОГО Лэндинг'!$B$5:$B$300,$B177)+SUMIFS('История'!$C$5:$C$300,'История'!$B$5:$B$300,$B177)))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Лэндинг'!$B$5:$B$300,$B177)+SUMIFS('История'!$E$5:$E$300,'История'!$B$5:$B$300,$B177))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Лэндинг'!$B$5:$B$300,$B177)+SUMIFS('История'!$F$5:$F$300,'История'!$B$5:$B$300,$B177)=0,"",SUMIFS('ИТОГО Торговля'!$F$5:$F$300,'ИТОГО Торговля'!$B$5:$B$300,$B177)+SUMIFS('ИТОГО Лэндинг'!$F$5:$F$300,'ИТОГО Лэндинг'!$B$5:$B$300,$B177)+SUMIFS('История'!$F$5:$F$300,'История'!$B$5:$B$300,$B177)))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Лэндинг'!$B$5:$B$300,$B177)+SUMIFS('История'!$H$5:$H$300,'История'!$B$5:$B$300,$B177))</f>
        <v/>
      </c>
      <c r="I177" s="339">
        <f>IF($B177="","",IF(AND(C177="",F177=""),"",ROUND(SUMIFS('ИТОГО Торговля'!$I$5:$I$300,'ИТОГО Торговля'!$B$5:$B$300,$B177)+SUMIFS('ИТОГО Лэндинг'!$I$5:$I$300,'ИТОГО Лэндинг'!$B$5:$B$300,$B177)+SUMIFS('История'!$I$5:$I$300,'История'!$B$5:$B$300,$B177),8)))</f>
        <v/>
      </c>
      <c r="J177" s="340">
        <f>IF($B177="","",IF(AND(C177="",F177=""),"",ROUND(SUMIFS('ИТОГО Торговля'!$J$5:$J$300,'ИТОГО Торговля'!$B$5:$B$300,$B177)+SUMIFS('ИТОГО Лэндинг'!$J$5:$J$300,'ИТОГО Лэндинг'!$B$5:$B$300,$B177)+SUMIFS('История'!$J$5:$J$300,'История'!$B$5:$B$300,$B177),8)))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Лэндинг'!$B$5:$B$300,$B177)+SUMIFS('История'!$K$5:$K$300,'История'!$B$5:$B$300,$B177),8))</f>
        <v/>
      </c>
      <c r="L177" s="177">
        <f>IF(K177="","",IF(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&lt;=0,0,ROUND(K177/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*100,2)))</f>
        <v/>
      </c>
      <c r="M177" s="343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Лэндинг'!$B$5:$B$300,$B178)+SUMIFS('История'!$C$5:$C$300,'История'!$B$5:$B$300,$B178)=0,"",SUMIFS('ИТОГО Торговля'!$C$5:$C$300,'ИТОГО Торговля'!$B$5:$B$300,$B178)+SUMIFS('ИТОГО Лэндинг'!$C$5:$C$300,'ИТОГО Лэндинг'!$B$5:$B$300,$B178)+SUMIFS('История'!$C$5:$C$300,'История'!$B$5:$B$300,$B178)))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Лэндинг'!$B$5:$B$300,$B178)+SUMIFS('История'!$E$5:$E$300,'История'!$B$5:$B$300,$B178))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Лэндинг'!$B$5:$B$300,$B178)+SUMIFS('История'!$F$5:$F$300,'История'!$B$5:$B$300,$B178)=0,"",SUMIFS('ИТОГО Торговля'!$F$5:$F$300,'ИТОГО Торговля'!$B$5:$B$300,$B178)+SUMIFS('ИТОГО Лэндинг'!$F$5:$F$300,'ИТОГО Лэндинг'!$B$5:$B$300,$B178)+SUMIFS('История'!$F$5:$F$300,'История'!$B$5:$B$300,$B178)))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Лэндинг'!$B$5:$B$300,$B178)+SUMIFS('История'!$H$5:$H$300,'История'!$B$5:$B$300,$B178))</f>
        <v/>
      </c>
      <c r="I178" s="341">
        <f>IF($B178="","",IF(AND(C178="",F178=""),"",ROUND(SUMIFS('ИТОГО Торговля'!$I$5:$I$300,'ИТОГО Торговля'!$B$5:$B$300,$B178)+SUMIFS('ИТОГО Лэндинг'!$I$5:$I$300,'ИТОГО Лэндинг'!$B$5:$B$300,$B178)+SUMIFS('История'!$I$5:$I$300,'История'!$B$5:$B$300,$B178),8)))</f>
        <v/>
      </c>
      <c r="J178" s="342">
        <f>IF($B178="","",IF(AND(C178="",F178=""),"",ROUND(SUMIFS('ИТОГО Торговля'!$J$5:$J$300,'ИТОГО Торговля'!$B$5:$B$300,$B178)+SUMIFS('ИТОГО Лэндинг'!$J$5:$J$300,'ИТОГО Лэндинг'!$B$5:$B$300,$B178)+SUMIFS('История'!$J$5:$J$300,'История'!$B$5:$B$300,$B178),8)))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Лэндинг'!$B$5:$B$300,$B178)+SUMIFS('История'!$K$5:$K$300,'История'!$B$5:$B$300,$B178),8))</f>
        <v/>
      </c>
      <c r="L178" s="183">
        <f>IF(K178="","",IF(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&lt;=0,0,ROUND(K178/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*100,2)))</f>
        <v/>
      </c>
      <c r="M178" s="344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Лэндинг'!$B$5:$B$300,$B179)+SUMIFS('История'!$C$5:$C$300,'История'!$B$5:$B$300,$B179)=0,"",SUMIFS('ИТОГО Торговля'!$C$5:$C$300,'ИТОГО Торговля'!$B$5:$B$300,$B179)+SUMIFS('ИТОГО Лэндинг'!$C$5:$C$300,'ИТОГО Лэндинг'!$B$5:$B$300,$B179)+SUMIFS('История'!$C$5:$C$300,'История'!$B$5:$B$300,$B179)))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Лэндинг'!$B$5:$B$300,$B179)+SUMIFS('История'!$E$5:$E$300,'История'!$B$5:$B$300,$B179))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Лэндинг'!$B$5:$B$300,$B179)+SUMIFS('История'!$F$5:$F$300,'История'!$B$5:$B$300,$B179)=0,"",SUMIFS('ИТОГО Торговля'!$F$5:$F$300,'ИТОГО Торговля'!$B$5:$B$300,$B179)+SUMIFS('ИТОГО Лэндинг'!$F$5:$F$300,'ИТОГО Лэндинг'!$B$5:$B$300,$B179)+SUMIFS('История'!$F$5:$F$300,'История'!$B$5:$B$300,$B179)))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Лэндинг'!$B$5:$B$300,$B179)+SUMIFS('История'!$H$5:$H$300,'История'!$B$5:$B$300,$B179))</f>
        <v/>
      </c>
      <c r="I179" s="339">
        <f>IF($B179="","",IF(AND(C179="",F179=""),"",ROUND(SUMIFS('ИТОГО Торговля'!$I$5:$I$300,'ИТОГО Торговля'!$B$5:$B$300,$B179)+SUMIFS('ИТОГО Лэндинг'!$I$5:$I$300,'ИТОГО Лэндинг'!$B$5:$B$300,$B179)+SUMIFS('История'!$I$5:$I$300,'История'!$B$5:$B$300,$B179),8)))</f>
        <v/>
      </c>
      <c r="J179" s="340">
        <f>IF($B179="","",IF(AND(C179="",F179=""),"",ROUND(SUMIFS('ИТОГО Торговля'!$J$5:$J$300,'ИТОГО Торговля'!$B$5:$B$300,$B179)+SUMIFS('ИТОГО Лэндинг'!$J$5:$J$300,'ИТОГО Лэндинг'!$B$5:$B$300,$B179)+SUMIFS('История'!$J$5:$J$300,'История'!$B$5:$B$300,$B179),8)))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Лэндинг'!$B$5:$B$300,$B179)+SUMIFS('История'!$K$5:$K$300,'История'!$B$5:$B$300,$B179),8))</f>
        <v/>
      </c>
      <c r="L179" s="177">
        <f>IF(K179="","",IF(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&lt;=0,0,ROUND(K179/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*100,2)))</f>
        <v/>
      </c>
      <c r="M179" s="343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Лэндинг'!$B$5:$B$300,$B180)+SUMIFS('История'!$C$5:$C$300,'История'!$B$5:$B$300,$B180)=0,"",SUMIFS('ИТОГО Торговля'!$C$5:$C$300,'ИТОГО Торговля'!$B$5:$B$300,$B180)+SUMIFS('ИТОГО Лэндинг'!$C$5:$C$300,'ИТОГО Лэндинг'!$B$5:$B$300,$B180)+SUMIFS('История'!$C$5:$C$300,'История'!$B$5:$B$300,$B180)))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Лэндинг'!$B$5:$B$300,$B180)+SUMIFS('История'!$E$5:$E$300,'История'!$B$5:$B$300,$B180))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Лэндинг'!$B$5:$B$300,$B180)+SUMIFS('История'!$F$5:$F$300,'История'!$B$5:$B$300,$B180)=0,"",SUMIFS('ИТОГО Торговля'!$F$5:$F$300,'ИТОГО Торговля'!$B$5:$B$300,$B180)+SUMIFS('ИТОГО Лэндинг'!$F$5:$F$300,'ИТОГО Лэндинг'!$B$5:$B$300,$B180)+SUMIFS('История'!$F$5:$F$300,'История'!$B$5:$B$300,$B180)))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Лэндинг'!$B$5:$B$300,$B180)+SUMIFS('История'!$H$5:$H$300,'История'!$B$5:$B$300,$B180))</f>
        <v/>
      </c>
      <c r="I180" s="341">
        <f>IF($B180="","",IF(AND(C180="",F180=""),"",ROUND(SUMIFS('ИТОГО Торговля'!$I$5:$I$300,'ИТОГО Торговля'!$B$5:$B$300,$B180)+SUMIFS('ИТОГО Лэндинг'!$I$5:$I$300,'ИТОГО Лэндинг'!$B$5:$B$300,$B180)+SUMIFS('История'!$I$5:$I$300,'История'!$B$5:$B$300,$B180),8)))</f>
        <v/>
      </c>
      <c r="J180" s="342">
        <f>IF($B180="","",IF(AND(C180="",F180=""),"",ROUND(SUMIFS('ИТОГО Торговля'!$J$5:$J$300,'ИТОГО Торговля'!$B$5:$B$300,$B180)+SUMIFS('ИТОГО Лэндинг'!$J$5:$J$300,'ИТОГО Лэндинг'!$B$5:$B$300,$B180)+SUMIFS('История'!$J$5:$J$300,'История'!$B$5:$B$300,$B180),8)))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Лэндинг'!$B$5:$B$300,$B180)+SUMIFS('История'!$K$5:$K$300,'История'!$B$5:$B$300,$B180),8))</f>
        <v/>
      </c>
      <c r="L180" s="183">
        <f>IF(K180="","",IF(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&lt;=0,0,ROUND(K180/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*100,2)))</f>
        <v/>
      </c>
      <c r="M180" s="344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Лэндинг'!$B$5:$B$300,$B181)+SUMIFS('История'!$C$5:$C$300,'История'!$B$5:$B$300,$B181)=0,"",SUMIFS('ИТОГО Торговля'!$C$5:$C$300,'ИТОГО Торговля'!$B$5:$B$300,$B181)+SUMIFS('ИТОГО Лэндинг'!$C$5:$C$300,'ИТОГО Лэндинг'!$B$5:$B$300,$B181)+SUMIFS('История'!$C$5:$C$300,'История'!$B$5:$B$300,$B181)))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Лэндинг'!$B$5:$B$300,$B181)+SUMIFS('История'!$E$5:$E$300,'История'!$B$5:$B$300,$B181))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Лэндинг'!$B$5:$B$300,$B181)+SUMIFS('История'!$F$5:$F$300,'История'!$B$5:$B$300,$B181)=0,"",SUMIFS('ИТОГО Торговля'!$F$5:$F$300,'ИТОГО Торговля'!$B$5:$B$300,$B181)+SUMIFS('ИТОГО Лэндинг'!$F$5:$F$300,'ИТОГО Лэндинг'!$B$5:$B$300,$B181)+SUMIFS('История'!$F$5:$F$300,'История'!$B$5:$B$300,$B181)))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Лэндинг'!$B$5:$B$300,$B181)+SUMIFS('История'!$H$5:$H$300,'История'!$B$5:$B$300,$B181))</f>
        <v/>
      </c>
      <c r="I181" s="339">
        <f>IF($B181="","",IF(AND(C181="",F181=""),"",ROUND(SUMIFS('ИТОГО Торговля'!$I$5:$I$300,'ИТОГО Торговля'!$B$5:$B$300,$B181)+SUMIFS('ИТОГО Лэндинг'!$I$5:$I$300,'ИТОГО Лэндинг'!$B$5:$B$300,$B181)+SUMIFS('История'!$I$5:$I$300,'История'!$B$5:$B$300,$B181),8)))</f>
        <v/>
      </c>
      <c r="J181" s="340">
        <f>IF($B181="","",IF(AND(C181="",F181=""),"",ROUND(SUMIFS('ИТОГО Торговля'!$J$5:$J$300,'ИТОГО Торговля'!$B$5:$B$300,$B181)+SUMIFS('ИТОГО Лэндинг'!$J$5:$J$300,'ИТОГО Лэндинг'!$B$5:$B$300,$B181)+SUMIFS('История'!$J$5:$J$300,'История'!$B$5:$B$300,$B181),8)))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Лэндинг'!$B$5:$B$300,$B181)+SUMIFS('История'!$K$5:$K$300,'История'!$B$5:$B$300,$B181),8))</f>
        <v/>
      </c>
      <c r="L181" s="177">
        <f>IF(K181="","",IF(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&lt;=0,0,ROUND(K181/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*100,2)))</f>
        <v/>
      </c>
      <c r="M181" s="343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Лэндинг'!$B$5:$B$300,$B182)+SUMIFS('История'!$C$5:$C$300,'История'!$B$5:$B$300,$B182)=0,"",SUMIFS('ИТОГО Торговля'!$C$5:$C$300,'ИТОГО Торговля'!$B$5:$B$300,$B182)+SUMIFS('ИТОГО Лэндинг'!$C$5:$C$300,'ИТОГО Лэндинг'!$B$5:$B$300,$B182)+SUMIFS('История'!$C$5:$C$300,'История'!$B$5:$B$300,$B182)))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Лэндинг'!$B$5:$B$300,$B182)+SUMIFS('История'!$E$5:$E$300,'История'!$B$5:$B$300,$B182))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Лэндинг'!$B$5:$B$300,$B182)+SUMIFS('История'!$F$5:$F$300,'История'!$B$5:$B$300,$B182)=0,"",SUMIFS('ИТОГО Торговля'!$F$5:$F$300,'ИТОГО Торговля'!$B$5:$B$300,$B182)+SUMIFS('ИТОГО Лэндинг'!$F$5:$F$300,'ИТОГО Лэндинг'!$B$5:$B$300,$B182)+SUMIFS('История'!$F$5:$F$300,'История'!$B$5:$B$300,$B182)))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Лэндинг'!$B$5:$B$300,$B182)+SUMIFS('История'!$H$5:$H$300,'История'!$B$5:$B$300,$B182))</f>
        <v/>
      </c>
      <c r="I182" s="341">
        <f>IF($B182="","",IF(AND(C182="",F182=""),"",ROUND(SUMIFS('ИТОГО Торговля'!$I$5:$I$300,'ИТОГО Торговля'!$B$5:$B$300,$B182)+SUMIFS('ИТОГО Лэндинг'!$I$5:$I$300,'ИТОГО Лэндинг'!$B$5:$B$300,$B182)+SUMIFS('История'!$I$5:$I$300,'История'!$B$5:$B$300,$B182),8)))</f>
        <v/>
      </c>
      <c r="J182" s="342">
        <f>IF($B182="","",IF(AND(C182="",F182=""),"",ROUND(SUMIFS('ИТОГО Торговля'!$J$5:$J$300,'ИТОГО Торговля'!$B$5:$B$300,$B182)+SUMIFS('ИТОГО Лэндинг'!$J$5:$J$300,'ИТОГО Лэндинг'!$B$5:$B$300,$B182)+SUMIFS('История'!$J$5:$J$300,'История'!$B$5:$B$300,$B182),8)))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Лэндинг'!$B$5:$B$300,$B182)+SUMIFS('История'!$K$5:$K$300,'История'!$B$5:$B$300,$B182),8))</f>
        <v/>
      </c>
      <c r="L182" s="183">
        <f>IF(K182="","",IF(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&lt;=0,0,ROUND(K182/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*100,2)))</f>
        <v/>
      </c>
      <c r="M182" s="344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Лэндинг'!$B$5:$B$300,$B183)+SUMIFS('История'!$C$5:$C$300,'История'!$B$5:$B$300,$B183)=0,"",SUMIFS('ИТОГО Торговля'!$C$5:$C$300,'ИТОГО Торговля'!$B$5:$B$300,$B183)+SUMIFS('ИТОГО Лэндинг'!$C$5:$C$300,'ИТОГО Лэндинг'!$B$5:$B$300,$B183)+SUMIFS('История'!$C$5:$C$300,'История'!$B$5:$B$300,$B183)))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Лэндинг'!$B$5:$B$300,$B183)+SUMIFS('История'!$E$5:$E$300,'История'!$B$5:$B$300,$B183))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Лэндинг'!$B$5:$B$300,$B183)+SUMIFS('История'!$F$5:$F$300,'История'!$B$5:$B$300,$B183)=0,"",SUMIFS('ИТОГО Торговля'!$F$5:$F$300,'ИТОГО Торговля'!$B$5:$B$300,$B183)+SUMIFS('ИТОГО Лэндинг'!$F$5:$F$300,'ИТОГО Лэндинг'!$B$5:$B$300,$B183)+SUMIFS('История'!$F$5:$F$300,'История'!$B$5:$B$300,$B183)))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Лэндинг'!$B$5:$B$300,$B183)+SUMIFS('История'!$H$5:$H$300,'История'!$B$5:$B$300,$B183))</f>
        <v/>
      </c>
      <c r="I183" s="339">
        <f>IF($B183="","",IF(AND(C183="",F183=""),"",ROUND(SUMIFS('ИТОГО Торговля'!$I$5:$I$300,'ИТОГО Торговля'!$B$5:$B$300,$B183)+SUMIFS('ИТОГО Лэндинг'!$I$5:$I$300,'ИТОГО Лэндинг'!$B$5:$B$300,$B183)+SUMIFS('История'!$I$5:$I$300,'История'!$B$5:$B$300,$B183),8)))</f>
        <v/>
      </c>
      <c r="J183" s="340">
        <f>IF($B183="","",IF(AND(C183="",F183=""),"",ROUND(SUMIFS('ИТОГО Торговля'!$J$5:$J$300,'ИТОГО Торговля'!$B$5:$B$300,$B183)+SUMIFS('ИТОГО Лэндинг'!$J$5:$J$300,'ИТОГО Лэндинг'!$B$5:$B$300,$B183)+SUMIFS('История'!$J$5:$J$300,'История'!$B$5:$B$300,$B183),8)))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Лэндинг'!$B$5:$B$300,$B183)+SUMIFS('История'!$K$5:$K$300,'История'!$B$5:$B$300,$B183),8))</f>
        <v/>
      </c>
      <c r="L183" s="177">
        <f>IF(K183="","",IF(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&lt;=0,0,ROUND(K183/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*100,2)))</f>
        <v/>
      </c>
      <c r="M183" s="343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Лэндинг'!$B$5:$B$300,$B184)+SUMIFS('История'!$C$5:$C$300,'История'!$B$5:$B$300,$B184)=0,"",SUMIFS('ИТОГО Торговля'!$C$5:$C$300,'ИТОГО Торговля'!$B$5:$B$300,$B184)+SUMIFS('ИТОГО Лэндинг'!$C$5:$C$300,'ИТОГО Лэндинг'!$B$5:$B$300,$B184)+SUMIFS('История'!$C$5:$C$300,'История'!$B$5:$B$300,$B184)))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Лэндинг'!$B$5:$B$300,$B184)+SUMIFS('История'!$E$5:$E$300,'История'!$B$5:$B$300,$B184))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Лэндинг'!$B$5:$B$300,$B184)+SUMIFS('История'!$F$5:$F$300,'История'!$B$5:$B$300,$B184)=0,"",SUMIFS('ИТОГО Торговля'!$F$5:$F$300,'ИТОГО Торговля'!$B$5:$B$300,$B184)+SUMIFS('ИТОГО Лэндинг'!$F$5:$F$300,'ИТОГО Лэндинг'!$B$5:$B$300,$B184)+SUMIFS('История'!$F$5:$F$300,'История'!$B$5:$B$300,$B184)))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Лэндинг'!$B$5:$B$300,$B184)+SUMIFS('История'!$H$5:$H$300,'История'!$B$5:$B$300,$B184))</f>
        <v/>
      </c>
      <c r="I184" s="341">
        <f>IF($B184="","",IF(AND(C184="",F184=""),"",ROUND(SUMIFS('ИТОГО Торговля'!$I$5:$I$300,'ИТОГО Торговля'!$B$5:$B$300,$B184)+SUMIFS('ИТОГО Лэндинг'!$I$5:$I$300,'ИТОГО Лэндинг'!$B$5:$B$300,$B184)+SUMIFS('История'!$I$5:$I$300,'История'!$B$5:$B$300,$B184),8)))</f>
        <v/>
      </c>
      <c r="J184" s="342">
        <f>IF($B184="","",IF(AND(C184="",F184=""),"",ROUND(SUMIFS('ИТОГО Торговля'!$J$5:$J$300,'ИТОГО Торговля'!$B$5:$B$300,$B184)+SUMIFS('ИТОГО Лэндинг'!$J$5:$J$300,'ИТОГО Лэндинг'!$B$5:$B$300,$B184)+SUMIFS('История'!$J$5:$J$300,'История'!$B$5:$B$300,$B184),8)))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Лэндинг'!$B$5:$B$300,$B184)+SUMIFS('История'!$K$5:$K$300,'История'!$B$5:$B$300,$B184),8))</f>
        <v/>
      </c>
      <c r="L184" s="183">
        <f>IF(K184="","",IF(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&lt;=0,0,ROUND(K184/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*100,2)))</f>
        <v/>
      </c>
      <c r="M184" s="344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Лэндинг'!$B$5:$B$300,$B185)+SUMIFS('История'!$C$5:$C$300,'История'!$B$5:$B$300,$B185)=0,"",SUMIFS('ИТОГО Торговля'!$C$5:$C$300,'ИТОГО Торговля'!$B$5:$B$300,$B185)+SUMIFS('ИТОГО Лэндинг'!$C$5:$C$300,'ИТОГО Лэндинг'!$B$5:$B$300,$B185)+SUMIFS('История'!$C$5:$C$300,'История'!$B$5:$B$300,$B185)))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Лэндинг'!$B$5:$B$300,$B185)+SUMIFS('История'!$E$5:$E$300,'История'!$B$5:$B$300,$B185))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Лэндинг'!$B$5:$B$300,$B185)+SUMIFS('История'!$F$5:$F$300,'История'!$B$5:$B$300,$B185)=0,"",SUMIFS('ИТОГО Торговля'!$F$5:$F$300,'ИТОГО Торговля'!$B$5:$B$300,$B185)+SUMIFS('ИТОГО Лэндинг'!$F$5:$F$300,'ИТОГО Лэндинг'!$B$5:$B$300,$B185)+SUMIFS('История'!$F$5:$F$300,'История'!$B$5:$B$300,$B185)))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Лэндинг'!$B$5:$B$300,$B185)+SUMIFS('История'!$H$5:$H$300,'История'!$B$5:$B$300,$B185))</f>
        <v/>
      </c>
      <c r="I185" s="339">
        <f>IF($B185="","",IF(AND(C185="",F185=""),"",ROUND(SUMIFS('ИТОГО Торговля'!$I$5:$I$300,'ИТОГО Торговля'!$B$5:$B$300,$B185)+SUMIFS('ИТОГО Лэндинг'!$I$5:$I$300,'ИТОГО Лэндинг'!$B$5:$B$300,$B185)+SUMIFS('История'!$I$5:$I$300,'История'!$B$5:$B$300,$B185),8)))</f>
        <v/>
      </c>
      <c r="J185" s="340">
        <f>IF($B185="","",IF(AND(C185="",F185=""),"",ROUND(SUMIFS('ИТОГО Торговля'!$J$5:$J$300,'ИТОГО Торговля'!$B$5:$B$300,$B185)+SUMIFS('ИТОГО Лэндинг'!$J$5:$J$300,'ИТОГО Лэндинг'!$B$5:$B$300,$B185)+SUMIFS('История'!$J$5:$J$300,'История'!$B$5:$B$300,$B185),8)))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Лэндинг'!$B$5:$B$300,$B185)+SUMIFS('История'!$K$5:$K$300,'История'!$B$5:$B$300,$B185),8))</f>
        <v/>
      </c>
      <c r="L185" s="177">
        <f>IF(K185="","",IF(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&lt;=0,0,ROUND(K185/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*100,2)))</f>
        <v/>
      </c>
      <c r="M185" s="343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Лэндинг'!$B$5:$B$300,$B186)+SUMIFS('История'!$C$5:$C$300,'История'!$B$5:$B$300,$B186)=0,"",SUMIFS('ИТОГО Торговля'!$C$5:$C$300,'ИТОГО Торговля'!$B$5:$B$300,$B186)+SUMIFS('ИТОГО Лэндинг'!$C$5:$C$300,'ИТОГО Лэндинг'!$B$5:$B$300,$B186)+SUMIFS('История'!$C$5:$C$300,'История'!$B$5:$B$300,$B186)))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Лэндинг'!$B$5:$B$300,$B186)+SUMIFS('История'!$E$5:$E$300,'История'!$B$5:$B$300,$B186))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Лэндинг'!$B$5:$B$300,$B186)+SUMIFS('История'!$F$5:$F$300,'История'!$B$5:$B$300,$B186)=0,"",SUMIFS('ИТОГО Торговля'!$F$5:$F$300,'ИТОГО Торговля'!$B$5:$B$300,$B186)+SUMIFS('ИТОГО Лэндинг'!$F$5:$F$300,'ИТОГО Лэндинг'!$B$5:$B$300,$B186)+SUMIFS('История'!$F$5:$F$300,'История'!$B$5:$B$300,$B186)))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Лэндинг'!$B$5:$B$300,$B186)+SUMIFS('История'!$H$5:$H$300,'История'!$B$5:$B$300,$B186))</f>
        <v/>
      </c>
      <c r="I186" s="341">
        <f>IF($B186="","",IF(AND(C186="",F186=""),"",ROUND(SUMIFS('ИТОГО Торговля'!$I$5:$I$300,'ИТОГО Торговля'!$B$5:$B$300,$B186)+SUMIFS('ИТОГО Лэндинг'!$I$5:$I$300,'ИТОГО Лэндинг'!$B$5:$B$300,$B186)+SUMIFS('История'!$I$5:$I$300,'История'!$B$5:$B$300,$B186),8)))</f>
        <v/>
      </c>
      <c r="J186" s="342">
        <f>IF($B186="","",IF(AND(C186="",F186=""),"",ROUND(SUMIFS('ИТОГО Торговля'!$J$5:$J$300,'ИТОГО Торговля'!$B$5:$B$300,$B186)+SUMIFS('ИТОГО Лэндинг'!$J$5:$J$300,'ИТОГО Лэндинг'!$B$5:$B$300,$B186)+SUMIFS('История'!$J$5:$J$300,'История'!$B$5:$B$300,$B186),8)))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Лэндинг'!$B$5:$B$300,$B186)+SUMIFS('История'!$K$5:$K$300,'История'!$B$5:$B$300,$B186),8))</f>
        <v/>
      </c>
      <c r="L186" s="183">
        <f>IF(K186="","",IF(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&lt;=0,0,ROUND(K186/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*100,2)))</f>
        <v/>
      </c>
      <c r="M186" s="344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Лэндинг'!$B$5:$B$300,$B187)+SUMIFS('История'!$C$5:$C$300,'История'!$B$5:$B$300,$B187)=0,"",SUMIFS('ИТОГО Торговля'!$C$5:$C$300,'ИТОГО Торговля'!$B$5:$B$300,$B187)+SUMIFS('ИТОГО Лэндинг'!$C$5:$C$300,'ИТОГО Лэндинг'!$B$5:$B$300,$B187)+SUMIFS('История'!$C$5:$C$300,'История'!$B$5:$B$300,$B187)))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Лэндинг'!$B$5:$B$300,$B187)+SUMIFS('История'!$E$5:$E$300,'История'!$B$5:$B$300,$B187))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Лэндинг'!$B$5:$B$300,$B187)+SUMIFS('История'!$F$5:$F$300,'История'!$B$5:$B$300,$B187)=0,"",SUMIFS('ИТОГО Торговля'!$F$5:$F$300,'ИТОГО Торговля'!$B$5:$B$300,$B187)+SUMIFS('ИТОГО Лэндинг'!$F$5:$F$300,'ИТОГО Лэндинг'!$B$5:$B$300,$B187)+SUMIFS('История'!$F$5:$F$300,'История'!$B$5:$B$300,$B187)))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Лэндинг'!$B$5:$B$300,$B187)+SUMIFS('История'!$H$5:$H$300,'История'!$B$5:$B$300,$B187))</f>
        <v/>
      </c>
      <c r="I187" s="339">
        <f>IF($B187="","",IF(AND(C187="",F187=""),"",ROUND(SUMIFS('ИТОГО Торговля'!$I$5:$I$300,'ИТОГО Торговля'!$B$5:$B$300,$B187)+SUMIFS('ИТОГО Лэндинг'!$I$5:$I$300,'ИТОГО Лэндинг'!$B$5:$B$300,$B187)+SUMIFS('История'!$I$5:$I$300,'История'!$B$5:$B$300,$B187),8)))</f>
        <v/>
      </c>
      <c r="J187" s="340">
        <f>IF($B187="","",IF(AND(C187="",F187=""),"",ROUND(SUMIFS('ИТОГО Торговля'!$J$5:$J$300,'ИТОГО Торговля'!$B$5:$B$300,$B187)+SUMIFS('ИТОГО Лэндинг'!$J$5:$J$300,'ИТОГО Лэндинг'!$B$5:$B$300,$B187)+SUMIFS('История'!$J$5:$J$300,'История'!$B$5:$B$300,$B187),8)))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Лэндинг'!$B$5:$B$300,$B187)+SUMIFS('История'!$K$5:$K$300,'История'!$B$5:$B$300,$B187),8))</f>
        <v/>
      </c>
      <c r="L187" s="177">
        <f>IF(K187="","",IF(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&lt;=0,0,ROUND(K187/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*100,2)))</f>
        <v/>
      </c>
      <c r="M187" s="343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Лэндинг'!$B$5:$B$300,$B188)+SUMIFS('История'!$C$5:$C$300,'История'!$B$5:$B$300,$B188)=0,"",SUMIFS('ИТОГО Торговля'!$C$5:$C$300,'ИТОГО Торговля'!$B$5:$B$300,$B188)+SUMIFS('ИТОГО Лэндинг'!$C$5:$C$300,'ИТОГО Лэндинг'!$B$5:$B$300,$B188)+SUMIFS('История'!$C$5:$C$300,'История'!$B$5:$B$300,$B188)))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Лэндинг'!$B$5:$B$300,$B188)+SUMIFS('История'!$E$5:$E$300,'История'!$B$5:$B$300,$B188))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Лэндинг'!$B$5:$B$300,$B188)+SUMIFS('История'!$F$5:$F$300,'История'!$B$5:$B$300,$B188)=0,"",SUMIFS('ИТОГО Торговля'!$F$5:$F$300,'ИТОГО Торговля'!$B$5:$B$300,$B188)+SUMIFS('ИТОГО Лэндинг'!$F$5:$F$300,'ИТОГО Лэндинг'!$B$5:$B$300,$B188)+SUMIFS('История'!$F$5:$F$300,'История'!$B$5:$B$300,$B188)))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Лэндинг'!$B$5:$B$300,$B188)+SUMIFS('История'!$H$5:$H$300,'История'!$B$5:$B$300,$B188))</f>
        <v/>
      </c>
      <c r="I188" s="341">
        <f>IF($B188="","",IF(AND(C188="",F188=""),"",ROUND(SUMIFS('ИТОГО Торговля'!$I$5:$I$300,'ИТОГО Торговля'!$B$5:$B$300,$B188)+SUMIFS('ИТОГО Лэндинг'!$I$5:$I$300,'ИТОГО Лэндинг'!$B$5:$B$300,$B188)+SUMIFS('История'!$I$5:$I$300,'История'!$B$5:$B$300,$B188),8)))</f>
        <v/>
      </c>
      <c r="J188" s="342">
        <f>IF($B188="","",IF(AND(C188="",F188=""),"",ROUND(SUMIFS('ИТОГО Торговля'!$J$5:$J$300,'ИТОГО Торговля'!$B$5:$B$300,$B188)+SUMIFS('ИТОГО Лэндинг'!$J$5:$J$300,'ИТОГО Лэндинг'!$B$5:$B$300,$B188)+SUMIFS('История'!$J$5:$J$300,'История'!$B$5:$B$300,$B188),8)))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Лэндинг'!$B$5:$B$300,$B188)+SUMIFS('История'!$K$5:$K$300,'История'!$B$5:$B$300,$B188),8))</f>
        <v/>
      </c>
      <c r="L188" s="183">
        <f>IF(K188="","",IF(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&lt;=0,0,ROUND(K188/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*100,2)))</f>
        <v/>
      </c>
      <c r="M188" s="344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Лэндинг'!$B$5:$B$300,$B189)+SUMIFS('История'!$C$5:$C$300,'История'!$B$5:$B$300,$B189)=0,"",SUMIFS('ИТОГО Торговля'!$C$5:$C$300,'ИТОГО Торговля'!$B$5:$B$300,$B189)+SUMIFS('ИТОГО Лэндинг'!$C$5:$C$300,'ИТОГО Лэндинг'!$B$5:$B$300,$B189)+SUMIFS('История'!$C$5:$C$300,'История'!$B$5:$B$300,$B189)))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Лэндинг'!$B$5:$B$300,$B189)+SUMIFS('История'!$E$5:$E$300,'История'!$B$5:$B$300,$B189))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Лэндинг'!$B$5:$B$300,$B189)+SUMIFS('История'!$F$5:$F$300,'История'!$B$5:$B$300,$B189)=0,"",SUMIFS('ИТОГО Торговля'!$F$5:$F$300,'ИТОГО Торговля'!$B$5:$B$300,$B189)+SUMIFS('ИТОГО Лэндинг'!$F$5:$F$300,'ИТОГО Лэндинг'!$B$5:$B$300,$B189)+SUMIFS('История'!$F$5:$F$300,'История'!$B$5:$B$300,$B189)))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Лэндинг'!$B$5:$B$300,$B189)+SUMIFS('История'!$H$5:$H$300,'История'!$B$5:$B$300,$B189))</f>
        <v/>
      </c>
      <c r="I189" s="339">
        <f>IF($B189="","",IF(AND(C189="",F189=""),"",ROUND(SUMIFS('ИТОГО Торговля'!$I$5:$I$300,'ИТОГО Торговля'!$B$5:$B$300,$B189)+SUMIFS('ИТОГО Лэндинг'!$I$5:$I$300,'ИТОГО Лэндинг'!$B$5:$B$300,$B189)+SUMIFS('История'!$I$5:$I$300,'История'!$B$5:$B$300,$B189),8)))</f>
        <v/>
      </c>
      <c r="J189" s="340">
        <f>IF($B189="","",IF(AND(C189="",F189=""),"",ROUND(SUMIFS('ИТОГО Торговля'!$J$5:$J$300,'ИТОГО Торговля'!$B$5:$B$300,$B189)+SUMIFS('ИТОГО Лэндинг'!$J$5:$J$300,'ИТОГО Лэндинг'!$B$5:$B$300,$B189)+SUMIFS('История'!$J$5:$J$300,'История'!$B$5:$B$300,$B189),8)))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Лэндинг'!$B$5:$B$300,$B189)+SUMIFS('История'!$K$5:$K$300,'История'!$B$5:$B$300,$B189),8))</f>
        <v/>
      </c>
      <c r="L189" s="177">
        <f>IF(K189="","",IF(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&lt;=0,0,ROUND(K189/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*100,2)))</f>
        <v/>
      </c>
      <c r="M189" s="343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Лэндинг'!$B$5:$B$300,$B190)+SUMIFS('История'!$C$5:$C$300,'История'!$B$5:$B$300,$B190)=0,"",SUMIFS('ИТОГО Торговля'!$C$5:$C$300,'ИТОГО Торговля'!$B$5:$B$300,$B190)+SUMIFS('ИТОГО Лэндинг'!$C$5:$C$300,'ИТОГО Лэндинг'!$B$5:$B$300,$B190)+SUMIFS('История'!$C$5:$C$300,'История'!$B$5:$B$300,$B190)))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Лэндинг'!$B$5:$B$300,$B190)+SUMIFS('История'!$E$5:$E$300,'История'!$B$5:$B$300,$B190))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Лэндинг'!$B$5:$B$300,$B190)+SUMIFS('История'!$F$5:$F$300,'История'!$B$5:$B$300,$B190)=0,"",SUMIFS('ИТОГО Торговля'!$F$5:$F$300,'ИТОГО Торговля'!$B$5:$B$300,$B190)+SUMIFS('ИТОГО Лэндинг'!$F$5:$F$300,'ИТОГО Лэндинг'!$B$5:$B$300,$B190)+SUMIFS('История'!$F$5:$F$300,'История'!$B$5:$B$300,$B190)))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Лэндинг'!$B$5:$B$300,$B190)+SUMIFS('История'!$H$5:$H$300,'История'!$B$5:$B$300,$B190))</f>
        <v/>
      </c>
      <c r="I190" s="341">
        <f>IF($B190="","",IF(AND(C190="",F190=""),"",ROUND(SUMIFS('ИТОГО Торговля'!$I$5:$I$300,'ИТОГО Торговля'!$B$5:$B$300,$B190)+SUMIFS('ИТОГО Лэндинг'!$I$5:$I$300,'ИТОГО Лэндинг'!$B$5:$B$300,$B190)+SUMIFS('История'!$I$5:$I$300,'История'!$B$5:$B$300,$B190),8)))</f>
        <v/>
      </c>
      <c r="J190" s="342">
        <f>IF($B190="","",IF(AND(C190="",F190=""),"",ROUND(SUMIFS('ИТОГО Торговля'!$J$5:$J$300,'ИТОГО Торговля'!$B$5:$B$300,$B190)+SUMIFS('ИТОГО Лэндинг'!$J$5:$J$300,'ИТОГО Лэндинг'!$B$5:$B$300,$B190)+SUMIFS('История'!$J$5:$J$300,'История'!$B$5:$B$300,$B190),8)))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Лэндинг'!$B$5:$B$300,$B190)+SUMIFS('История'!$K$5:$K$300,'История'!$B$5:$B$300,$B190),8))</f>
        <v/>
      </c>
      <c r="L190" s="183">
        <f>IF(K190="","",IF(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&lt;=0,0,ROUND(K190/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*100,2)))</f>
        <v/>
      </c>
      <c r="M190" s="344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Лэндинг'!$B$5:$B$300,$B191)+SUMIFS('История'!$C$5:$C$300,'История'!$B$5:$B$300,$B191)=0,"",SUMIFS('ИТОГО Торговля'!$C$5:$C$300,'ИТОГО Торговля'!$B$5:$B$300,$B191)+SUMIFS('ИТОГО Лэндинг'!$C$5:$C$300,'ИТОГО Лэндинг'!$B$5:$B$300,$B191)+SUMIFS('История'!$C$5:$C$300,'История'!$B$5:$B$300,$B191)))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Лэндинг'!$B$5:$B$300,$B191)+SUMIFS('История'!$E$5:$E$300,'История'!$B$5:$B$300,$B191))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Лэндинг'!$B$5:$B$300,$B191)+SUMIFS('История'!$F$5:$F$300,'История'!$B$5:$B$300,$B191)=0,"",SUMIFS('ИТОГО Торговля'!$F$5:$F$300,'ИТОГО Торговля'!$B$5:$B$300,$B191)+SUMIFS('ИТОГО Лэндинг'!$F$5:$F$300,'ИТОГО Лэндинг'!$B$5:$B$300,$B191)+SUMIFS('История'!$F$5:$F$300,'История'!$B$5:$B$300,$B191)))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Лэндинг'!$B$5:$B$300,$B191)+SUMIFS('История'!$H$5:$H$300,'История'!$B$5:$B$300,$B191))</f>
        <v/>
      </c>
      <c r="I191" s="339">
        <f>IF($B191="","",IF(AND(C191="",F191=""),"",ROUND(SUMIFS('ИТОГО Торговля'!$I$5:$I$300,'ИТОГО Торговля'!$B$5:$B$300,$B191)+SUMIFS('ИТОГО Лэндинг'!$I$5:$I$300,'ИТОГО Лэндинг'!$B$5:$B$300,$B191)+SUMIFS('История'!$I$5:$I$300,'История'!$B$5:$B$300,$B191),8)))</f>
        <v/>
      </c>
      <c r="J191" s="340">
        <f>IF($B191="","",IF(AND(C191="",F191=""),"",ROUND(SUMIFS('ИТОГО Торговля'!$J$5:$J$300,'ИТОГО Торговля'!$B$5:$B$300,$B191)+SUMIFS('ИТОГО Лэндинг'!$J$5:$J$300,'ИТОГО Лэндинг'!$B$5:$B$300,$B191)+SUMIFS('История'!$J$5:$J$300,'История'!$B$5:$B$300,$B191),8)))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Лэндинг'!$B$5:$B$300,$B191)+SUMIFS('История'!$K$5:$K$300,'История'!$B$5:$B$300,$B191),8))</f>
        <v/>
      </c>
      <c r="L191" s="177">
        <f>IF(K191="","",IF(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&lt;=0,0,ROUND(K191/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*100,2)))</f>
        <v/>
      </c>
      <c r="M191" s="343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Лэндинг'!$B$5:$B$300,$B192)+SUMIFS('История'!$C$5:$C$300,'История'!$B$5:$B$300,$B192)=0,"",SUMIFS('ИТОГО Торговля'!$C$5:$C$300,'ИТОГО Торговля'!$B$5:$B$300,$B192)+SUMIFS('ИТОГО Лэндинг'!$C$5:$C$300,'ИТОГО Лэндинг'!$B$5:$B$300,$B192)+SUMIFS('История'!$C$5:$C$300,'История'!$B$5:$B$300,$B192)))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Лэндинг'!$B$5:$B$300,$B192)+SUMIFS('История'!$E$5:$E$300,'История'!$B$5:$B$300,$B192))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Лэндинг'!$B$5:$B$300,$B192)+SUMIFS('История'!$F$5:$F$300,'История'!$B$5:$B$300,$B192)=0,"",SUMIFS('ИТОГО Торговля'!$F$5:$F$300,'ИТОГО Торговля'!$B$5:$B$300,$B192)+SUMIFS('ИТОГО Лэндинг'!$F$5:$F$300,'ИТОГО Лэндинг'!$B$5:$B$300,$B192)+SUMIFS('История'!$F$5:$F$300,'История'!$B$5:$B$300,$B192)))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Лэндинг'!$B$5:$B$300,$B192)+SUMIFS('История'!$H$5:$H$300,'История'!$B$5:$B$300,$B192))</f>
        <v/>
      </c>
      <c r="I192" s="341">
        <f>IF($B192="","",IF(AND(C192="",F192=""),"",ROUND(SUMIFS('ИТОГО Торговля'!$I$5:$I$300,'ИТОГО Торговля'!$B$5:$B$300,$B192)+SUMIFS('ИТОГО Лэндинг'!$I$5:$I$300,'ИТОГО Лэндинг'!$B$5:$B$300,$B192)+SUMIFS('История'!$I$5:$I$300,'История'!$B$5:$B$300,$B192),8)))</f>
        <v/>
      </c>
      <c r="J192" s="342">
        <f>IF($B192="","",IF(AND(C192="",F192=""),"",ROUND(SUMIFS('ИТОГО Торговля'!$J$5:$J$300,'ИТОГО Торговля'!$B$5:$B$300,$B192)+SUMIFS('ИТОГО Лэндинг'!$J$5:$J$300,'ИТОГО Лэндинг'!$B$5:$B$300,$B192)+SUMIFS('История'!$J$5:$J$300,'История'!$B$5:$B$300,$B192),8)))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Лэндинг'!$B$5:$B$300,$B192)+SUMIFS('История'!$K$5:$K$300,'История'!$B$5:$B$300,$B192),8))</f>
        <v/>
      </c>
      <c r="L192" s="183">
        <f>IF(K192="","",IF(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&lt;=0,0,ROUND(K192/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*100,2)))</f>
        <v/>
      </c>
      <c r="M192" s="344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Лэндинг'!$B$5:$B$300,$B193)+SUMIFS('История'!$C$5:$C$300,'История'!$B$5:$B$300,$B193)=0,"",SUMIFS('ИТОГО Торговля'!$C$5:$C$300,'ИТОГО Торговля'!$B$5:$B$300,$B193)+SUMIFS('ИТОГО Лэндинг'!$C$5:$C$300,'ИТОГО Лэндинг'!$B$5:$B$300,$B193)+SUMIFS('История'!$C$5:$C$300,'История'!$B$5:$B$300,$B193)))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Лэндинг'!$B$5:$B$300,$B193)+SUMIFS('История'!$E$5:$E$300,'История'!$B$5:$B$300,$B193))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Лэндинг'!$B$5:$B$300,$B193)+SUMIFS('История'!$F$5:$F$300,'История'!$B$5:$B$300,$B193)=0,"",SUMIFS('ИТОГО Торговля'!$F$5:$F$300,'ИТОГО Торговля'!$B$5:$B$300,$B193)+SUMIFS('ИТОГО Лэндинг'!$F$5:$F$300,'ИТОГО Лэндинг'!$B$5:$B$300,$B193)+SUMIFS('История'!$F$5:$F$300,'История'!$B$5:$B$300,$B193)))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Лэндинг'!$B$5:$B$300,$B193)+SUMIFS('История'!$H$5:$H$300,'История'!$B$5:$B$300,$B193))</f>
        <v/>
      </c>
      <c r="I193" s="339">
        <f>IF($B193="","",IF(AND(C193="",F193=""),"",ROUND(SUMIFS('ИТОГО Торговля'!$I$5:$I$300,'ИТОГО Торговля'!$B$5:$B$300,$B193)+SUMIFS('ИТОГО Лэндинг'!$I$5:$I$300,'ИТОГО Лэндинг'!$B$5:$B$300,$B193)+SUMIFS('История'!$I$5:$I$300,'История'!$B$5:$B$300,$B193),8)))</f>
        <v/>
      </c>
      <c r="J193" s="340">
        <f>IF($B193="","",IF(AND(C193="",F193=""),"",ROUND(SUMIFS('ИТОГО Торговля'!$J$5:$J$300,'ИТОГО Торговля'!$B$5:$B$300,$B193)+SUMIFS('ИТОГО Лэндинг'!$J$5:$J$300,'ИТОГО Лэндинг'!$B$5:$B$300,$B193)+SUMIFS('История'!$J$5:$J$300,'История'!$B$5:$B$300,$B193),8)))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Лэндинг'!$B$5:$B$300,$B193)+SUMIFS('История'!$K$5:$K$300,'История'!$B$5:$B$300,$B193),8))</f>
        <v/>
      </c>
      <c r="L193" s="177">
        <f>IF(K193="","",IF(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&lt;=0,0,ROUND(K193/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*100,2)))</f>
        <v/>
      </c>
      <c r="M193" s="343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Лэндинг'!$B$5:$B$300,$B194)+SUMIFS('История'!$C$5:$C$300,'История'!$B$5:$B$300,$B194)=0,"",SUMIFS('ИТОГО Торговля'!$C$5:$C$300,'ИТОГО Торговля'!$B$5:$B$300,$B194)+SUMIFS('ИТОГО Лэндинг'!$C$5:$C$300,'ИТОГО Лэндинг'!$B$5:$B$300,$B194)+SUMIFS('История'!$C$5:$C$300,'История'!$B$5:$B$300,$B194)))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Лэндинг'!$B$5:$B$300,$B194)+SUMIFS('История'!$E$5:$E$300,'История'!$B$5:$B$300,$B194))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Лэндинг'!$B$5:$B$300,$B194)+SUMIFS('История'!$F$5:$F$300,'История'!$B$5:$B$300,$B194)=0,"",SUMIFS('ИТОГО Торговля'!$F$5:$F$300,'ИТОГО Торговля'!$B$5:$B$300,$B194)+SUMIFS('ИТОГО Лэндинг'!$F$5:$F$300,'ИТОГО Лэндинг'!$B$5:$B$300,$B194)+SUMIFS('История'!$F$5:$F$300,'История'!$B$5:$B$300,$B194)))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Лэндинг'!$B$5:$B$300,$B194)+SUMIFS('История'!$H$5:$H$300,'История'!$B$5:$B$300,$B194))</f>
        <v/>
      </c>
      <c r="I194" s="341">
        <f>IF($B194="","",IF(AND(C194="",F194=""),"",ROUND(SUMIFS('ИТОГО Торговля'!$I$5:$I$300,'ИТОГО Торговля'!$B$5:$B$300,$B194)+SUMIFS('ИТОГО Лэндинг'!$I$5:$I$300,'ИТОГО Лэндинг'!$B$5:$B$300,$B194)+SUMIFS('История'!$I$5:$I$300,'История'!$B$5:$B$300,$B194),8)))</f>
        <v/>
      </c>
      <c r="J194" s="342">
        <f>IF($B194="","",IF(AND(C194="",F194=""),"",ROUND(SUMIFS('ИТОГО Торговля'!$J$5:$J$300,'ИТОГО Торговля'!$B$5:$B$300,$B194)+SUMIFS('ИТОГО Лэндинг'!$J$5:$J$300,'ИТОГО Лэндинг'!$B$5:$B$300,$B194)+SUMIFS('История'!$J$5:$J$300,'История'!$B$5:$B$300,$B194),8)))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Лэндинг'!$B$5:$B$300,$B194)+SUMIFS('История'!$K$5:$K$300,'История'!$B$5:$B$300,$B194),8))</f>
        <v/>
      </c>
      <c r="L194" s="183">
        <f>IF(K194="","",IF(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&lt;=0,0,ROUND(K194/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*100,2)))</f>
        <v/>
      </c>
      <c r="M194" s="344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Лэндинг'!$B$5:$B$300,$B195)+SUMIFS('История'!$C$5:$C$300,'История'!$B$5:$B$300,$B195)=0,"",SUMIFS('ИТОГО Торговля'!$C$5:$C$300,'ИТОГО Торговля'!$B$5:$B$300,$B195)+SUMIFS('ИТОГО Лэндинг'!$C$5:$C$300,'ИТОГО Лэндинг'!$B$5:$B$300,$B195)+SUMIFS('История'!$C$5:$C$300,'История'!$B$5:$B$300,$B195)))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Лэндинг'!$B$5:$B$300,$B195)+SUMIFS('История'!$E$5:$E$300,'История'!$B$5:$B$300,$B195))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Лэндинг'!$B$5:$B$300,$B195)+SUMIFS('История'!$F$5:$F$300,'История'!$B$5:$B$300,$B195)=0,"",SUMIFS('ИТОГО Торговля'!$F$5:$F$300,'ИТОГО Торговля'!$B$5:$B$300,$B195)+SUMIFS('ИТОГО Лэндинг'!$F$5:$F$300,'ИТОГО Лэндинг'!$B$5:$B$300,$B195)+SUMIFS('История'!$F$5:$F$300,'История'!$B$5:$B$300,$B195)))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Лэндинг'!$B$5:$B$300,$B195)+SUMIFS('История'!$H$5:$H$300,'История'!$B$5:$B$300,$B195))</f>
        <v/>
      </c>
      <c r="I195" s="339">
        <f>IF($B195="","",IF(AND(C195="",F195=""),"",ROUND(SUMIFS('ИТОГО Торговля'!$I$5:$I$300,'ИТОГО Торговля'!$B$5:$B$300,$B195)+SUMIFS('ИТОГО Лэндинг'!$I$5:$I$300,'ИТОГО Лэндинг'!$B$5:$B$300,$B195)+SUMIFS('История'!$I$5:$I$300,'История'!$B$5:$B$300,$B195),8)))</f>
        <v/>
      </c>
      <c r="J195" s="340">
        <f>IF($B195="","",IF(AND(C195="",F195=""),"",ROUND(SUMIFS('ИТОГО Торговля'!$J$5:$J$300,'ИТОГО Торговля'!$B$5:$B$300,$B195)+SUMIFS('ИТОГО Лэндинг'!$J$5:$J$300,'ИТОГО Лэндинг'!$B$5:$B$300,$B195)+SUMIFS('История'!$J$5:$J$300,'История'!$B$5:$B$300,$B195),8)))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Лэндинг'!$B$5:$B$300,$B195)+SUMIFS('История'!$K$5:$K$300,'История'!$B$5:$B$300,$B195),8))</f>
        <v/>
      </c>
      <c r="L195" s="177">
        <f>IF(K195="","",IF(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&lt;=0,0,ROUND(K195/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*100,2)))</f>
        <v/>
      </c>
      <c r="M195" s="343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Лэндинг'!$B$5:$B$300,$B196)+SUMIFS('История'!$C$5:$C$300,'История'!$B$5:$B$300,$B196)=0,"",SUMIFS('ИТОГО Торговля'!$C$5:$C$300,'ИТОГО Торговля'!$B$5:$B$300,$B196)+SUMIFS('ИТОГО Лэндинг'!$C$5:$C$300,'ИТОГО Лэндинг'!$B$5:$B$300,$B196)+SUMIFS('История'!$C$5:$C$300,'История'!$B$5:$B$300,$B196)))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Лэндинг'!$B$5:$B$300,$B196)+SUMIFS('История'!$E$5:$E$300,'История'!$B$5:$B$300,$B196))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Лэндинг'!$B$5:$B$300,$B196)+SUMIFS('История'!$F$5:$F$300,'История'!$B$5:$B$300,$B196)=0,"",SUMIFS('ИТОГО Торговля'!$F$5:$F$300,'ИТОГО Торговля'!$B$5:$B$300,$B196)+SUMIFS('ИТОГО Лэндинг'!$F$5:$F$300,'ИТОГО Лэндинг'!$B$5:$B$300,$B196)+SUMIFS('История'!$F$5:$F$300,'История'!$B$5:$B$300,$B196)))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Лэндинг'!$B$5:$B$300,$B196)+SUMIFS('История'!$H$5:$H$300,'История'!$B$5:$B$300,$B196))</f>
        <v/>
      </c>
      <c r="I196" s="341">
        <f>IF($B196="","",IF(AND(C196="",F196=""),"",ROUND(SUMIFS('ИТОГО Торговля'!$I$5:$I$300,'ИТОГО Торговля'!$B$5:$B$300,$B196)+SUMIFS('ИТОГО Лэндинг'!$I$5:$I$300,'ИТОГО Лэндинг'!$B$5:$B$300,$B196)+SUMIFS('История'!$I$5:$I$300,'История'!$B$5:$B$300,$B196),8)))</f>
        <v/>
      </c>
      <c r="J196" s="342">
        <f>IF($B196="","",IF(AND(C196="",F196=""),"",ROUND(SUMIFS('ИТОГО Торговля'!$J$5:$J$300,'ИТОГО Торговля'!$B$5:$B$300,$B196)+SUMIFS('ИТОГО Лэндинг'!$J$5:$J$300,'ИТОГО Лэндинг'!$B$5:$B$300,$B196)+SUMIFS('История'!$J$5:$J$300,'История'!$B$5:$B$300,$B196),8)))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Лэндинг'!$B$5:$B$300,$B196)+SUMIFS('История'!$K$5:$K$300,'История'!$B$5:$B$300,$B196),8))</f>
        <v/>
      </c>
      <c r="L196" s="183">
        <f>IF(K196="","",IF(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&lt;=0,0,ROUND(K196/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*100,2)))</f>
        <v/>
      </c>
      <c r="M196" s="344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Лэндинг'!$B$5:$B$300,$B197)+SUMIFS('История'!$C$5:$C$300,'История'!$B$5:$B$300,$B197)=0,"",SUMIFS('ИТОГО Торговля'!$C$5:$C$300,'ИТОГО Торговля'!$B$5:$B$300,$B197)+SUMIFS('ИТОГО Лэндинг'!$C$5:$C$300,'ИТОГО Лэндинг'!$B$5:$B$300,$B197)+SUMIFS('История'!$C$5:$C$300,'История'!$B$5:$B$300,$B197)))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Лэндинг'!$B$5:$B$300,$B197)+SUMIFS('История'!$E$5:$E$300,'История'!$B$5:$B$300,$B197))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Лэндинг'!$B$5:$B$300,$B197)+SUMIFS('История'!$F$5:$F$300,'История'!$B$5:$B$300,$B197)=0,"",SUMIFS('ИТОГО Торговля'!$F$5:$F$300,'ИТОГО Торговля'!$B$5:$B$300,$B197)+SUMIFS('ИТОГО Лэндинг'!$F$5:$F$300,'ИТОГО Лэндинг'!$B$5:$B$300,$B197)+SUMIFS('История'!$F$5:$F$300,'История'!$B$5:$B$300,$B197)))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Лэндинг'!$B$5:$B$300,$B197)+SUMIFS('История'!$H$5:$H$300,'История'!$B$5:$B$300,$B197))</f>
        <v/>
      </c>
      <c r="I197" s="339">
        <f>IF($B197="","",IF(AND(C197="",F197=""),"",ROUND(SUMIFS('ИТОГО Торговля'!$I$5:$I$300,'ИТОГО Торговля'!$B$5:$B$300,$B197)+SUMIFS('ИТОГО Лэндинг'!$I$5:$I$300,'ИТОГО Лэндинг'!$B$5:$B$300,$B197)+SUMIFS('История'!$I$5:$I$300,'История'!$B$5:$B$300,$B197),8)))</f>
        <v/>
      </c>
      <c r="J197" s="340">
        <f>IF($B197="","",IF(AND(C197="",F197=""),"",ROUND(SUMIFS('ИТОГО Торговля'!$J$5:$J$300,'ИТОГО Торговля'!$B$5:$B$300,$B197)+SUMIFS('ИТОГО Лэндинг'!$J$5:$J$300,'ИТОГО Лэндинг'!$B$5:$B$300,$B197)+SUMIFS('История'!$J$5:$J$300,'История'!$B$5:$B$300,$B197),8)))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Лэндинг'!$B$5:$B$300,$B197)+SUMIFS('История'!$K$5:$K$300,'История'!$B$5:$B$300,$B197),8))</f>
        <v/>
      </c>
      <c r="L197" s="177">
        <f>IF(K197="","",IF(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&lt;=0,0,ROUND(K197/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*100,2)))</f>
        <v/>
      </c>
      <c r="M197" s="343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Лэндинг'!$B$5:$B$300,$B198)+SUMIFS('История'!$C$5:$C$300,'История'!$B$5:$B$300,$B198)=0,"",SUMIFS('ИТОГО Торговля'!$C$5:$C$300,'ИТОГО Торговля'!$B$5:$B$300,$B198)+SUMIFS('ИТОГО Лэндинг'!$C$5:$C$300,'ИТОГО Лэндинг'!$B$5:$B$300,$B198)+SUMIFS('История'!$C$5:$C$300,'История'!$B$5:$B$300,$B198)))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Лэндинг'!$B$5:$B$300,$B198)+SUMIFS('История'!$E$5:$E$300,'История'!$B$5:$B$300,$B198))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Лэндинг'!$B$5:$B$300,$B198)+SUMIFS('История'!$F$5:$F$300,'История'!$B$5:$B$300,$B198)=0,"",SUMIFS('ИТОГО Торговля'!$F$5:$F$300,'ИТОГО Торговля'!$B$5:$B$300,$B198)+SUMIFS('ИТОГО Лэндинг'!$F$5:$F$300,'ИТОГО Лэндинг'!$B$5:$B$300,$B198)+SUMIFS('История'!$F$5:$F$300,'История'!$B$5:$B$300,$B198)))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Лэндинг'!$B$5:$B$300,$B198)+SUMIFS('История'!$H$5:$H$300,'История'!$B$5:$B$300,$B198))</f>
        <v/>
      </c>
      <c r="I198" s="341">
        <f>IF($B198="","",IF(AND(C198="",F198=""),"",ROUND(SUMIFS('ИТОГО Торговля'!$I$5:$I$300,'ИТОГО Торговля'!$B$5:$B$300,$B198)+SUMIFS('ИТОГО Лэндинг'!$I$5:$I$300,'ИТОГО Лэндинг'!$B$5:$B$300,$B198)+SUMIFS('История'!$I$5:$I$300,'История'!$B$5:$B$300,$B198),8)))</f>
        <v/>
      </c>
      <c r="J198" s="342">
        <f>IF($B198="","",IF(AND(C198="",F198=""),"",ROUND(SUMIFS('ИТОГО Торговля'!$J$5:$J$300,'ИТОГО Торговля'!$B$5:$B$300,$B198)+SUMIFS('ИТОГО Лэндинг'!$J$5:$J$300,'ИТОГО Лэндинг'!$B$5:$B$300,$B198)+SUMIFS('История'!$J$5:$J$300,'История'!$B$5:$B$300,$B198),8)))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Лэндинг'!$B$5:$B$300,$B198)+SUMIFS('История'!$K$5:$K$300,'История'!$B$5:$B$300,$B198),8))</f>
        <v/>
      </c>
      <c r="L198" s="183">
        <f>IF(K198="","",IF(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&lt;=0,0,ROUND(K198/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*100,2)))</f>
        <v/>
      </c>
      <c r="M198" s="344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Лэндинг'!$B$5:$B$300,$B199)+SUMIFS('История'!$C$5:$C$300,'История'!$B$5:$B$300,$B199)=0,"",SUMIFS('ИТОГО Торговля'!$C$5:$C$300,'ИТОГО Торговля'!$B$5:$B$300,$B199)+SUMIFS('ИТОГО Лэндинг'!$C$5:$C$300,'ИТОГО Лэндинг'!$B$5:$B$300,$B199)+SUMIFS('История'!$C$5:$C$300,'История'!$B$5:$B$300,$B199)))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Лэндинг'!$B$5:$B$300,$B199)+SUMIFS('История'!$E$5:$E$300,'История'!$B$5:$B$300,$B199))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Лэндинг'!$B$5:$B$300,$B199)+SUMIFS('История'!$F$5:$F$300,'История'!$B$5:$B$300,$B199)=0,"",SUMIFS('ИТОГО Торговля'!$F$5:$F$300,'ИТОГО Торговля'!$B$5:$B$300,$B199)+SUMIFS('ИТОГО Лэндинг'!$F$5:$F$300,'ИТОГО Лэндинг'!$B$5:$B$300,$B199)+SUMIFS('История'!$F$5:$F$300,'История'!$B$5:$B$300,$B199)))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Лэндинг'!$B$5:$B$300,$B199)+SUMIFS('История'!$H$5:$H$300,'История'!$B$5:$B$300,$B199))</f>
        <v/>
      </c>
      <c r="I199" s="339">
        <f>IF($B199="","",IF(AND(C199="",F199=""),"",ROUND(SUMIFS('ИТОГО Торговля'!$I$5:$I$300,'ИТОГО Торговля'!$B$5:$B$300,$B199)+SUMIFS('ИТОГО Лэндинг'!$I$5:$I$300,'ИТОГО Лэндинг'!$B$5:$B$300,$B199)+SUMIFS('История'!$I$5:$I$300,'История'!$B$5:$B$300,$B199),8)))</f>
        <v/>
      </c>
      <c r="J199" s="340">
        <f>IF($B199="","",IF(AND(C199="",F199=""),"",ROUND(SUMIFS('ИТОГО Торговля'!$J$5:$J$300,'ИТОГО Торговля'!$B$5:$B$300,$B199)+SUMIFS('ИТОГО Лэндинг'!$J$5:$J$300,'ИТОГО Лэндинг'!$B$5:$B$300,$B199)+SUMIFS('История'!$J$5:$J$300,'История'!$B$5:$B$300,$B199),8)))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Лэндинг'!$B$5:$B$300,$B199)+SUMIFS('История'!$K$5:$K$300,'История'!$B$5:$B$300,$B199),8))</f>
        <v/>
      </c>
      <c r="L199" s="177">
        <f>IF(K199="","",IF(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&lt;=0,0,ROUND(K199/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*100,2)))</f>
        <v/>
      </c>
      <c r="M199" s="343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Лэндинг'!$B$5:$B$300,$B200)+SUMIFS('История'!$C$5:$C$300,'История'!$B$5:$B$300,$B200)=0,"",SUMIFS('ИТОГО Торговля'!$C$5:$C$300,'ИТОГО Торговля'!$B$5:$B$300,$B200)+SUMIFS('ИТОГО Лэндинг'!$C$5:$C$300,'ИТОГО Лэндинг'!$B$5:$B$300,$B200)+SUMIFS('История'!$C$5:$C$300,'История'!$B$5:$B$300,$B200)))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Лэндинг'!$B$5:$B$300,$B200)+SUMIFS('История'!$E$5:$E$300,'История'!$B$5:$B$300,$B200))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Лэндинг'!$B$5:$B$300,$B200)+SUMIFS('История'!$F$5:$F$300,'История'!$B$5:$B$300,$B200)=0,"",SUMIFS('ИТОГО Торговля'!$F$5:$F$300,'ИТОГО Торговля'!$B$5:$B$300,$B200)+SUMIFS('ИТОГО Лэндинг'!$F$5:$F$300,'ИТОГО Лэндинг'!$B$5:$B$300,$B200)+SUMIFS('История'!$F$5:$F$300,'История'!$B$5:$B$300,$B200)))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Лэндинг'!$B$5:$B$300,$B200)+SUMIFS('История'!$H$5:$H$300,'История'!$B$5:$B$300,$B200))</f>
        <v/>
      </c>
      <c r="I200" s="341">
        <f>IF($B200="","",IF(AND(C200="",F200=""),"",ROUND(SUMIFS('ИТОГО Торговля'!$I$5:$I$300,'ИТОГО Торговля'!$B$5:$B$300,$B200)+SUMIFS('ИТОГО Лэндинг'!$I$5:$I$300,'ИТОГО Лэндинг'!$B$5:$B$300,$B200)+SUMIFS('История'!$I$5:$I$300,'История'!$B$5:$B$300,$B200),8)))</f>
        <v/>
      </c>
      <c r="J200" s="342">
        <f>IF($B200="","",IF(AND(C200="",F200=""),"",ROUND(SUMIFS('ИТОГО Торговля'!$J$5:$J$300,'ИТОГО Торговля'!$B$5:$B$300,$B200)+SUMIFS('ИТОГО Лэндинг'!$J$5:$J$300,'ИТОГО Лэндинг'!$B$5:$B$300,$B200)+SUMIFS('История'!$J$5:$J$300,'История'!$B$5:$B$300,$B200),8)))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Лэндинг'!$B$5:$B$300,$B200)+SUMIFS('История'!$K$5:$K$300,'История'!$B$5:$B$300,$B200),8))</f>
        <v/>
      </c>
      <c r="L200" s="183">
        <f>IF(K200="","",IF(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&lt;=0,0,ROUND(K200/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*100,2)))</f>
        <v/>
      </c>
      <c r="M200" s="344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Лэндинг'!$B$5:$B$300,$B201)+SUMIFS('История'!$C$5:$C$300,'История'!$B$5:$B$300,$B201)=0,"",SUMIFS('ИТОГО Торговля'!$C$5:$C$300,'ИТОГО Торговля'!$B$5:$B$300,$B201)+SUMIFS('ИТОГО Лэндинг'!$C$5:$C$300,'ИТОГО Лэндинг'!$B$5:$B$300,$B201)+SUMIFS('История'!$C$5:$C$300,'История'!$B$5:$B$300,$B201)))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Лэндинг'!$B$5:$B$300,$B201)+SUMIFS('История'!$E$5:$E$300,'История'!$B$5:$B$300,$B201))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Лэндинг'!$B$5:$B$300,$B201)+SUMIFS('История'!$F$5:$F$300,'История'!$B$5:$B$300,$B201)=0,"",SUMIFS('ИТОГО Торговля'!$F$5:$F$300,'ИТОГО Торговля'!$B$5:$B$300,$B201)+SUMIFS('ИТОГО Лэндинг'!$F$5:$F$300,'ИТОГО Лэндинг'!$B$5:$B$300,$B201)+SUMIFS('История'!$F$5:$F$300,'История'!$B$5:$B$300,$B201)))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Лэндинг'!$B$5:$B$300,$B201)+SUMIFS('История'!$H$5:$H$300,'История'!$B$5:$B$300,$B201))</f>
        <v/>
      </c>
      <c r="I201" s="339">
        <f>IF($B201="","",IF(AND(C201="",F201=""),"",ROUND(SUMIFS('ИТОГО Торговля'!$I$5:$I$300,'ИТОГО Торговля'!$B$5:$B$300,$B201)+SUMIFS('ИТОГО Лэндинг'!$I$5:$I$300,'ИТОГО Лэндинг'!$B$5:$B$300,$B201)+SUMIFS('История'!$I$5:$I$300,'История'!$B$5:$B$300,$B201),8)))</f>
        <v/>
      </c>
      <c r="J201" s="340">
        <f>IF($B201="","",IF(AND(C201="",F201=""),"",ROUND(SUMIFS('ИТОГО Торговля'!$J$5:$J$300,'ИТОГО Торговля'!$B$5:$B$300,$B201)+SUMIFS('ИТОГО Лэндинг'!$J$5:$J$300,'ИТОГО Лэндинг'!$B$5:$B$300,$B201)+SUMIFS('История'!$J$5:$J$300,'История'!$B$5:$B$300,$B201),8)))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Лэндинг'!$B$5:$B$300,$B201)+SUMIFS('История'!$K$5:$K$300,'История'!$B$5:$B$300,$B201),8))</f>
        <v/>
      </c>
      <c r="L201" s="177">
        <f>IF(K201="","",IF(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&lt;=0,0,ROUND(K201/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*100,2)))</f>
        <v/>
      </c>
      <c r="M201" s="343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Лэндинг'!$B$5:$B$300,$B202)+SUMIFS('История'!$C$5:$C$300,'История'!$B$5:$B$300,$B202)=0,"",SUMIFS('ИТОГО Торговля'!$C$5:$C$300,'ИТОГО Торговля'!$B$5:$B$300,$B202)+SUMIFS('ИТОГО Лэндинг'!$C$5:$C$300,'ИТОГО Лэндинг'!$B$5:$B$300,$B202)+SUMIFS('История'!$C$5:$C$300,'История'!$B$5:$B$300,$B202)))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Лэндинг'!$B$5:$B$300,$B202)+SUMIFS('История'!$E$5:$E$300,'История'!$B$5:$B$300,$B202))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Лэндинг'!$B$5:$B$300,$B202)+SUMIFS('История'!$F$5:$F$300,'История'!$B$5:$B$300,$B202)=0,"",SUMIFS('ИТОГО Торговля'!$F$5:$F$300,'ИТОГО Торговля'!$B$5:$B$300,$B202)+SUMIFS('ИТОГО Лэндинг'!$F$5:$F$300,'ИТОГО Лэндинг'!$B$5:$B$300,$B202)+SUMIFS('История'!$F$5:$F$300,'История'!$B$5:$B$300,$B202)))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Лэндинг'!$B$5:$B$300,$B202)+SUMIFS('История'!$H$5:$H$300,'История'!$B$5:$B$300,$B202))</f>
        <v/>
      </c>
      <c r="I202" s="341">
        <f>IF($B202="","",IF(AND(C202="",F202=""),"",ROUND(SUMIFS('ИТОГО Торговля'!$I$5:$I$300,'ИТОГО Торговля'!$B$5:$B$300,$B202)+SUMIFS('ИТОГО Лэндинг'!$I$5:$I$300,'ИТОГО Лэндинг'!$B$5:$B$300,$B202)+SUMIFS('История'!$I$5:$I$300,'История'!$B$5:$B$300,$B202),8)))</f>
        <v/>
      </c>
      <c r="J202" s="342">
        <f>IF($B202="","",IF(AND(C202="",F202=""),"",ROUND(SUMIFS('ИТОГО Торговля'!$J$5:$J$300,'ИТОГО Торговля'!$B$5:$B$300,$B202)+SUMIFS('ИТОГО Лэндинг'!$J$5:$J$300,'ИТОГО Лэндинг'!$B$5:$B$300,$B202)+SUMIFS('История'!$J$5:$J$300,'История'!$B$5:$B$300,$B202),8)))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Лэндинг'!$B$5:$B$300,$B202)+SUMIFS('История'!$K$5:$K$300,'История'!$B$5:$B$300,$B202),8))</f>
        <v/>
      </c>
      <c r="L202" s="183">
        <f>IF(K202="","",IF(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&lt;=0,0,ROUND(K202/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*100,2)))</f>
        <v/>
      </c>
      <c r="M202" s="344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Лэндинг'!$B$5:$B$300,$B203)+SUMIFS('История'!$C$5:$C$300,'История'!$B$5:$B$300,$B203)=0,"",SUMIFS('ИТОГО Торговля'!$C$5:$C$300,'ИТОГО Торговля'!$B$5:$B$300,$B203)+SUMIFS('ИТОГО Лэндинг'!$C$5:$C$300,'ИТОГО Лэндинг'!$B$5:$B$300,$B203)+SUMIFS('История'!$C$5:$C$300,'История'!$B$5:$B$300,$B203)))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Лэндинг'!$B$5:$B$300,$B203)+SUMIFS('История'!$E$5:$E$300,'История'!$B$5:$B$300,$B203))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Лэндинг'!$B$5:$B$300,$B203)+SUMIFS('История'!$F$5:$F$300,'История'!$B$5:$B$300,$B203)=0,"",SUMIFS('ИТОГО Торговля'!$F$5:$F$300,'ИТОГО Торговля'!$B$5:$B$300,$B203)+SUMIFS('ИТОГО Лэндинг'!$F$5:$F$300,'ИТОГО Лэндинг'!$B$5:$B$300,$B203)+SUMIFS('История'!$F$5:$F$300,'История'!$B$5:$B$300,$B203)))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Лэндинг'!$B$5:$B$300,$B203)+SUMIFS('История'!$H$5:$H$300,'История'!$B$5:$B$300,$B203))</f>
        <v/>
      </c>
      <c r="I203" s="339">
        <f>IF($B203="","",IF(AND(C203="",F203=""),"",ROUND(SUMIFS('ИТОГО Торговля'!$I$5:$I$300,'ИТОГО Торговля'!$B$5:$B$300,$B203)+SUMIFS('ИТОГО Лэндинг'!$I$5:$I$300,'ИТОГО Лэндинг'!$B$5:$B$300,$B203)+SUMIFS('История'!$I$5:$I$300,'История'!$B$5:$B$300,$B203),8)))</f>
        <v/>
      </c>
      <c r="J203" s="340">
        <f>IF($B203="","",IF(AND(C203="",F203=""),"",ROUND(SUMIFS('ИТОГО Торговля'!$J$5:$J$300,'ИТОГО Торговля'!$B$5:$B$300,$B203)+SUMIFS('ИТОГО Лэндинг'!$J$5:$J$300,'ИТОГО Лэндинг'!$B$5:$B$300,$B203)+SUMIFS('История'!$J$5:$J$300,'История'!$B$5:$B$300,$B203),8)))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Лэндинг'!$B$5:$B$300,$B203)+SUMIFS('История'!$K$5:$K$300,'История'!$B$5:$B$300,$B203),8))</f>
        <v/>
      </c>
      <c r="L203" s="177">
        <f>IF(K203="","",IF(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&lt;=0,0,ROUND(K203/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*100,2)))</f>
        <v/>
      </c>
      <c r="M203" s="343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Лэндинг'!$B$5:$B$300,$B204)+SUMIFS('История'!$C$5:$C$300,'История'!$B$5:$B$300,$B204)=0,"",SUMIFS('ИТОГО Торговля'!$C$5:$C$300,'ИТОГО Торговля'!$B$5:$B$300,$B204)+SUMIFS('ИТОГО Лэндинг'!$C$5:$C$300,'ИТОГО Лэндинг'!$B$5:$B$300,$B204)+SUMIFS('История'!$C$5:$C$300,'История'!$B$5:$B$300,$B204)))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Лэндинг'!$B$5:$B$300,$B204)+SUMIFS('История'!$E$5:$E$300,'История'!$B$5:$B$300,$B204))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Лэндинг'!$B$5:$B$300,$B204)+SUMIFS('История'!$F$5:$F$300,'История'!$B$5:$B$300,$B204)=0,"",SUMIFS('ИТОГО Торговля'!$F$5:$F$300,'ИТОГО Торговля'!$B$5:$B$300,$B204)+SUMIFS('ИТОГО Лэндинг'!$F$5:$F$300,'ИТОГО Лэндинг'!$B$5:$B$300,$B204)+SUMIFS('История'!$F$5:$F$300,'История'!$B$5:$B$300,$B204)))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Лэндинг'!$B$5:$B$300,$B204)+SUMIFS('История'!$H$5:$H$300,'История'!$B$5:$B$300,$B204))</f>
        <v/>
      </c>
      <c r="I204" s="341">
        <f>IF($B204="","",IF(AND(C204="",F204=""),"",ROUND(SUMIFS('ИТОГО Торговля'!$I$5:$I$300,'ИТОГО Торговля'!$B$5:$B$300,$B204)+SUMIFS('ИТОГО Лэндинг'!$I$5:$I$300,'ИТОГО Лэндинг'!$B$5:$B$300,$B204)+SUMIFS('История'!$I$5:$I$300,'История'!$B$5:$B$300,$B204),8)))</f>
        <v/>
      </c>
      <c r="J204" s="342">
        <f>IF($B204="","",IF(AND(C204="",F204=""),"",ROUND(SUMIFS('ИТОГО Торговля'!$J$5:$J$300,'ИТОГО Торговля'!$B$5:$B$300,$B204)+SUMIFS('ИТОГО Лэндинг'!$J$5:$J$300,'ИТОГО Лэндинг'!$B$5:$B$300,$B204)+SUMIFS('История'!$J$5:$J$300,'История'!$B$5:$B$300,$B204),8)))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Лэндинг'!$B$5:$B$300,$B204)+SUMIFS('История'!$K$5:$K$300,'История'!$B$5:$B$300,$B204),8))</f>
        <v/>
      </c>
      <c r="L204" s="183">
        <f>IF(K204="","",IF(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&lt;=0,0,ROUND(K204/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*100,2)))</f>
        <v/>
      </c>
      <c r="M204" s="344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Лэндинг'!$B$5:$B$300,$B205)+SUMIFS('История'!$C$5:$C$300,'История'!$B$5:$B$300,$B205)=0,"",SUMIFS('ИТОГО Торговля'!$C$5:$C$300,'ИТОГО Торговля'!$B$5:$B$300,$B205)+SUMIFS('ИТОГО Лэндинг'!$C$5:$C$300,'ИТОГО Лэндинг'!$B$5:$B$300,$B205)+SUMIFS('История'!$C$5:$C$300,'История'!$B$5:$B$300,$B205)))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Лэндинг'!$B$5:$B$300,$B205)+SUMIFS('История'!$E$5:$E$300,'История'!$B$5:$B$300,$B205))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Лэндинг'!$B$5:$B$300,$B205)+SUMIFS('История'!$F$5:$F$300,'История'!$B$5:$B$300,$B205)=0,"",SUMIFS('ИТОГО Торговля'!$F$5:$F$300,'ИТОГО Торговля'!$B$5:$B$300,$B205)+SUMIFS('ИТОГО Лэндинг'!$F$5:$F$300,'ИТОГО Лэндинг'!$B$5:$B$300,$B205)+SUMIFS('История'!$F$5:$F$300,'История'!$B$5:$B$300,$B205)))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Лэндинг'!$B$5:$B$300,$B205)+SUMIFS('История'!$H$5:$H$300,'История'!$B$5:$B$300,$B205))</f>
        <v/>
      </c>
      <c r="I205" s="339">
        <f>IF($B205="","",IF(AND(C205="",F205=""),"",ROUND(SUMIFS('ИТОГО Торговля'!$I$5:$I$300,'ИТОГО Торговля'!$B$5:$B$300,$B205)+SUMIFS('ИТОГО Лэндинг'!$I$5:$I$300,'ИТОГО Лэндинг'!$B$5:$B$300,$B205)+SUMIFS('История'!$I$5:$I$300,'История'!$B$5:$B$300,$B205),8)))</f>
        <v/>
      </c>
      <c r="J205" s="340">
        <f>IF($B205="","",IF(AND(C205="",F205=""),"",ROUND(SUMIFS('ИТОГО Торговля'!$J$5:$J$300,'ИТОГО Торговля'!$B$5:$B$300,$B205)+SUMIFS('ИТОГО Лэндинг'!$J$5:$J$300,'ИТОГО Лэндинг'!$B$5:$B$300,$B205)+SUMIFS('История'!$J$5:$J$300,'История'!$B$5:$B$300,$B205),8)))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Лэндинг'!$B$5:$B$300,$B205)+SUMIFS('История'!$K$5:$K$300,'История'!$B$5:$B$300,$B205),8))</f>
        <v/>
      </c>
      <c r="L205" s="177">
        <f>IF(K205="","",IF(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&lt;=0,0,ROUND(K205/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*100,2)))</f>
        <v/>
      </c>
      <c r="M205" s="343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Лэндинг'!$B$5:$B$300,$B206)+SUMIFS('История'!$C$5:$C$300,'История'!$B$5:$B$300,$B206)=0,"",SUMIFS('ИТОГО Торговля'!$C$5:$C$300,'ИТОГО Торговля'!$B$5:$B$300,$B206)+SUMIFS('ИТОГО Лэндинг'!$C$5:$C$300,'ИТОГО Лэндинг'!$B$5:$B$300,$B206)+SUMIFS('История'!$C$5:$C$300,'История'!$B$5:$B$300,$B206)))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Лэндинг'!$B$5:$B$300,$B206)+SUMIFS('История'!$E$5:$E$300,'История'!$B$5:$B$300,$B206))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Лэндинг'!$B$5:$B$300,$B206)+SUMIFS('История'!$F$5:$F$300,'История'!$B$5:$B$300,$B206)=0,"",SUMIFS('ИТОГО Торговля'!$F$5:$F$300,'ИТОГО Торговля'!$B$5:$B$300,$B206)+SUMIFS('ИТОГО Лэндинг'!$F$5:$F$300,'ИТОГО Лэндинг'!$B$5:$B$300,$B206)+SUMIFS('История'!$F$5:$F$300,'История'!$B$5:$B$300,$B206)))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Лэндинг'!$B$5:$B$300,$B206)+SUMIFS('История'!$H$5:$H$300,'История'!$B$5:$B$300,$B206))</f>
        <v/>
      </c>
      <c r="I206" s="341">
        <f>IF($B206="","",IF(AND(C206="",F206=""),"",ROUND(SUMIFS('ИТОГО Торговля'!$I$5:$I$300,'ИТОГО Торговля'!$B$5:$B$300,$B206)+SUMIFS('ИТОГО Лэндинг'!$I$5:$I$300,'ИТОГО Лэндинг'!$B$5:$B$300,$B206)+SUMIFS('История'!$I$5:$I$300,'История'!$B$5:$B$300,$B206),8)))</f>
        <v/>
      </c>
      <c r="J206" s="342">
        <f>IF($B206="","",IF(AND(C206="",F206=""),"",ROUND(SUMIFS('ИТОГО Торговля'!$J$5:$J$300,'ИТОГО Торговля'!$B$5:$B$300,$B206)+SUMIFS('ИТОГО Лэндинг'!$J$5:$J$300,'ИТОГО Лэндинг'!$B$5:$B$300,$B206)+SUMIFS('История'!$J$5:$J$300,'История'!$B$5:$B$300,$B206),8)))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Лэндинг'!$B$5:$B$300,$B206)+SUMIFS('История'!$K$5:$K$300,'История'!$B$5:$B$300,$B206),8))</f>
        <v/>
      </c>
      <c r="L206" s="183">
        <f>IF(K206="","",IF(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&lt;=0,0,ROUND(K206/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*100,2)))</f>
        <v/>
      </c>
      <c r="M206" s="344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Лэндинг'!$B$5:$B$300,$B207)+SUMIFS('История'!$C$5:$C$300,'История'!$B$5:$B$300,$B207)=0,"",SUMIFS('ИТОГО Торговля'!$C$5:$C$300,'ИТОГО Торговля'!$B$5:$B$300,$B207)+SUMIFS('ИТОГО Лэндинг'!$C$5:$C$300,'ИТОГО Лэндинг'!$B$5:$B$300,$B207)+SUMIFS('История'!$C$5:$C$300,'История'!$B$5:$B$300,$B207)))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Лэндинг'!$B$5:$B$300,$B207)+SUMIFS('История'!$E$5:$E$300,'История'!$B$5:$B$300,$B207))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Лэндинг'!$B$5:$B$300,$B207)+SUMIFS('История'!$F$5:$F$300,'История'!$B$5:$B$300,$B207)=0,"",SUMIFS('ИТОГО Торговля'!$F$5:$F$300,'ИТОГО Торговля'!$B$5:$B$300,$B207)+SUMIFS('ИТОГО Лэндинг'!$F$5:$F$300,'ИТОГО Лэндинг'!$B$5:$B$300,$B207)+SUMIFS('История'!$F$5:$F$300,'История'!$B$5:$B$300,$B207)))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Лэндинг'!$B$5:$B$300,$B207)+SUMIFS('История'!$H$5:$H$300,'История'!$B$5:$B$300,$B207))</f>
        <v/>
      </c>
      <c r="I207" s="339">
        <f>IF($B207="","",IF(AND(C207="",F207=""),"",ROUND(SUMIFS('ИТОГО Торговля'!$I$5:$I$300,'ИТОГО Торговля'!$B$5:$B$300,$B207)+SUMIFS('ИТОГО Лэндинг'!$I$5:$I$300,'ИТОГО Лэндинг'!$B$5:$B$300,$B207)+SUMIFS('История'!$I$5:$I$300,'История'!$B$5:$B$300,$B207),8)))</f>
        <v/>
      </c>
      <c r="J207" s="340">
        <f>IF($B207="","",IF(AND(C207="",F207=""),"",ROUND(SUMIFS('ИТОГО Торговля'!$J$5:$J$300,'ИТОГО Торговля'!$B$5:$B$300,$B207)+SUMIFS('ИТОГО Лэндинг'!$J$5:$J$300,'ИТОГО Лэндинг'!$B$5:$B$300,$B207)+SUMIFS('История'!$J$5:$J$300,'История'!$B$5:$B$300,$B207),8)))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Лэндинг'!$B$5:$B$300,$B207)+SUMIFS('История'!$K$5:$K$300,'История'!$B$5:$B$300,$B207),8))</f>
        <v/>
      </c>
      <c r="L207" s="177">
        <f>IF(K207="","",IF(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&lt;=0,0,ROUND(K207/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*100,2)))</f>
        <v/>
      </c>
      <c r="M207" s="343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Лэндинг'!$B$5:$B$300,$B208)+SUMIFS('История'!$C$5:$C$300,'История'!$B$5:$B$300,$B208)=0,"",SUMIFS('ИТОГО Торговля'!$C$5:$C$300,'ИТОГО Торговля'!$B$5:$B$300,$B208)+SUMIFS('ИТОГО Лэндинг'!$C$5:$C$300,'ИТОГО Лэндинг'!$B$5:$B$300,$B208)+SUMIFS('История'!$C$5:$C$300,'История'!$B$5:$B$300,$B208)))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Лэндинг'!$B$5:$B$300,$B208)+SUMIFS('История'!$E$5:$E$300,'История'!$B$5:$B$300,$B208))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Лэндинг'!$B$5:$B$300,$B208)+SUMIFS('История'!$F$5:$F$300,'История'!$B$5:$B$300,$B208)=0,"",SUMIFS('ИТОГО Торговля'!$F$5:$F$300,'ИТОГО Торговля'!$B$5:$B$300,$B208)+SUMIFS('ИТОГО Лэндинг'!$F$5:$F$300,'ИТОГО Лэндинг'!$B$5:$B$300,$B208)+SUMIFS('История'!$F$5:$F$300,'История'!$B$5:$B$300,$B208)))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Лэндинг'!$B$5:$B$300,$B208)+SUMIFS('История'!$H$5:$H$300,'История'!$B$5:$B$300,$B208))</f>
        <v/>
      </c>
      <c r="I208" s="341">
        <f>IF($B208="","",IF(AND(C208="",F208=""),"",ROUND(SUMIFS('ИТОГО Торговля'!$I$5:$I$300,'ИТОГО Торговля'!$B$5:$B$300,$B208)+SUMIFS('ИТОГО Лэндинг'!$I$5:$I$300,'ИТОГО Лэндинг'!$B$5:$B$300,$B208)+SUMIFS('История'!$I$5:$I$300,'История'!$B$5:$B$300,$B208),8)))</f>
        <v/>
      </c>
      <c r="J208" s="342">
        <f>IF($B208="","",IF(AND(C208="",F208=""),"",ROUND(SUMIFS('ИТОГО Торговля'!$J$5:$J$300,'ИТОГО Торговля'!$B$5:$B$300,$B208)+SUMIFS('ИТОГО Лэндинг'!$J$5:$J$300,'ИТОГО Лэндинг'!$B$5:$B$300,$B208)+SUMIFS('История'!$J$5:$J$300,'История'!$B$5:$B$300,$B208),8)))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Лэндинг'!$B$5:$B$300,$B208)+SUMIFS('История'!$K$5:$K$300,'История'!$B$5:$B$300,$B208),8))</f>
        <v/>
      </c>
      <c r="L208" s="183">
        <f>IF(K208="","",IF(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&lt;=0,0,ROUND(K208/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*100,2)))</f>
        <v/>
      </c>
      <c r="M208" s="344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Лэндинг'!$B$5:$B$300,$B209)+SUMIFS('История'!$C$5:$C$300,'История'!$B$5:$B$300,$B209)=0,"",SUMIFS('ИТОГО Торговля'!$C$5:$C$300,'ИТОГО Торговля'!$B$5:$B$300,$B209)+SUMIFS('ИТОГО Лэндинг'!$C$5:$C$300,'ИТОГО Лэндинг'!$B$5:$B$300,$B209)+SUMIFS('История'!$C$5:$C$300,'История'!$B$5:$B$300,$B209)))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Лэндинг'!$B$5:$B$300,$B209)+SUMIFS('История'!$E$5:$E$300,'История'!$B$5:$B$300,$B209))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Лэндинг'!$B$5:$B$300,$B209)+SUMIFS('История'!$F$5:$F$300,'История'!$B$5:$B$300,$B209)=0,"",SUMIFS('ИТОГО Торговля'!$F$5:$F$300,'ИТОГО Торговля'!$B$5:$B$300,$B209)+SUMIFS('ИТОГО Лэндинг'!$F$5:$F$300,'ИТОГО Лэндинг'!$B$5:$B$300,$B209)+SUMIFS('История'!$F$5:$F$300,'История'!$B$5:$B$300,$B209)))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Лэндинг'!$B$5:$B$300,$B209)+SUMIFS('История'!$H$5:$H$300,'История'!$B$5:$B$300,$B209))</f>
        <v/>
      </c>
      <c r="I209" s="339">
        <f>IF($B209="","",IF(AND(C209="",F209=""),"",ROUND(SUMIFS('ИТОГО Торговля'!$I$5:$I$300,'ИТОГО Торговля'!$B$5:$B$300,$B209)+SUMIFS('ИТОГО Лэндинг'!$I$5:$I$300,'ИТОГО Лэндинг'!$B$5:$B$300,$B209)+SUMIFS('История'!$I$5:$I$300,'История'!$B$5:$B$300,$B209),8)))</f>
        <v/>
      </c>
      <c r="J209" s="340">
        <f>IF($B209="","",IF(AND(C209="",F209=""),"",ROUND(SUMIFS('ИТОГО Торговля'!$J$5:$J$300,'ИТОГО Торговля'!$B$5:$B$300,$B209)+SUMIFS('ИТОГО Лэндинг'!$J$5:$J$300,'ИТОГО Лэндинг'!$B$5:$B$300,$B209)+SUMIFS('История'!$J$5:$J$300,'История'!$B$5:$B$300,$B209),8)))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Лэндинг'!$B$5:$B$300,$B209)+SUMIFS('История'!$K$5:$K$300,'История'!$B$5:$B$300,$B209),8))</f>
        <v/>
      </c>
      <c r="L209" s="177">
        <f>IF(K209="","",IF(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&lt;=0,0,ROUND(K209/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*100,2)))</f>
        <v/>
      </c>
      <c r="M209" s="343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Лэндинг'!$B$5:$B$300,$B210)+SUMIFS('История'!$C$5:$C$300,'История'!$B$5:$B$300,$B210)=0,"",SUMIFS('ИТОГО Торговля'!$C$5:$C$300,'ИТОГО Торговля'!$B$5:$B$300,$B210)+SUMIFS('ИТОГО Лэндинг'!$C$5:$C$300,'ИТОГО Лэндинг'!$B$5:$B$300,$B210)+SUMIFS('История'!$C$5:$C$300,'История'!$B$5:$B$300,$B210)))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Лэндинг'!$B$5:$B$300,$B210)+SUMIFS('История'!$E$5:$E$300,'История'!$B$5:$B$300,$B210))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Лэндинг'!$B$5:$B$300,$B210)+SUMIFS('История'!$F$5:$F$300,'История'!$B$5:$B$300,$B210)=0,"",SUMIFS('ИТОГО Торговля'!$F$5:$F$300,'ИТОГО Торговля'!$B$5:$B$300,$B210)+SUMIFS('ИТОГО Лэндинг'!$F$5:$F$300,'ИТОГО Лэндинг'!$B$5:$B$300,$B210)+SUMIFS('История'!$F$5:$F$300,'История'!$B$5:$B$300,$B210)))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Лэндинг'!$B$5:$B$300,$B210)+SUMIFS('История'!$H$5:$H$300,'История'!$B$5:$B$300,$B210))</f>
        <v/>
      </c>
      <c r="I210" s="341">
        <f>IF($B210="","",IF(AND(C210="",F210=""),"",ROUND(SUMIFS('ИТОГО Торговля'!$I$5:$I$300,'ИТОГО Торговля'!$B$5:$B$300,$B210)+SUMIFS('ИТОГО Лэндинг'!$I$5:$I$300,'ИТОГО Лэндинг'!$B$5:$B$300,$B210)+SUMIFS('История'!$I$5:$I$300,'История'!$B$5:$B$300,$B210),8)))</f>
        <v/>
      </c>
      <c r="J210" s="342">
        <f>IF($B210="","",IF(AND(C210="",F210=""),"",ROUND(SUMIFS('ИТОГО Торговля'!$J$5:$J$300,'ИТОГО Торговля'!$B$5:$B$300,$B210)+SUMIFS('ИТОГО Лэндинг'!$J$5:$J$300,'ИТОГО Лэндинг'!$B$5:$B$300,$B210)+SUMIFS('История'!$J$5:$J$300,'История'!$B$5:$B$300,$B210),8)))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Лэндинг'!$B$5:$B$300,$B210)+SUMIFS('История'!$K$5:$K$300,'История'!$B$5:$B$300,$B210),8))</f>
        <v/>
      </c>
      <c r="L210" s="183">
        <f>IF(K210="","",IF(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&lt;=0,0,ROUND(K210/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*100,2)))</f>
        <v/>
      </c>
      <c r="M210" s="344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Лэндинг'!$B$5:$B$300,$B211)+SUMIFS('История'!$C$5:$C$300,'История'!$B$5:$B$300,$B211)=0,"",SUMIFS('ИТОГО Торговля'!$C$5:$C$300,'ИТОГО Торговля'!$B$5:$B$300,$B211)+SUMIFS('ИТОГО Лэндинг'!$C$5:$C$300,'ИТОГО Лэндинг'!$B$5:$B$300,$B211)+SUMIFS('История'!$C$5:$C$300,'История'!$B$5:$B$300,$B211)))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Лэндинг'!$B$5:$B$300,$B211)+SUMIFS('История'!$E$5:$E$300,'История'!$B$5:$B$300,$B211))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Лэндинг'!$B$5:$B$300,$B211)+SUMIFS('История'!$F$5:$F$300,'История'!$B$5:$B$300,$B211)=0,"",SUMIFS('ИТОГО Торговля'!$F$5:$F$300,'ИТОГО Торговля'!$B$5:$B$300,$B211)+SUMIFS('ИТОГО Лэндинг'!$F$5:$F$300,'ИТОГО Лэндинг'!$B$5:$B$300,$B211)+SUMIFS('История'!$F$5:$F$300,'История'!$B$5:$B$300,$B211)))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Лэндинг'!$B$5:$B$300,$B211)+SUMIFS('История'!$H$5:$H$300,'История'!$B$5:$B$300,$B211))</f>
        <v/>
      </c>
      <c r="I211" s="339">
        <f>IF($B211="","",IF(AND(C211="",F211=""),"",ROUND(SUMIFS('ИТОГО Торговля'!$I$5:$I$300,'ИТОГО Торговля'!$B$5:$B$300,$B211)+SUMIFS('ИТОГО Лэндинг'!$I$5:$I$300,'ИТОГО Лэндинг'!$B$5:$B$300,$B211)+SUMIFS('История'!$I$5:$I$300,'История'!$B$5:$B$300,$B211),8)))</f>
        <v/>
      </c>
      <c r="J211" s="340">
        <f>IF($B211="","",IF(AND(C211="",F211=""),"",ROUND(SUMIFS('ИТОГО Торговля'!$J$5:$J$300,'ИТОГО Торговля'!$B$5:$B$300,$B211)+SUMIFS('ИТОГО Лэндинг'!$J$5:$J$300,'ИТОГО Лэндинг'!$B$5:$B$300,$B211)+SUMIFS('История'!$J$5:$J$300,'История'!$B$5:$B$300,$B211),8)))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Лэндинг'!$B$5:$B$300,$B211)+SUMIFS('История'!$K$5:$K$300,'История'!$B$5:$B$300,$B211),8))</f>
        <v/>
      </c>
      <c r="L211" s="177">
        <f>IF(K211="","",IF(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&lt;=0,0,ROUND(K211/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*100,2)))</f>
        <v/>
      </c>
      <c r="M211" s="343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Лэндинг'!$B$5:$B$300,$B212)+SUMIFS('История'!$C$5:$C$300,'История'!$B$5:$B$300,$B212)=0,"",SUMIFS('ИТОГО Торговля'!$C$5:$C$300,'ИТОГО Торговля'!$B$5:$B$300,$B212)+SUMIFS('ИТОГО Лэндинг'!$C$5:$C$300,'ИТОГО Лэндинг'!$B$5:$B$300,$B212)+SUMIFS('История'!$C$5:$C$300,'История'!$B$5:$B$300,$B212)))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Лэндинг'!$B$5:$B$300,$B212)+SUMIFS('История'!$E$5:$E$300,'История'!$B$5:$B$300,$B212))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Лэндинг'!$B$5:$B$300,$B212)+SUMIFS('История'!$F$5:$F$300,'История'!$B$5:$B$300,$B212)=0,"",SUMIFS('ИТОГО Торговля'!$F$5:$F$300,'ИТОГО Торговля'!$B$5:$B$300,$B212)+SUMIFS('ИТОГО Лэндинг'!$F$5:$F$300,'ИТОГО Лэндинг'!$B$5:$B$300,$B212)+SUMIFS('История'!$F$5:$F$300,'История'!$B$5:$B$300,$B212)))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Лэндинг'!$B$5:$B$300,$B212)+SUMIFS('История'!$H$5:$H$300,'История'!$B$5:$B$300,$B212))</f>
        <v/>
      </c>
      <c r="I212" s="341">
        <f>IF($B212="","",IF(AND(C212="",F212=""),"",ROUND(SUMIFS('ИТОГО Торговля'!$I$5:$I$300,'ИТОГО Торговля'!$B$5:$B$300,$B212)+SUMIFS('ИТОГО Лэндинг'!$I$5:$I$300,'ИТОГО Лэндинг'!$B$5:$B$300,$B212)+SUMIFS('История'!$I$5:$I$300,'История'!$B$5:$B$300,$B212),8)))</f>
        <v/>
      </c>
      <c r="J212" s="342">
        <f>IF($B212="","",IF(AND(C212="",F212=""),"",ROUND(SUMIFS('ИТОГО Торговля'!$J$5:$J$300,'ИТОГО Торговля'!$B$5:$B$300,$B212)+SUMIFS('ИТОГО Лэндинг'!$J$5:$J$300,'ИТОГО Лэндинг'!$B$5:$B$300,$B212)+SUMIFS('История'!$J$5:$J$300,'История'!$B$5:$B$300,$B212),8)))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Лэндинг'!$B$5:$B$300,$B212)+SUMIFS('История'!$K$5:$K$300,'История'!$B$5:$B$300,$B212),8))</f>
        <v/>
      </c>
      <c r="L212" s="183">
        <f>IF(K212="","",IF(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&lt;=0,0,ROUND(K212/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*100,2)))</f>
        <v/>
      </c>
      <c r="M212" s="344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Лэндинг'!$B$5:$B$300,$B213)+SUMIFS('История'!$C$5:$C$300,'История'!$B$5:$B$300,$B213)=0,"",SUMIFS('ИТОГО Торговля'!$C$5:$C$300,'ИТОГО Торговля'!$B$5:$B$300,$B213)+SUMIFS('ИТОГО Лэндинг'!$C$5:$C$300,'ИТОГО Лэндинг'!$B$5:$B$300,$B213)+SUMIFS('История'!$C$5:$C$300,'История'!$B$5:$B$300,$B213)))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Лэндинг'!$B$5:$B$300,$B213)+SUMIFS('История'!$E$5:$E$300,'История'!$B$5:$B$300,$B213))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Лэндинг'!$B$5:$B$300,$B213)+SUMIFS('История'!$F$5:$F$300,'История'!$B$5:$B$300,$B213)=0,"",SUMIFS('ИТОГО Торговля'!$F$5:$F$300,'ИТОГО Торговля'!$B$5:$B$300,$B213)+SUMIFS('ИТОГО Лэндинг'!$F$5:$F$300,'ИТОГО Лэндинг'!$B$5:$B$300,$B213)+SUMIFS('История'!$F$5:$F$300,'История'!$B$5:$B$300,$B213)))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Лэндинг'!$B$5:$B$300,$B213)+SUMIFS('История'!$H$5:$H$300,'История'!$B$5:$B$300,$B213))</f>
        <v/>
      </c>
      <c r="I213" s="339">
        <f>IF($B213="","",IF(AND(C213="",F213=""),"",ROUND(SUMIFS('ИТОГО Торговля'!$I$5:$I$300,'ИТОГО Торговля'!$B$5:$B$300,$B213)+SUMIFS('ИТОГО Лэндинг'!$I$5:$I$300,'ИТОГО Лэндинг'!$B$5:$B$300,$B213)+SUMIFS('История'!$I$5:$I$300,'История'!$B$5:$B$300,$B213),8)))</f>
        <v/>
      </c>
      <c r="J213" s="340">
        <f>IF($B213="","",IF(AND(C213="",F213=""),"",ROUND(SUMIFS('ИТОГО Торговля'!$J$5:$J$300,'ИТОГО Торговля'!$B$5:$B$300,$B213)+SUMIFS('ИТОГО Лэндинг'!$J$5:$J$300,'ИТОГО Лэндинг'!$B$5:$B$300,$B213)+SUMIFS('История'!$J$5:$J$300,'История'!$B$5:$B$300,$B213),8)))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Лэндинг'!$B$5:$B$300,$B213)+SUMIFS('История'!$K$5:$K$300,'История'!$B$5:$B$300,$B213),8))</f>
        <v/>
      </c>
      <c r="L213" s="177">
        <f>IF(K213="","",IF(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&lt;=0,0,ROUND(K213/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*100,2)))</f>
        <v/>
      </c>
      <c r="M213" s="343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Лэндинг'!$B$5:$B$300,$B214)+SUMIFS('История'!$C$5:$C$300,'История'!$B$5:$B$300,$B214)=0,"",SUMIFS('ИТОГО Торговля'!$C$5:$C$300,'ИТОГО Торговля'!$B$5:$B$300,$B214)+SUMIFS('ИТОГО Лэндинг'!$C$5:$C$300,'ИТОГО Лэндинг'!$B$5:$B$300,$B214)+SUMIFS('История'!$C$5:$C$300,'История'!$B$5:$B$300,$B214)))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Лэндинг'!$B$5:$B$300,$B214)+SUMIFS('История'!$E$5:$E$300,'История'!$B$5:$B$300,$B214))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Лэндинг'!$B$5:$B$300,$B214)+SUMIFS('История'!$F$5:$F$300,'История'!$B$5:$B$300,$B214)=0,"",SUMIFS('ИТОГО Торговля'!$F$5:$F$300,'ИТОГО Торговля'!$B$5:$B$300,$B214)+SUMIFS('ИТОГО Лэндинг'!$F$5:$F$300,'ИТОГО Лэндинг'!$B$5:$B$300,$B214)+SUMIFS('История'!$F$5:$F$300,'История'!$B$5:$B$300,$B214)))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Лэндинг'!$B$5:$B$300,$B214)+SUMIFS('История'!$H$5:$H$300,'История'!$B$5:$B$300,$B214))</f>
        <v/>
      </c>
      <c r="I214" s="341">
        <f>IF($B214="","",IF(AND(C214="",F214=""),"",ROUND(SUMIFS('ИТОГО Торговля'!$I$5:$I$300,'ИТОГО Торговля'!$B$5:$B$300,$B214)+SUMIFS('ИТОГО Лэндинг'!$I$5:$I$300,'ИТОГО Лэндинг'!$B$5:$B$300,$B214)+SUMIFS('История'!$I$5:$I$300,'История'!$B$5:$B$300,$B214),8)))</f>
        <v/>
      </c>
      <c r="J214" s="342">
        <f>IF($B214="","",IF(AND(C214="",F214=""),"",ROUND(SUMIFS('ИТОГО Торговля'!$J$5:$J$300,'ИТОГО Торговля'!$B$5:$B$300,$B214)+SUMIFS('ИТОГО Лэндинг'!$J$5:$J$300,'ИТОГО Лэндинг'!$B$5:$B$300,$B214)+SUMIFS('История'!$J$5:$J$300,'История'!$B$5:$B$300,$B214),8)))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Лэндинг'!$B$5:$B$300,$B214)+SUMIFS('История'!$K$5:$K$300,'История'!$B$5:$B$300,$B214),8))</f>
        <v/>
      </c>
      <c r="L214" s="183">
        <f>IF(K214="","",IF(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&lt;=0,0,ROUND(K214/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*100,2)))</f>
        <v/>
      </c>
      <c r="M214" s="344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Лэндинг'!$B$5:$B$300,$B215)+SUMIFS('История'!$C$5:$C$300,'История'!$B$5:$B$300,$B215)=0,"",SUMIFS('ИТОГО Торговля'!$C$5:$C$300,'ИТОГО Торговля'!$B$5:$B$300,$B215)+SUMIFS('ИТОГО Лэндинг'!$C$5:$C$300,'ИТОГО Лэндинг'!$B$5:$B$300,$B215)+SUMIFS('История'!$C$5:$C$300,'История'!$B$5:$B$300,$B215)))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Лэндинг'!$B$5:$B$300,$B215)+SUMIFS('История'!$E$5:$E$300,'История'!$B$5:$B$300,$B215))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Лэндинг'!$B$5:$B$300,$B215)+SUMIFS('История'!$F$5:$F$300,'История'!$B$5:$B$300,$B215)=0,"",SUMIFS('ИТОГО Торговля'!$F$5:$F$300,'ИТОГО Торговля'!$B$5:$B$300,$B215)+SUMIFS('ИТОГО Лэндинг'!$F$5:$F$300,'ИТОГО Лэндинг'!$B$5:$B$300,$B215)+SUMIFS('История'!$F$5:$F$300,'История'!$B$5:$B$300,$B215)))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Лэндинг'!$B$5:$B$300,$B215)+SUMIFS('История'!$H$5:$H$300,'История'!$B$5:$B$300,$B215))</f>
        <v/>
      </c>
      <c r="I215" s="339">
        <f>IF($B215="","",IF(AND(C215="",F215=""),"",ROUND(SUMIFS('ИТОГО Торговля'!$I$5:$I$300,'ИТОГО Торговля'!$B$5:$B$300,$B215)+SUMIFS('ИТОГО Лэндинг'!$I$5:$I$300,'ИТОГО Лэндинг'!$B$5:$B$300,$B215)+SUMIFS('История'!$I$5:$I$300,'История'!$B$5:$B$300,$B215),8)))</f>
        <v/>
      </c>
      <c r="J215" s="340">
        <f>IF($B215="","",IF(AND(C215="",F215=""),"",ROUND(SUMIFS('ИТОГО Торговля'!$J$5:$J$300,'ИТОГО Торговля'!$B$5:$B$300,$B215)+SUMIFS('ИТОГО Лэндинг'!$J$5:$J$300,'ИТОГО Лэндинг'!$B$5:$B$300,$B215)+SUMIFS('История'!$J$5:$J$300,'История'!$B$5:$B$300,$B215),8)))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Лэндинг'!$B$5:$B$300,$B215)+SUMIFS('История'!$K$5:$K$300,'История'!$B$5:$B$300,$B215),8))</f>
        <v/>
      </c>
      <c r="L215" s="177">
        <f>IF(K215="","",IF(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&lt;=0,0,ROUND(K215/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*100,2)))</f>
        <v/>
      </c>
      <c r="M215" s="343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Лэндинг'!$B$5:$B$300,$B216)+SUMIFS('История'!$C$5:$C$300,'История'!$B$5:$B$300,$B216)=0,"",SUMIFS('ИТОГО Торговля'!$C$5:$C$300,'ИТОГО Торговля'!$B$5:$B$300,$B216)+SUMIFS('ИТОГО Лэндинг'!$C$5:$C$300,'ИТОГО Лэндинг'!$B$5:$B$300,$B216)+SUMIFS('История'!$C$5:$C$300,'История'!$B$5:$B$300,$B216)))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Лэндинг'!$B$5:$B$300,$B216)+SUMIFS('История'!$E$5:$E$300,'История'!$B$5:$B$300,$B216))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Лэндинг'!$B$5:$B$300,$B216)+SUMIFS('История'!$F$5:$F$300,'История'!$B$5:$B$300,$B216)=0,"",SUMIFS('ИТОГО Торговля'!$F$5:$F$300,'ИТОГО Торговля'!$B$5:$B$300,$B216)+SUMIFS('ИТОГО Лэндинг'!$F$5:$F$300,'ИТОГО Лэндинг'!$B$5:$B$300,$B216)+SUMIFS('История'!$F$5:$F$300,'История'!$B$5:$B$300,$B216)))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Лэндинг'!$B$5:$B$300,$B216)+SUMIFS('История'!$H$5:$H$300,'История'!$B$5:$B$300,$B216))</f>
        <v/>
      </c>
      <c r="I216" s="341">
        <f>IF($B216="","",IF(AND(C216="",F216=""),"",ROUND(SUMIFS('ИТОГО Торговля'!$I$5:$I$300,'ИТОГО Торговля'!$B$5:$B$300,$B216)+SUMIFS('ИТОГО Лэндинг'!$I$5:$I$300,'ИТОГО Лэндинг'!$B$5:$B$300,$B216)+SUMIFS('История'!$I$5:$I$300,'История'!$B$5:$B$300,$B216),8)))</f>
        <v/>
      </c>
      <c r="J216" s="342">
        <f>IF($B216="","",IF(AND(C216="",F216=""),"",ROUND(SUMIFS('ИТОГО Торговля'!$J$5:$J$300,'ИТОГО Торговля'!$B$5:$B$300,$B216)+SUMIFS('ИТОГО Лэндинг'!$J$5:$J$300,'ИТОГО Лэндинг'!$B$5:$B$300,$B216)+SUMIFS('История'!$J$5:$J$300,'История'!$B$5:$B$300,$B216),8)))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Лэндинг'!$B$5:$B$300,$B216)+SUMIFS('История'!$K$5:$K$300,'История'!$B$5:$B$300,$B216),8))</f>
        <v/>
      </c>
      <c r="L216" s="183">
        <f>IF(K216="","",IF(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&lt;=0,0,ROUND(K216/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*100,2)))</f>
        <v/>
      </c>
      <c r="M216" s="344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Лэндинг'!$B$5:$B$300,$B217)+SUMIFS('История'!$C$5:$C$300,'История'!$B$5:$B$300,$B217)=0,"",SUMIFS('ИТОГО Торговля'!$C$5:$C$300,'ИТОГО Торговля'!$B$5:$B$300,$B217)+SUMIFS('ИТОГО Лэндинг'!$C$5:$C$300,'ИТОГО Лэндинг'!$B$5:$B$300,$B217)+SUMIFS('История'!$C$5:$C$300,'История'!$B$5:$B$300,$B217)))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Лэндинг'!$B$5:$B$300,$B217)+SUMIFS('История'!$E$5:$E$300,'История'!$B$5:$B$300,$B217))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Лэндинг'!$B$5:$B$300,$B217)+SUMIFS('История'!$F$5:$F$300,'История'!$B$5:$B$300,$B217)=0,"",SUMIFS('ИТОГО Торговля'!$F$5:$F$300,'ИТОГО Торговля'!$B$5:$B$300,$B217)+SUMIFS('ИТОГО Лэндинг'!$F$5:$F$300,'ИТОГО Лэндинг'!$B$5:$B$300,$B217)+SUMIFS('История'!$F$5:$F$300,'История'!$B$5:$B$300,$B217)))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Лэндинг'!$B$5:$B$300,$B217)+SUMIFS('История'!$H$5:$H$300,'История'!$B$5:$B$300,$B217))</f>
        <v/>
      </c>
      <c r="I217" s="339">
        <f>IF($B217="","",IF(AND(C217="",F217=""),"",ROUND(SUMIFS('ИТОГО Торговля'!$I$5:$I$300,'ИТОГО Торговля'!$B$5:$B$300,$B217)+SUMIFS('ИТОГО Лэндинг'!$I$5:$I$300,'ИТОГО Лэндинг'!$B$5:$B$300,$B217)+SUMIFS('История'!$I$5:$I$300,'История'!$B$5:$B$300,$B217),8)))</f>
        <v/>
      </c>
      <c r="J217" s="340">
        <f>IF($B217="","",IF(AND(C217="",F217=""),"",ROUND(SUMIFS('ИТОГО Торговля'!$J$5:$J$300,'ИТОГО Торговля'!$B$5:$B$300,$B217)+SUMIFS('ИТОГО Лэндинг'!$J$5:$J$300,'ИТОГО Лэндинг'!$B$5:$B$300,$B217)+SUMIFS('История'!$J$5:$J$300,'История'!$B$5:$B$300,$B217),8)))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Лэндинг'!$B$5:$B$300,$B217)+SUMIFS('История'!$K$5:$K$300,'История'!$B$5:$B$300,$B217),8))</f>
        <v/>
      </c>
      <c r="L217" s="177">
        <f>IF(K217="","",IF(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&lt;=0,0,ROUND(K217/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*100,2)))</f>
        <v/>
      </c>
      <c r="M217" s="343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Лэндинг'!$B$5:$B$300,$B218)+SUMIFS('История'!$C$5:$C$300,'История'!$B$5:$B$300,$B218)=0,"",SUMIFS('ИТОГО Торговля'!$C$5:$C$300,'ИТОГО Торговля'!$B$5:$B$300,$B218)+SUMIFS('ИТОГО Лэндинг'!$C$5:$C$300,'ИТОГО Лэндинг'!$B$5:$B$300,$B218)+SUMIFS('История'!$C$5:$C$300,'История'!$B$5:$B$300,$B218)))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Лэндинг'!$B$5:$B$300,$B218)+SUMIFS('История'!$E$5:$E$300,'История'!$B$5:$B$300,$B218))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Лэндинг'!$B$5:$B$300,$B218)+SUMIFS('История'!$F$5:$F$300,'История'!$B$5:$B$300,$B218)=0,"",SUMIFS('ИТОГО Торговля'!$F$5:$F$300,'ИТОГО Торговля'!$B$5:$B$300,$B218)+SUMIFS('ИТОГО Лэндинг'!$F$5:$F$300,'ИТОГО Лэндинг'!$B$5:$B$300,$B218)+SUMIFS('История'!$F$5:$F$300,'История'!$B$5:$B$300,$B218)))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Лэндинг'!$B$5:$B$300,$B218)+SUMIFS('История'!$H$5:$H$300,'История'!$B$5:$B$300,$B218))</f>
        <v/>
      </c>
      <c r="I218" s="341">
        <f>IF($B218="","",IF(AND(C218="",F218=""),"",ROUND(SUMIFS('ИТОГО Торговля'!$I$5:$I$300,'ИТОГО Торговля'!$B$5:$B$300,$B218)+SUMIFS('ИТОГО Лэндинг'!$I$5:$I$300,'ИТОГО Лэндинг'!$B$5:$B$300,$B218)+SUMIFS('История'!$I$5:$I$300,'История'!$B$5:$B$300,$B218),8)))</f>
        <v/>
      </c>
      <c r="J218" s="342">
        <f>IF($B218="","",IF(AND(C218="",F218=""),"",ROUND(SUMIFS('ИТОГО Торговля'!$J$5:$J$300,'ИТОГО Торговля'!$B$5:$B$300,$B218)+SUMIFS('ИТОГО Лэндинг'!$J$5:$J$300,'ИТОГО Лэндинг'!$B$5:$B$300,$B218)+SUMIFS('История'!$J$5:$J$300,'История'!$B$5:$B$300,$B218),8)))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Лэндинг'!$B$5:$B$300,$B218)+SUMIFS('История'!$K$5:$K$300,'История'!$B$5:$B$300,$B218),8))</f>
        <v/>
      </c>
      <c r="L218" s="183">
        <f>IF(K218="","",IF(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&lt;=0,0,ROUND(K218/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*100,2)))</f>
        <v/>
      </c>
      <c r="M218" s="344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Лэндинг'!$B$5:$B$300,$B219)+SUMIFS('История'!$C$5:$C$300,'История'!$B$5:$B$300,$B219)=0,"",SUMIFS('ИТОГО Торговля'!$C$5:$C$300,'ИТОГО Торговля'!$B$5:$B$300,$B219)+SUMIFS('ИТОГО Лэндинг'!$C$5:$C$300,'ИТОГО Лэндинг'!$B$5:$B$300,$B219)+SUMIFS('История'!$C$5:$C$300,'История'!$B$5:$B$300,$B219)))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Лэндинг'!$B$5:$B$300,$B219)+SUMIFS('История'!$E$5:$E$300,'История'!$B$5:$B$300,$B219))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Лэндинг'!$B$5:$B$300,$B219)+SUMIFS('История'!$F$5:$F$300,'История'!$B$5:$B$300,$B219)=0,"",SUMIFS('ИТОГО Торговля'!$F$5:$F$300,'ИТОГО Торговля'!$B$5:$B$300,$B219)+SUMIFS('ИТОГО Лэндинг'!$F$5:$F$300,'ИТОГО Лэндинг'!$B$5:$B$300,$B219)+SUMIFS('История'!$F$5:$F$300,'История'!$B$5:$B$300,$B219)))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Лэндинг'!$B$5:$B$300,$B219)+SUMIFS('История'!$H$5:$H$300,'История'!$B$5:$B$300,$B219))</f>
        <v/>
      </c>
      <c r="I219" s="339">
        <f>IF($B219="","",IF(AND(C219="",F219=""),"",ROUND(SUMIFS('ИТОГО Торговля'!$I$5:$I$300,'ИТОГО Торговля'!$B$5:$B$300,$B219)+SUMIFS('ИТОГО Лэндинг'!$I$5:$I$300,'ИТОГО Лэндинг'!$B$5:$B$300,$B219)+SUMIFS('История'!$I$5:$I$300,'История'!$B$5:$B$300,$B219),8)))</f>
        <v/>
      </c>
      <c r="J219" s="340">
        <f>IF($B219="","",IF(AND(C219="",F219=""),"",ROUND(SUMIFS('ИТОГО Торговля'!$J$5:$J$300,'ИТОГО Торговля'!$B$5:$B$300,$B219)+SUMIFS('ИТОГО Лэндинг'!$J$5:$J$300,'ИТОГО Лэндинг'!$B$5:$B$300,$B219)+SUMIFS('История'!$J$5:$J$300,'История'!$B$5:$B$300,$B219),8)))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Лэндинг'!$B$5:$B$300,$B219)+SUMIFS('История'!$K$5:$K$300,'История'!$B$5:$B$300,$B219),8))</f>
        <v/>
      </c>
      <c r="L219" s="177">
        <f>IF(K219="","",IF(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&lt;=0,0,ROUND(K219/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*100,2)))</f>
        <v/>
      </c>
      <c r="M219" s="343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Лэндинг'!$B$5:$B$300,$B220)+SUMIFS('История'!$C$5:$C$300,'История'!$B$5:$B$300,$B220)=0,"",SUMIFS('ИТОГО Торговля'!$C$5:$C$300,'ИТОГО Торговля'!$B$5:$B$300,$B220)+SUMIFS('ИТОГО Лэндинг'!$C$5:$C$300,'ИТОГО Лэндинг'!$B$5:$B$300,$B220)+SUMIFS('История'!$C$5:$C$300,'История'!$B$5:$B$300,$B220)))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Лэндинг'!$B$5:$B$300,$B220)+SUMIFS('История'!$E$5:$E$300,'История'!$B$5:$B$300,$B220))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Лэндинг'!$B$5:$B$300,$B220)+SUMIFS('История'!$F$5:$F$300,'История'!$B$5:$B$300,$B220)=0,"",SUMIFS('ИТОГО Торговля'!$F$5:$F$300,'ИТОГО Торговля'!$B$5:$B$300,$B220)+SUMIFS('ИТОГО Лэндинг'!$F$5:$F$300,'ИТОГО Лэндинг'!$B$5:$B$300,$B220)+SUMIFS('История'!$F$5:$F$300,'История'!$B$5:$B$300,$B220)))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Лэндинг'!$B$5:$B$300,$B220)+SUMIFS('История'!$H$5:$H$300,'История'!$B$5:$B$300,$B220))</f>
        <v/>
      </c>
      <c r="I220" s="341">
        <f>IF($B220="","",IF(AND(C220="",F220=""),"",ROUND(SUMIFS('ИТОГО Торговля'!$I$5:$I$300,'ИТОГО Торговля'!$B$5:$B$300,$B220)+SUMIFS('ИТОГО Лэндинг'!$I$5:$I$300,'ИТОГО Лэндинг'!$B$5:$B$300,$B220)+SUMIFS('История'!$I$5:$I$300,'История'!$B$5:$B$300,$B220),8)))</f>
        <v/>
      </c>
      <c r="J220" s="342">
        <f>IF($B220="","",IF(AND(C220="",F220=""),"",ROUND(SUMIFS('ИТОГО Торговля'!$J$5:$J$300,'ИТОГО Торговля'!$B$5:$B$300,$B220)+SUMIFS('ИТОГО Лэндинг'!$J$5:$J$300,'ИТОГО Лэндинг'!$B$5:$B$300,$B220)+SUMIFS('История'!$J$5:$J$300,'История'!$B$5:$B$300,$B220),8)))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Лэндинг'!$B$5:$B$300,$B220)+SUMIFS('История'!$K$5:$K$300,'История'!$B$5:$B$300,$B220),8))</f>
        <v/>
      </c>
      <c r="L220" s="183">
        <f>IF(K220="","",IF(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&lt;=0,0,ROUND(K220/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*100,2)))</f>
        <v/>
      </c>
      <c r="M220" s="344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Лэндинг'!$B$5:$B$300,$B221)+SUMIFS('История'!$C$5:$C$300,'История'!$B$5:$B$300,$B221)=0,"",SUMIFS('ИТОГО Торговля'!$C$5:$C$300,'ИТОГО Торговля'!$B$5:$B$300,$B221)+SUMIFS('ИТОГО Лэндинг'!$C$5:$C$300,'ИТОГО Лэндинг'!$B$5:$B$300,$B221)+SUMIFS('История'!$C$5:$C$300,'История'!$B$5:$B$300,$B221)))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Лэндинг'!$B$5:$B$300,$B221)+SUMIFS('История'!$E$5:$E$300,'История'!$B$5:$B$300,$B221))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Лэндинг'!$B$5:$B$300,$B221)+SUMIFS('История'!$F$5:$F$300,'История'!$B$5:$B$300,$B221)=0,"",SUMIFS('ИТОГО Торговля'!$F$5:$F$300,'ИТОГО Торговля'!$B$5:$B$300,$B221)+SUMIFS('ИТОГО Лэндинг'!$F$5:$F$300,'ИТОГО Лэндинг'!$B$5:$B$300,$B221)+SUMIFS('История'!$F$5:$F$300,'История'!$B$5:$B$300,$B221)))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Лэндинг'!$B$5:$B$300,$B221)+SUMIFS('История'!$H$5:$H$300,'История'!$B$5:$B$300,$B221))</f>
        <v/>
      </c>
      <c r="I221" s="339">
        <f>IF($B221="","",IF(AND(C221="",F221=""),"",ROUND(SUMIFS('ИТОГО Торговля'!$I$5:$I$300,'ИТОГО Торговля'!$B$5:$B$300,$B221)+SUMIFS('ИТОГО Лэндинг'!$I$5:$I$300,'ИТОГО Лэндинг'!$B$5:$B$300,$B221)+SUMIFS('История'!$I$5:$I$300,'История'!$B$5:$B$300,$B221),8)))</f>
        <v/>
      </c>
      <c r="J221" s="340">
        <f>IF($B221="","",IF(AND(C221="",F221=""),"",ROUND(SUMIFS('ИТОГО Торговля'!$J$5:$J$300,'ИТОГО Торговля'!$B$5:$B$300,$B221)+SUMIFS('ИТОГО Лэндинг'!$J$5:$J$300,'ИТОГО Лэндинг'!$B$5:$B$300,$B221)+SUMIFS('История'!$J$5:$J$300,'История'!$B$5:$B$300,$B221),8)))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Лэндинг'!$B$5:$B$300,$B221)+SUMIFS('История'!$K$5:$K$300,'История'!$B$5:$B$300,$B221),8))</f>
        <v/>
      </c>
      <c r="L221" s="177">
        <f>IF(K221="","",IF(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&lt;=0,0,ROUND(K221/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*100,2)))</f>
        <v/>
      </c>
      <c r="M221" s="343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Лэндинг'!$B$5:$B$300,$B222)+SUMIFS('История'!$C$5:$C$300,'История'!$B$5:$B$300,$B222)=0,"",SUMIFS('ИТОГО Торговля'!$C$5:$C$300,'ИТОГО Торговля'!$B$5:$B$300,$B222)+SUMIFS('ИТОГО Лэндинг'!$C$5:$C$300,'ИТОГО Лэндинг'!$B$5:$B$300,$B222)+SUMIFS('История'!$C$5:$C$300,'История'!$B$5:$B$300,$B222)))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Лэндинг'!$B$5:$B$300,$B222)+SUMIFS('История'!$E$5:$E$300,'История'!$B$5:$B$300,$B222))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Лэндинг'!$B$5:$B$300,$B222)+SUMIFS('История'!$F$5:$F$300,'История'!$B$5:$B$300,$B222)=0,"",SUMIFS('ИТОГО Торговля'!$F$5:$F$300,'ИТОГО Торговля'!$B$5:$B$300,$B222)+SUMIFS('ИТОГО Лэндинг'!$F$5:$F$300,'ИТОГО Лэндинг'!$B$5:$B$300,$B222)+SUMIFS('История'!$F$5:$F$300,'История'!$B$5:$B$300,$B222)))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Лэндинг'!$B$5:$B$300,$B222)+SUMIFS('История'!$H$5:$H$300,'История'!$B$5:$B$300,$B222))</f>
        <v/>
      </c>
      <c r="I222" s="341">
        <f>IF($B222="","",IF(AND(C222="",F222=""),"",ROUND(SUMIFS('ИТОГО Торговля'!$I$5:$I$300,'ИТОГО Торговля'!$B$5:$B$300,$B222)+SUMIFS('ИТОГО Лэндинг'!$I$5:$I$300,'ИТОГО Лэндинг'!$B$5:$B$300,$B222)+SUMIFS('История'!$I$5:$I$300,'История'!$B$5:$B$300,$B222),8)))</f>
        <v/>
      </c>
      <c r="J222" s="342">
        <f>IF($B222="","",IF(AND(C222="",F222=""),"",ROUND(SUMIFS('ИТОГО Торговля'!$J$5:$J$300,'ИТОГО Торговля'!$B$5:$B$300,$B222)+SUMIFS('ИТОГО Лэндинг'!$J$5:$J$300,'ИТОГО Лэндинг'!$B$5:$B$300,$B222)+SUMIFS('История'!$J$5:$J$300,'История'!$B$5:$B$300,$B222),8)))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Лэндинг'!$B$5:$B$300,$B222)+SUMIFS('История'!$K$5:$K$300,'История'!$B$5:$B$300,$B222),8))</f>
        <v/>
      </c>
      <c r="L222" s="183">
        <f>IF(K222="","",IF(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&lt;=0,0,ROUND(K222/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*100,2)))</f>
        <v/>
      </c>
      <c r="M222" s="344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Лэндинг'!$B$5:$B$300,$B223)+SUMIFS('История'!$C$5:$C$300,'История'!$B$5:$B$300,$B223)=0,"",SUMIFS('ИТОГО Торговля'!$C$5:$C$300,'ИТОГО Торговля'!$B$5:$B$300,$B223)+SUMIFS('ИТОГО Лэндинг'!$C$5:$C$300,'ИТОГО Лэндинг'!$B$5:$B$300,$B223)+SUMIFS('История'!$C$5:$C$300,'История'!$B$5:$B$300,$B223)))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Лэндинг'!$B$5:$B$300,$B223)+SUMIFS('История'!$E$5:$E$300,'История'!$B$5:$B$300,$B223))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Лэндинг'!$B$5:$B$300,$B223)+SUMIFS('История'!$F$5:$F$300,'История'!$B$5:$B$300,$B223)=0,"",SUMIFS('ИТОГО Торговля'!$F$5:$F$300,'ИТОГО Торговля'!$B$5:$B$300,$B223)+SUMIFS('ИТОГО Лэндинг'!$F$5:$F$300,'ИТОГО Лэндинг'!$B$5:$B$300,$B223)+SUMIFS('История'!$F$5:$F$300,'История'!$B$5:$B$300,$B223)))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Лэндинг'!$B$5:$B$300,$B223)+SUMIFS('История'!$H$5:$H$300,'История'!$B$5:$B$300,$B223))</f>
        <v/>
      </c>
      <c r="I223" s="339">
        <f>IF($B223="","",IF(AND(C223="",F223=""),"",ROUND(SUMIFS('ИТОГО Торговля'!$I$5:$I$300,'ИТОГО Торговля'!$B$5:$B$300,$B223)+SUMIFS('ИТОГО Лэндинг'!$I$5:$I$300,'ИТОГО Лэндинг'!$B$5:$B$300,$B223)+SUMIFS('История'!$I$5:$I$300,'История'!$B$5:$B$300,$B223),8)))</f>
        <v/>
      </c>
      <c r="J223" s="340">
        <f>IF($B223="","",IF(AND(C223="",F223=""),"",ROUND(SUMIFS('ИТОГО Торговля'!$J$5:$J$300,'ИТОГО Торговля'!$B$5:$B$300,$B223)+SUMIFS('ИТОГО Лэндинг'!$J$5:$J$300,'ИТОГО Лэндинг'!$B$5:$B$300,$B223)+SUMIFS('История'!$J$5:$J$300,'История'!$B$5:$B$300,$B223),8)))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Лэндинг'!$B$5:$B$300,$B223)+SUMIFS('История'!$K$5:$K$300,'История'!$B$5:$B$300,$B223),8))</f>
        <v/>
      </c>
      <c r="L223" s="177">
        <f>IF(K223="","",IF(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&lt;=0,0,ROUND(K223/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*100,2)))</f>
        <v/>
      </c>
      <c r="M223" s="343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Лэндинг'!$B$5:$B$300,$B224)+SUMIFS('История'!$C$5:$C$300,'История'!$B$5:$B$300,$B224)=0,"",SUMIFS('ИТОГО Торговля'!$C$5:$C$300,'ИТОГО Торговля'!$B$5:$B$300,$B224)+SUMIFS('ИТОГО Лэндинг'!$C$5:$C$300,'ИТОГО Лэндинг'!$B$5:$B$300,$B224)+SUMIFS('История'!$C$5:$C$300,'История'!$B$5:$B$300,$B224)))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Лэндинг'!$B$5:$B$300,$B224)+SUMIFS('История'!$E$5:$E$300,'История'!$B$5:$B$300,$B224))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Лэндинг'!$B$5:$B$300,$B224)+SUMIFS('История'!$F$5:$F$300,'История'!$B$5:$B$300,$B224)=0,"",SUMIFS('ИТОГО Торговля'!$F$5:$F$300,'ИТОГО Торговля'!$B$5:$B$300,$B224)+SUMIFS('ИТОГО Лэндинг'!$F$5:$F$300,'ИТОГО Лэндинг'!$B$5:$B$300,$B224)+SUMIFS('История'!$F$5:$F$300,'История'!$B$5:$B$300,$B224)))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Лэндинг'!$B$5:$B$300,$B224)+SUMIFS('История'!$H$5:$H$300,'История'!$B$5:$B$300,$B224))</f>
        <v/>
      </c>
      <c r="I224" s="341">
        <f>IF($B224="","",IF(AND(C224="",F224=""),"",ROUND(SUMIFS('ИТОГО Торговля'!$I$5:$I$300,'ИТОГО Торговля'!$B$5:$B$300,$B224)+SUMIFS('ИТОГО Лэндинг'!$I$5:$I$300,'ИТОГО Лэндинг'!$B$5:$B$300,$B224)+SUMIFS('История'!$I$5:$I$300,'История'!$B$5:$B$300,$B224),8)))</f>
        <v/>
      </c>
      <c r="J224" s="342">
        <f>IF($B224="","",IF(AND(C224="",F224=""),"",ROUND(SUMIFS('ИТОГО Торговля'!$J$5:$J$300,'ИТОГО Торговля'!$B$5:$B$300,$B224)+SUMIFS('ИТОГО Лэндинг'!$J$5:$J$300,'ИТОГО Лэндинг'!$B$5:$B$300,$B224)+SUMIFS('История'!$J$5:$J$300,'История'!$B$5:$B$300,$B224),8)))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Лэндинг'!$B$5:$B$300,$B224)+SUMIFS('История'!$K$5:$K$300,'История'!$B$5:$B$300,$B224),8))</f>
        <v/>
      </c>
      <c r="L224" s="183">
        <f>IF(K224="","",IF(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&lt;=0,0,ROUND(K224/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*100,2)))</f>
        <v/>
      </c>
      <c r="M224" s="344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Лэндинг'!$B$5:$B$300,$B225)+SUMIFS('История'!$C$5:$C$300,'История'!$B$5:$B$300,$B225)=0,"",SUMIFS('ИТОГО Торговля'!$C$5:$C$300,'ИТОГО Торговля'!$B$5:$B$300,$B225)+SUMIFS('ИТОГО Лэндинг'!$C$5:$C$300,'ИТОГО Лэндинг'!$B$5:$B$300,$B225)+SUMIFS('История'!$C$5:$C$300,'История'!$B$5:$B$300,$B225)))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Лэндинг'!$B$5:$B$300,$B225)+SUMIFS('История'!$E$5:$E$300,'История'!$B$5:$B$300,$B225))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Лэндинг'!$B$5:$B$300,$B225)+SUMIFS('История'!$F$5:$F$300,'История'!$B$5:$B$300,$B225)=0,"",SUMIFS('ИТОГО Торговля'!$F$5:$F$300,'ИТОГО Торговля'!$B$5:$B$300,$B225)+SUMIFS('ИТОГО Лэндинг'!$F$5:$F$300,'ИТОГО Лэндинг'!$B$5:$B$300,$B225)+SUMIFS('История'!$F$5:$F$300,'История'!$B$5:$B$300,$B225)))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Лэндинг'!$B$5:$B$300,$B225)+SUMIFS('История'!$H$5:$H$300,'История'!$B$5:$B$300,$B225))</f>
        <v/>
      </c>
      <c r="I225" s="339">
        <f>IF($B225="","",IF(AND(C225="",F225=""),"",ROUND(SUMIFS('ИТОГО Торговля'!$I$5:$I$300,'ИТОГО Торговля'!$B$5:$B$300,$B225)+SUMIFS('ИТОГО Лэндинг'!$I$5:$I$300,'ИТОГО Лэндинг'!$B$5:$B$300,$B225)+SUMIFS('История'!$I$5:$I$300,'История'!$B$5:$B$300,$B225),8)))</f>
        <v/>
      </c>
      <c r="J225" s="340">
        <f>IF($B225="","",IF(AND(C225="",F225=""),"",ROUND(SUMIFS('ИТОГО Торговля'!$J$5:$J$300,'ИТОГО Торговля'!$B$5:$B$300,$B225)+SUMIFS('ИТОГО Лэндинг'!$J$5:$J$300,'ИТОГО Лэндинг'!$B$5:$B$300,$B225)+SUMIFS('История'!$J$5:$J$300,'История'!$B$5:$B$300,$B225),8)))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Лэндинг'!$B$5:$B$300,$B225)+SUMIFS('История'!$K$5:$K$300,'История'!$B$5:$B$300,$B225),8))</f>
        <v/>
      </c>
      <c r="L225" s="177">
        <f>IF(K225="","",IF(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&lt;=0,0,ROUND(K225/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*100,2)))</f>
        <v/>
      </c>
      <c r="M225" s="343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Лэндинг'!$B$5:$B$300,$B226)+SUMIFS('История'!$C$5:$C$300,'История'!$B$5:$B$300,$B226)=0,"",SUMIFS('ИТОГО Торговля'!$C$5:$C$300,'ИТОГО Торговля'!$B$5:$B$300,$B226)+SUMIFS('ИТОГО Лэндинг'!$C$5:$C$300,'ИТОГО Лэндинг'!$B$5:$B$300,$B226)+SUMIFS('История'!$C$5:$C$300,'История'!$B$5:$B$300,$B226)))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Лэндинг'!$B$5:$B$300,$B226)+SUMIFS('История'!$E$5:$E$300,'История'!$B$5:$B$300,$B226))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Лэндинг'!$B$5:$B$300,$B226)+SUMIFS('История'!$F$5:$F$300,'История'!$B$5:$B$300,$B226)=0,"",SUMIFS('ИТОГО Торговля'!$F$5:$F$300,'ИТОГО Торговля'!$B$5:$B$300,$B226)+SUMIFS('ИТОГО Лэндинг'!$F$5:$F$300,'ИТОГО Лэндинг'!$B$5:$B$300,$B226)+SUMIFS('История'!$F$5:$F$300,'История'!$B$5:$B$300,$B226)))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Лэндинг'!$B$5:$B$300,$B226)+SUMIFS('История'!$H$5:$H$300,'История'!$B$5:$B$300,$B226))</f>
        <v/>
      </c>
      <c r="I226" s="341">
        <f>IF($B226="","",IF(AND(C226="",F226=""),"",ROUND(SUMIFS('ИТОГО Торговля'!$I$5:$I$300,'ИТОГО Торговля'!$B$5:$B$300,$B226)+SUMIFS('ИТОГО Лэндинг'!$I$5:$I$300,'ИТОГО Лэндинг'!$B$5:$B$300,$B226)+SUMIFS('История'!$I$5:$I$300,'История'!$B$5:$B$300,$B226),8)))</f>
        <v/>
      </c>
      <c r="J226" s="342">
        <f>IF($B226="","",IF(AND(C226="",F226=""),"",ROUND(SUMIFS('ИТОГО Торговля'!$J$5:$J$300,'ИТОГО Торговля'!$B$5:$B$300,$B226)+SUMIFS('ИТОГО Лэндинг'!$J$5:$J$300,'ИТОГО Лэндинг'!$B$5:$B$300,$B226)+SUMIFS('История'!$J$5:$J$300,'История'!$B$5:$B$300,$B226),8)))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Лэндинг'!$B$5:$B$300,$B226)+SUMIFS('История'!$K$5:$K$300,'История'!$B$5:$B$300,$B226),8))</f>
        <v/>
      </c>
      <c r="L226" s="183">
        <f>IF(K226="","",IF(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&lt;=0,0,ROUND(K226/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*100,2)))</f>
        <v/>
      </c>
      <c r="M226" s="344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Лэндинг'!$B$5:$B$300,$B227)+SUMIFS('История'!$C$5:$C$300,'История'!$B$5:$B$300,$B227)=0,"",SUMIFS('ИТОГО Торговля'!$C$5:$C$300,'ИТОГО Торговля'!$B$5:$B$300,$B227)+SUMIFS('ИТОГО Лэндинг'!$C$5:$C$300,'ИТОГО Лэндинг'!$B$5:$B$300,$B227)+SUMIFS('История'!$C$5:$C$300,'История'!$B$5:$B$300,$B227)))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Лэндинг'!$B$5:$B$300,$B227)+SUMIFS('История'!$E$5:$E$300,'История'!$B$5:$B$300,$B227))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Лэндинг'!$B$5:$B$300,$B227)+SUMIFS('История'!$F$5:$F$300,'История'!$B$5:$B$300,$B227)=0,"",SUMIFS('ИТОГО Торговля'!$F$5:$F$300,'ИТОГО Торговля'!$B$5:$B$300,$B227)+SUMIFS('ИТОГО Лэндинг'!$F$5:$F$300,'ИТОГО Лэндинг'!$B$5:$B$300,$B227)+SUMIFS('История'!$F$5:$F$300,'История'!$B$5:$B$300,$B227)))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Лэндинг'!$B$5:$B$300,$B227)+SUMIFS('История'!$H$5:$H$300,'История'!$B$5:$B$300,$B227))</f>
        <v/>
      </c>
      <c r="I227" s="339">
        <f>IF($B227="","",IF(AND(C227="",F227=""),"",ROUND(SUMIFS('ИТОГО Торговля'!$I$5:$I$300,'ИТОГО Торговля'!$B$5:$B$300,$B227)+SUMIFS('ИТОГО Лэндинг'!$I$5:$I$300,'ИТОГО Лэндинг'!$B$5:$B$300,$B227)+SUMIFS('История'!$I$5:$I$300,'История'!$B$5:$B$300,$B227),8)))</f>
        <v/>
      </c>
      <c r="J227" s="340">
        <f>IF($B227="","",IF(AND(C227="",F227=""),"",ROUND(SUMIFS('ИТОГО Торговля'!$J$5:$J$300,'ИТОГО Торговля'!$B$5:$B$300,$B227)+SUMIFS('ИТОГО Лэндинг'!$J$5:$J$300,'ИТОГО Лэндинг'!$B$5:$B$300,$B227)+SUMIFS('История'!$J$5:$J$300,'История'!$B$5:$B$300,$B227),8)))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Лэндинг'!$B$5:$B$300,$B227)+SUMIFS('История'!$K$5:$K$300,'История'!$B$5:$B$300,$B227),8))</f>
        <v/>
      </c>
      <c r="L227" s="177">
        <f>IF(K227="","",IF(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&lt;=0,0,ROUND(K227/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*100,2)))</f>
        <v/>
      </c>
      <c r="M227" s="343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Лэндинг'!$B$5:$B$300,$B228)+SUMIFS('История'!$C$5:$C$300,'История'!$B$5:$B$300,$B228)=0,"",SUMIFS('ИТОГО Торговля'!$C$5:$C$300,'ИТОГО Торговля'!$B$5:$B$300,$B228)+SUMIFS('ИТОГО Лэндинг'!$C$5:$C$300,'ИТОГО Лэндинг'!$B$5:$B$300,$B228)+SUMIFS('История'!$C$5:$C$300,'История'!$B$5:$B$300,$B228)))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Лэндинг'!$B$5:$B$300,$B228)+SUMIFS('История'!$E$5:$E$300,'История'!$B$5:$B$300,$B228))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Лэндинг'!$B$5:$B$300,$B228)+SUMIFS('История'!$F$5:$F$300,'История'!$B$5:$B$300,$B228)=0,"",SUMIFS('ИТОГО Торговля'!$F$5:$F$300,'ИТОГО Торговля'!$B$5:$B$300,$B228)+SUMIFS('ИТОГО Лэндинг'!$F$5:$F$300,'ИТОГО Лэндинг'!$B$5:$B$300,$B228)+SUMIFS('История'!$F$5:$F$300,'История'!$B$5:$B$300,$B228)))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Лэндинг'!$B$5:$B$300,$B228)+SUMIFS('История'!$H$5:$H$300,'История'!$B$5:$B$300,$B228))</f>
        <v/>
      </c>
      <c r="I228" s="341">
        <f>IF($B228="","",IF(AND(C228="",F228=""),"",ROUND(SUMIFS('ИТОГО Торговля'!$I$5:$I$300,'ИТОГО Торговля'!$B$5:$B$300,$B228)+SUMIFS('ИТОГО Лэндинг'!$I$5:$I$300,'ИТОГО Лэндинг'!$B$5:$B$300,$B228)+SUMIFS('История'!$I$5:$I$300,'История'!$B$5:$B$300,$B228),8)))</f>
        <v/>
      </c>
      <c r="J228" s="342">
        <f>IF($B228="","",IF(AND(C228="",F228=""),"",ROUND(SUMIFS('ИТОГО Торговля'!$J$5:$J$300,'ИТОГО Торговля'!$B$5:$B$300,$B228)+SUMIFS('ИТОГО Лэндинг'!$J$5:$J$300,'ИТОГО Лэндинг'!$B$5:$B$300,$B228)+SUMIFS('История'!$J$5:$J$300,'История'!$B$5:$B$300,$B228),8)))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Лэндинг'!$B$5:$B$300,$B228)+SUMIFS('История'!$K$5:$K$300,'История'!$B$5:$B$300,$B228),8))</f>
        <v/>
      </c>
      <c r="L228" s="183">
        <f>IF(K228="","",IF(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&lt;=0,0,ROUND(K228/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*100,2)))</f>
        <v/>
      </c>
      <c r="M228" s="344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Лэндинг'!$B$5:$B$300,$B229)+SUMIFS('История'!$C$5:$C$300,'История'!$B$5:$B$300,$B229)=0,"",SUMIFS('ИТОГО Торговля'!$C$5:$C$300,'ИТОГО Торговля'!$B$5:$B$300,$B229)+SUMIFS('ИТОГО Лэндинг'!$C$5:$C$300,'ИТОГО Лэндинг'!$B$5:$B$300,$B229)+SUMIFS('История'!$C$5:$C$300,'История'!$B$5:$B$300,$B229)))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Лэндинг'!$B$5:$B$300,$B229)+SUMIFS('История'!$E$5:$E$300,'История'!$B$5:$B$300,$B229))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Лэндинг'!$B$5:$B$300,$B229)+SUMIFS('История'!$F$5:$F$300,'История'!$B$5:$B$300,$B229)=0,"",SUMIFS('ИТОГО Торговля'!$F$5:$F$300,'ИТОГО Торговля'!$B$5:$B$300,$B229)+SUMIFS('ИТОГО Лэндинг'!$F$5:$F$300,'ИТОГО Лэндинг'!$B$5:$B$300,$B229)+SUMIFS('История'!$F$5:$F$300,'История'!$B$5:$B$300,$B229)))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Лэндинг'!$B$5:$B$300,$B229)+SUMIFS('История'!$H$5:$H$300,'История'!$B$5:$B$300,$B229))</f>
        <v/>
      </c>
      <c r="I229" s="339">
        <f>IF($B229="","",IF(AND(C229="",F229=""),"",ROUND(SUMIFS('ИТОГО Торговля'!$I$5:$I$300,'ИТОГО Торговля'!$B$5:$B$300,$B229)+SUMIFS('ИТОГО Лэндинг'!$I$5:$I$300,'ИТОГО Лэндинг'!$B$5:$B$300,$B229)+SUMIFS('История'!$I$5:$I$300,'История'!$B$5:$B$300,$B229),8)))</f>
        <v/>
      </c>
      <c r="J229" s="340">
        <f>IF($B229="","",IF(AND(C229="",F229=""),"",ROUND(SUMIFS('ИТОГО Торговля'!$J$5:$J$300,'ИТОГО Торговля'!$B$5:$B$300,$B229)+SUMIFS('ИТОГО Лэндинг'!$J$5:$J$300,'ИТОГО Лэндинг'!$B$5:$B$300,$B229)+SUMIFS('История'!$J$5:$J$300,'История'!$B$5:$B$300,$B229),8)))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Лэндинг'!$B$5:$B$300,$B229)+SUMIFS('История'!$K$5:$K$300,'История'!$B$5:$B$300,$B229),8))</f>
        <v/>
      </c>
      <c r="L229" s="177">
        <f>IF(K229="","",IF(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&lt;=0,0,ROUND(K229/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*100,2)))</f>
        <v/>
      </c>
      <c r="M229" s="343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Лэндинг'!$B$5:$B$300,$B230)+SUMIFS('История'!$C$5:$C$300,'История'!$B$5:$B$300,$B230)=0,"",SUMIFS('ИТОГО Торговля'!$C$5:$C$300,'ИТОГО Торговля'!$B$5:$B$300,$B230)+SUMIFS('ИТОГО Лэндинг'!$C$5:$C$300,'ИТОГО Лэндинг'!$B$5:$B$300,$B230)+SUMIFS('История'!$C$5:$C$300,'История'!$B$5:$B$300,$B230)))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Лэндинг'!$B$5:$B$300,$B230)+SUMIFS('История'!$E$5:$E$300,'История'!$B$5:$B$300,$B230))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Лэндинг'!$B$5:$B$300,$B230)+SUMIFS('История'!$F$5:$F$300,'История'!$B$5:$B$300,$B230)=0,"",SUMIFS('ИТОГО Торговля'!$F$5:$F$300,'ИТОГО Торговля'!$B$5:$B$300,$B230)+SUMIFS('ИТОГО Лэндинг'!$F$5:$F$300,'ИТОГО Лэндинг'!$B$5:$B$300,$B230)+SUMIFS('История'!$F$5:$F$300,'История'!$B$5:$B$300,$B230)))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Лэндинг'!$B$5:$B$300,$B230)+SUMIFS('История'!$H$5:$H$300,'История'!$B$5:$B$300,$B230))</f>
        <v/>
      </c>
      <c r="I230" s="341">
        <f>IF($B230="","",IF(AND(C230="",F230=""),"",ROUND(SUMIFS('ИТОГО Торговля'!$I$5:$I$300,'ИТОГО Торговля'!$B$5:$B$300,$B230)+SUMIFS('ИТОГО Лэндинг'!$I$5:$I$300,'ИТОГО Лэндинг'!$B$5:$B$300,$B230)+SUMIFS('История'!$I$5:$I$300,'История'!$B$5:$B$300,$B230),8)))</f>
        <v/>
      </c>
      <c r="J230" s="342">
        <f>IF($B230="","",IF(AND(C230="",F230=""),"",ROUND(SUMIFS('ИТОГО Торговля'!$J$5:$J$300,'ИТОГО Торговля'!$B$5:$B$300,$B230)+SUMIFS('ИТОГО Лэндинг'!$J$5:$J$300,'ИТОГО Лэндинг'!$B$5:$B$300,$B230)+SUMIFS('История'!$J$5:$J$300,'История'!$B$5:$B$300,$B230),8)))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Лэндинг'!$B$5:$B$300,$B230)+SUMIFS('История'!$K$5:$K$300,'История'!$B$5:$B$300,$B230),8))</f>
        <v/>
      </c>
      <c r="L230" s="183">
        <f>IF(K230="","",IF(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&lt;=0,0,ROUND(K230/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*100,2)))</f>
        <v/>
      </c>
      <c r="M230" s="344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Лэндинг'!$B$5:$B$300,$B231)+SUMIFS('История'!$C$5:$C$300,'История'!$B$5:$B$300,$B231)=0,"",SUMIFS('ИТОГО Торговля'!$C$5:$C$300,'ИТОГО Торговля'!$B$5:$B$300,$B231)+SUMIFS('ИТОГО Лэндинг'!$C$5:$C$300,'ИТОГО Лэндинг'!$B$5:$B$300,$B231)+SUMIFS('История'!$C$5:$C$300,'История'!$B$5:$B$300,$B231)))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Лэндинг'!$B$5:$B$300,$B231)+SUMIFS('История'!$E$5:$E$300,'История'!$B$5:$B$300,$B231))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Лэндинг'!$B$5:$B$300,$B231)+SUMIFS('История'!$F$5:$F$300,'История'!$B$5:$B$300,$B231)=0,"",SUMIFS('ИТОГО Торговля'!$F$5:$F$300,'ИТОГО Торговля'!$B$5:$B$300,$B231)+SUMIFS('ИТОГО Лэндинг'!$F$5:$F$300,'ИТОГО Лэндинг'!$B$5:$B$300,$B231)+SUMIFS('История'!$F$5:$F$300,'История'!$B$5:$B$300,$B231)))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Лэндинг'!$B$5:$B$300,$B231)+SUMIFS('История'!$H$5:$H$300,'История'!$B$5:$B$300,$B231))</f>
        <v/>
      </c>
      <c r="I231" s="339">
        <f>IF($B231="","",IF(AND(C231="",F231=""),"",ROUND(SUMIFS('ИТОГО Торговля'!$I$5:$I$300,'ИТОГО Торговля'!$B$5:$B$300,$B231)+SUMIFS('ИТОГО Лэндинг'!$I$5:$I$300,'ИТОГО Лэндинг'!$B$5:$B$300,$B231)+SUMIFS('История'!$I$5:$I$300,'История'!$B$5:$B$300,$B231),8)))</f>
        <v/>
      </c>
      <c r="J231" s="340">
        <f>IF($B231="","",IF(AND(C231="",F231=""),"",ROUND(SUMIFS('ИТОГО Торговля'!$J$5:$J$300,'ИТОГО Торговля'!$B$5:$B$300,$B231)+SUMIFS('ИТОГО Лэндинг'!$J$5:$J$300,'ИТОГО Лэндинг'!$B$5:$B$300,$B231)+SUMIFS('История'!$J$5:$J$300,'История'!$B$5:$B$300,$B231),8)))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Лэндинг'!$B$5:$B$300,$B231)+SUMIFS('История'!$K$5:$K$300,'История'!$B$5:$B$300,$B231),8))</f>
        <v/>
      </c>
      <c r="L231" s="177">
        <f>IF(K231="","",IF(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&lt;=0,0,ROUND(K231/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*100,2)))</f>
        <v/>
      </c>
      <c r="M231" s="343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Лэндинг'!$B$5:$B$300,$B232)+SUMIFS('История'!$C$5:$C$300,'История'!$B$5:$B$300,$B232)=0,"",SUMIFS('ИТОГО Торговля'!$C$5:$C$300,'ИТОГО Торговля'!$B$5:$B$300,$B232)+SUMIFS('ИТОГО Лэндинг'!$C$5:$C$300,'ИТОГО Лэндинг'!$B$5:$B$300,$B232)+SUMIFS('История'!$C$5:$C$300,'История'!$B$5:$B$300,$B232)))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Лэндинг'!$B$5:$B$300,$B232)+SUMIFS('История'!$E$5:$E$300,'История'!$B$5:$B$300,$B232))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Лэндинг'!$B$5:$B$300,$B232)+SUMIFS('История'!$F$5:$F$300,'История'!$B$5:$B$300,$B232)=0,"",SUMIFS('ИТОГО Торговля'!$F$5:$F$300,'ИТОГО Торговля'!$B$5:$B$300,$B232)+SUMIFS('ИТОГО Лэндинг'!$F$5:$F$300,'ИТОГО Лэндинг'!$B$5:$B$300,$B232)+SUMIFS('История'!$F$5:$F$300,'История'!$B$5:$B$300,$B232)))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Лэндинг'!$B$5:$B$300,$B232)+SUMIFS('История'!$H$5:$H$300,'История'!$B$5:$B$300,$B232))</f>
        <v/>
      </c>
      <c r="I232" s="341">
        <f>IF($B232="","",IF(AND(C232="",F232=""),"",ROUND(SUMIFS('ИТОГО Торговля'!$I$5:$I$300,'ИТОГО Торговля'!$B$5:$B$300,$B232)+SUMIFS('ИТОГО Лэндинг'!$I$5:$I$300,'ИТОГО Лэндинг'!$B$5:$B$300,$B232)+SUMIFS('История'!$I$5:$I$300,'История'!$B$5:$B$300,$B232),8)))</f>
        <v/>
      </c>
      <c r="J232" s="342">
        <f>IF($B232="","",IF(AND(C232="",F232=""),"",ROUND(SUMIFS('ИТОГО Торговля'!$J$5:$J$300,'ИТОГО Торговля'!$B$5:$B$300,$B232)+SUMIFS('ИТОГО Лэндинг'!$J$5:$J$300,'ИТОГО Лэндинг'!$B$5:$B$300,$B232)+SUMIFS('История'!$J$5:$J$300,'История'!$B$5:$B$300,$B232),8)))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Лэндинг'!$B$5:$B$300,$B232)+SUMIFS('История'!$K$5:$K$300,'История'!$B$5:$B$300,$B232),8))</f>
        <v/>
      </c>
      <c r="L232" s="183">
        <f>IF(K232="","",IF(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&lt;=0,0,ROUND(K232/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*100,2)))</f>
        <v/>
      </c>
      <c r="M232" s="344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Лэндинг'!$B$5:$B$300,$B233)+SUMIFS('История'!$C$5:$C$300,'История'!$B$5:$B$300,$B233)=0,"",SUMIFS('ИТОГО Торговля'!$C$5:$C$300,'ИТОГО Торговля'!$B$5:$B$300,$B233)+SUMIFS('ИТОГО Лэндинг'!$C$5:$C$300,'ИТОГО Лэндинг'!$B$5:$B$300,$B233)+SUMIFS('История'!$C$5:$C$300,'История'!$B$5:$B$300,$B233)))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Лэндинг'!$B$5:$B$300,$B233)+SUMIFS('История'!$E$5:$E$300,'История'!$B$5:$B$300,$B233))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Лэндинг'!$B$5:$B$300,$B233)+SUMIFS('История'!$F$5:$F$300,'История'!$B$5:$B$300,$B233)=0,"",SUMIFS('ИТОГО Торговля'!$F$5:$F$300,'ИТОГО Торговля'!$B$5:$B$300,$B233)+SUMIFS('ИТОГО Лэндинг'!$F$5:$F$300,'ИТОГО Лэндинг'!$B$5:$B$300,$B233)+SUMIFS('История'!$F$5:$F$300,'История'!$B$5:$B$300,$B233)))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Лэндинг'!$B$5:$B$300,$B233)+SUMIFS('История'!$H$5:$H$300,'История'!$B$5:$B$300,$B233))</f>
        <v/>
      </c>
      <c r="I233" s="339">
        <f>IF($B233="","",IF(AND(C233="",F233=""),"",ROUND(SUMIFS('ИТОГО Торговля'!$I$5:$I$300,'ИТОГО Торговля'!$B$5:$B$300,$B233)+SUMIFS('ИТОГО Лэндинг'!$I$5:$I$300,'ИТОГО Лэндинг'!$B$5:$B$300,$B233)+SUMIFS('История'!$I$5:$I$300,'История'!$B$5:$B$300,$B233),8)))</f>
        <v/>
      </c>
      <c r="J233" s="340">
        <f>IF($B233="","",IF(AND(C233="",F233=""),"",ROUND(SUMIFS('ИТОГО Торговля'!$J$5:$J$300,'ИТОГО Торговля'!$B$5:$B$300,$B233)+SUMIFS('ИТОГО Лэндинг'!$J$5:$J$300,'ИТОГО Лэндинг'!$B$5:$B$300,$B233)+SUMIFS('История'!$J$5:$J$300,'История'!$B$5:$B$300,$B233),8)))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Лэндинг'!$B$5:$B$300,$B233)+SUMIFS('История'!$K$5:$K$300,'История'!$B$5:$B$300,$B233),8))</f>
        <v/>
      </c>
      <c r="L233" s="177">
        <f>IF(K233="","",IF(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&lt;=0,0,ROUND(K233/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*100,2)))</f>
        <v/>
      </c>
      <c r="M233" s="343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Лэндинг'!$B$5:$B$300,$B234)+SUMIFS('История'!$C$5:$C$300,'История'!$B$5:$B$300,$B234)=0,"",SUMIFS('ИТОГО Торговля'!$C$5:$C$300,'ИТОГО Торговля'!$B$5:$B$300,$B234)+SUMIFS('ИТОГО Лэндинг'!$C$5:$C$300,'ИТОГО Лэндинг'!$B$5:$B$300,$B234)+SUMIFS('История'!$C$5:$C$300,'История'!$B$5:$B$300,$B234)))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Лэндинг'!$B$5:$B$300,$B234)+SUMIFS('История'!$E$5:$E$300,'История'!$B$5:$B$300,$B234))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Лэндинг'!$B$5:$B$300,$B234)+SUMIFS('История'!$F$5:$F$300,'История'!$B$5:$B$300,$B234)=0,"",SUMIFS('ИТОГО Торговля'!$F$5:$F$300,'ИТОГО Торговля'!$B$5:$B$300,$B234)+SUMIFS('ИТОГО Лэндинг'!$F$5:$F$300,'ИТОГО Лэндинг'!$B$5:$B$300,$B234)+SUMIFS('История'!$F$5:$F$300,'История'!$B$5:$B$300,$B234)))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Лэндинг'!$B$5:$B$300,$B234)+SUMIFS('История'!$H$5:$H$300,'История'!$B$5:$B$300,$B234))</f>
        <v/>
      </c>
      <c r="I234" s="341">
        <f>IF($B234="","",IF(AND(C234="",F234=""),"",ROUND(SUMIFS('ИТОГО Торговля'!$I$5:$I$300,'ИТОГО Торговля'!$B$5:$B$300,$B234)+SUMIFS('ИТОГО Лэндинг'!$I$5:$I$300,'ИТОГО Лэндинг'!$B$5:$B$300,$B234)+SUMIFS('История'!$I$5:$I$300,'История'!$B$5:$B$300,$B234),8)))</f>
        <v/>
      </c>
      <c r="J234" s="342">
        <f>IF($B234="","",IF(AND(C234="",F234=""),"",ROUND(SUMIFS('ИТОГО Торговля'!$J$5:$J$300,'ИТОГО Торговля'!$B$5:$B$300,$B234)+SUMIFS('ИТОГО Лэндинг'!$J$5:$J$300,'ИТОГО Лэндинг'!$B$5:$B$300,$B234)+SUMIFS('История'!$J$5:$J$300,'История'!$B$5:$B$300,$B234),8)))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Лэндинг'!$B$5:$B$300,$B234)+SUMIFS('История'!$K$5:$K$300,'История'!$B$5:$B$300,$B234),8))</f>
        <v/>
      </c>
      <c r="L234" s="183">
        <f>IF(K234="","",IF(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&lt;=0,0,ROUND(K234/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*100,2)))</f>
        <v/>
      </c>
      <c r="M234" s="344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Лэндинг'!$B$5:$B$300,$B235)+SUMIFS('История'!$C$5:$C$300,'История'!$B$5:$B$300,$B235)=0,"",SUMIFS('ИТОГО Торговля'!$C$5:$C$300,'ИТОГО Торговля'!$B$5:$B$300,$B235)+SUMIFS('ИТОГО Лэндинг'!$C$5:$C$300,'ИТОГО Лэндинг'!$B$5:$B$300,$B235)+SUMIFS('История'!$C$5:$C$300,'История'!$B$5:$B$300,$B235)))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Лэндинг'!$B$5:$B$300,$B235)+SUMIFS('История'!$E$5:$E$300,'История'!$B$5:$B$300,$B235))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Лэндинг'!$B$5:$B$300,$B235)+SUMIFS('История'!$F$5:$F$300,'История'!$B$5:$B$300,$B235)=0,"",SUMIFS('ИТОГО Торговля'!$F$5:$F$300,'ИТОГО Торговля'!$B$5:$B$300,$B235)+SUMIFS('ИТОГО Лэндинг'!$F$5:$F$300,'ИТОГО Лэндинг'!$B$5:$B$300,$B235)+SUMIFS('История'!$F$5:$F$300,'История'!$B$5:$B$300,$B235)))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Лэндинг'!$B$5:$B$300,$B235)+SUMIFS('История'!$H$5:$H$300,'История'!$B$5:$B$300,$B235))</f>
        <v/>
      </c>
      <c r="I235" s="339">
        <f>IF($B235="","",IF(AND(C235="",F235=""),"",ROUND(SUMIFS('ИТОГО Торговля'!$I$5:$I$300,'ИТОГО Торговля'!$B$5:$B$300,$B235)+SUMIFS('ИТОГО Лэндинг'!$I$5:$I$300,'ИТОГО Лэндинг'!$B$5:$B$300,$B235)+SUMIFS('История'!$I$5:$I$300,'История'!$B$5:$B$300,$B235),8)))</f>
        <v/>
      </c>
      <c r="J235" s="340">
        <f>IF($B235="","",IF(AND(C235="",F235=""),"",ROUND(SUMIFS('ИТОГО Торговля'!$J$5:$J$300,'ИТОГО Торговля'!$B$5:$B$300,$B235)+SUMIFS('ИТОГО Лэндинг'!$J$5:$J$300,'ИТОГО Лэндинг'!$B$5:$B$300,$B235)+SUMIFS('История'!$J$5:$J$300,'История'!$B$5:$B$300,$B235),8)))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Лэндинг'!$B$5:$B$300,$B235)+SUMIFS('История'!$K$5:$K$300,'История'!$B$5:$B$300,$B235),8))</f>
        <v/>
      </c>
      <c r="L235" s="177">
        <f>IF(K235="","",IF(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&lt;=0,0,ROUND(K235/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*100,2)))</f>
        <v/>
      </c>
      <c r="M235" s="343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Лэндинг'!$B$5:$B$300,$B236)+SUMIFS('История'!$C$5:$C$300,'История'!$B$5:$B$300,$B236)=0,"",SUMIFS('ИТОГО Торговля'!$C$5:$C$300,'ИТОГО Торговля'!$B$5:$B$300,$B236)+SUMIFS('ИТОГО Лэндинг'!$C$5:$C$300,'ИТОГО Лэндинг'!$B$5:$B$300,$B236)+SUMIFS('История'!$C$5:$C$300,'История'!$B$5:$B$300,$B236)))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Лэндинг'!$B$5:$B$300,$B236)+SUMIFS('История'!$E$5:$E$300,'История'!$B$5:$B$300,$B236))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Лэндинг'!$B$5:$B$300,$B236)+SUMIFS('История'!$F$5:$F$300,'История'!$B$5:$B$300,$B236)=0,"",SUMIFS('ИТОГО Торговля'!$F$5:$F$300,'ИТОГО Торговля'!$B$5:$B$300,$B236)+SUMIFS('ИТОГО Лэндинг'!$F$5:$F$300,'ИТОГО Лэндинг'!$B$5:$B$300,$B236)+SUMIFS('История'!$F$5:$F$300,'История'!$B$5:$B$300,$B236)))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Лэндинг'!$B$5:$B$300,$B236)+SUMIFS('История'!$H$5:$H$300,'История'!$B$5:$B$300,$B236))</f>
        <v/>
      </c>
      <c r="I236" s="341">
        <f>IF($B236="","",IF(AND(C236="",F236=""),"",ROUND(SUMIFS('ИТОГО Торговля'!$I$5:$I$300,'ИТОГО Торговля'!$B$5:$B$300,$B236)+SUMIFS('ИТОГО Лэндинг'!$I$5:$I$300,'ИТОГО Лэндинг'!$B$5:$B$300,$B236)+SUMIFS('История'!$I$5:$I$300,'История'!$B$5:$B$300,$B236),8)))</f>
        <v/>
      </c>
      <c r="J236" s="342">
        <f>IF($B236="","",IF(AND(C236="",F236=""),"",ROUND(SUMIFS('ИТОГО Торговля'!$J$5:$J$300,'ИТОГО Торговля'!$B$5:$B$300,$B236)+SUMIFS('ИТОГО Лэндинг'!$J$5:$J$300,'ИТОГО Лэндинг'!$B$5:$B$300,$B236)+SUMIFS('История'!$J$5:$J$300,'История'!$B$5:$B$300,$B236),8)))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Лэндинг'!$B$5:$B$300,$B236)+SUMIFS('История'!$K$5:$K$300,'История'!$B$5:$B$300,$B236),8))</f>
        <v/>
      </c>
      <c r="L236" s="183">
        <f>IF(K236="","",IF(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&lt;=0,0,ROUND(K236/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*100,2)))</f>
        <v/>
      </c>
      <c r="M236" s="344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Лэндинг'!$B$5:$B$300,$B237)+SUMIFS('История'!$C$5:$C$300,'История'!$B$5:$B$300,$B237)=0,"",SUMIFS('ИТОГО Торговля'!$C$5:$C$300,'ИТОГО Торговля'!$B$5:$B$300,$B237)+SUMIFS('ИТОГО Лэндинг'!$C$5:$C$300,'ИТОГО Лэндинг'!$B$5:$B$300,$B237)+SUMIFS('История'!$C$5:$C$300,'История'!$B$5:$B$300,$B237)))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Лэндинг'!$B$5:$B$300,$B237)+SUMIFS('История'!$E$5:$E$300,'История'!$B$5:$B$300,$B237))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Лэндинг'!$B$5:$B$300,$B237)+SUMIFS('История'!$F$5:$F$300,'История'!$B$5:$B$300,$B237)=0,"",SUMIFS('ИТОГО Торговля'!$F$5:$F$300,'ИТОГО Торговля'!$B$5:$B$300,$B237)+SUMIFS('ИТОГО Лэндинг'!$F$5:$F$300,'ИТОГО Лэндинг'!$B$5:$B$300,$B237)+SUMIFS('История'!$F$5:$F$300,'История'!$B$5:$B$300,$B237)))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Лэндинг'!$B$5:$B$300,$B237)+SUMIFS('История'!$H$5:$H$300,'История'!$B$5:$B$300,$B237))</f>
        <v/>
      </c>
      <c r="I237" s="339">
        <f>IF($B237="","",IF(AND(C237="",F237=""),"",ROUND(SUMIFS('ИТОГО Торговля'!$I$5:$I$300,'ИТОГО Торговля'!$B$5:$B$300,$B237)+SUMIFS('ИТОГО Лэндинг'!$I$5:$I$300,'ИТОГО Лэндинг'!$B$5:$B$300,$B237)+SUMIFS('История'!$I$5:$I$300,'История'!$B$5:$B$300,$B237),8)))</f>
        <v/>
      </c>
      <c r="J237" s="340">
        <f>IF($B237="","",IF(AND(C237="",F237=""),"",ROUND(SUMIFS('ИТОГО Торговля'!$J$5:$J$300,'ИТОГО Торговля'!$B$5:$B$300,$B237)+SUMIFS('ИТОГО Лэндинг'!$J$5:$J$300,'ИТОГО Лэндинг'!$B$5:$B$300,$B237)+SUMIFS('История'!$J$5:$J$300,'История'!$B$5:$B$300,$B237),8)))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Лэндинг'!$B$5:$B$300,$B237)+SUMIFS('История'!$K$5:$K$300,'История'!$B$5:$B$300,$B237),8))</f>
        <v/>
      </c>
      <c r="L237" s="177">
        <f>IF(K237="","",IF(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&lt;=0,0,ROUND(K237/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*100,2)))</f>
        <v/>
      </c>
      <c r="M237" s="343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Лэндинг'!$B$5:$B$300,$B238)+SUMIFS('История'!$C$5:$C$300,'История'!$B$5:$B$300,$B238)=0,"",SUMIFS('ИТОГО Торговля'!$C$5:$C$300,'ИТОГО Торговля'!$B$5:$B$300,$B238)+SUMIFS('ИТОГО Лэндинг'!$C$5:$C$300,'ИТОГО Лэндинг'!$B$5:$B$300,$B238)+SUMIFS('История'!$C$5:$C$300,'История'!$B$5:$B$300,$B238)))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Лэндинг'!$B$5:$B$300,$B238)+SUMIFS('История'!$E$5:$E$300,'История'!$B$5:$B$300,$B238))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Лэндинг'!$B$5:$B$300,$B238)+SUMIFS('История'!$F$5:$F$300,'История'!$B$5:$B$300,$B238)=0,"",SUMIFS('ИТОГО Торговля'!$F$5:$F$300,'ИТОГО Торговля'!$B$5:$B$300,$B238)+SUMIFS('ИТОГО Лэндинг'!$F$5:$F$300,'ИТОГО Лэндинг'!$B$5:$B$300,$B238)+SUMIFS('История'!$F$5:$F$300,'История'!$B$5:$B$300,$B238)))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Лэндинг'!$B$5:$B$300,$B238)+SUMIFS('История'!$H$5:$H$300,'История'!$B$5:$B$300,$B238))</f>
        <v/>
      </c>
      <c r="I238" s="341">
        <f>IF($B238="","",IF(AND(C238="",F238=""),"",ROUND(SUMIFS('ИТОГО Торговля'!$I$5:$I$300,'ИТОГО Торговля'!$B$5:$B$300,$B238)+SUMIFS('ИТОГО Лэндинг'!$I$5:$I$300,'ИТОГО Лэндинг'!$B$5:$B$300,$B238)+SUMIFS('История'!$I$5:$I$300,'История'!$B$5:$B$300,$B238),8)))</f>
        <v/>
      </c>
      <c r="J238" s="342">
        <f>IF($B238="","",IF(AND(C238="",F238=""),"",ROUND(SUMIFS('ИТОГО Торговля'!$J$5:$J$300,'ИТОГО Торговля'!$B$5:$B$300,$B238)+SUMIFS('ИТОГО Лэндинг'!$J$5:$J$300,'ИТОГО Лэндинг'!$B$5:$B$300,$B238)+SUMIFS('История'!$J$5:$J$300,'История'!$B$5:$B$300,$B238),8)))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Лэндинг'!$B$5:$B$300,$B238)+SUMIFS('История'!$K$5:$K$300,'История'!$B$5:$B$300,$B238),8))</f>
        <v/>
      </c>
      <c r="L238" s="183">
        <f>IF(K238="","",IF(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&lt;=0,0,ROUND(K238/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*100,2)))</f>
        <v/>
      </c>
      <c r="M238" s="344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Лэндинг'!$B$5:$B$300,$B239)+SUMIFS('История'!$C$5:$C$300,'История'!$B$5:$B$300,$B239)=0,"",SUMIFS('ИТОГО Торговля'!$C$5:$C$300,'ИТОГО Торговля'!$B$5:$B$300,$B239)+SUMIFS('ИТОГО Лэндинг'!$C$5:$C$300,'ИТОГО Лэндинг'!$B$5:$B$300,$B239)+SUMIFS('История'!$C$5:$C$300,'История'!$B$5:$B$300,$B239)))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Лэндинг'!$B$5:$B$300,$B239)+SUMIFS('История'!$E$5:$E$300,'История'!$B$5:$B$300,$B239))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Лэндинг'!$B$5:$B$300,$B239)+SUMIFS('История'!$F$5:$F$300,'История'!$B$5:$B$300,$B239)=0,"",SUMIFS('ИТОГО Торговля'!$F$5:$F$300,'ИТОГО Торговля'!$B$5:$B$300,$B239)+SUMIFS('ИТОГО Лэндинг'!$F$5:$F$300,'ИТОГО Лэндинг'!$B$5:$B$300,$B239)+SUMIFS('История'!$F$5:$F$300,'История'!$B$5:$B$300,$B239)))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Лэндинг'!$B$5:$B$300,$B239)+SUMIFS('История'!$H$5:$H$300,'История'!$B$5:$B$300,$B239))</f>
        <v/>
      </c>
      <c r="I239" s="339">
        <f>IF($B239="","",IF(AND(C239="",F239=""),"",ROUND(SUMIFS('ИТОГО Торговля'!$I$5:$I$300,'ИТОГО Торговля'!$B$5:$B$300,$B239)+SUMIFS('ИТОГО Лэндинг'!$I$5:$I$300,'ИТОГО Лэндинг'!$B$5:$B$300,$B239)+SUMIFS('История'!$I$5:$I$300,'История'!$B$5:$B$300,$B239),8)))</f>
        <v/>
      </c>
      <c r="J239" s="340">
        <f>IF($B239="","",IF(AND(C239="",F239=""),"",ROUND(SUMIFS('ИТОГО Торговля'!$J$5:$J$300,'ИТОГО Торговля'!$B$5:$B$300,$B239)+SUMIFS('ИТОГО Лэндинг'!$J$5:$J$300,'ИТОГО Лэндинг'!$B$5:$B$300,$B239)+SUMIFS('История'!$J$5:$J$300,'История'!$B$5:$B$300,$B239),8)))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Лэндинг'!$B$5:$B$300,$B239)+SUMIFS('История'!$K$5:$K$300,'История'!$B$5:$B$300,$B239),8))</f>
        <v/>
      </c>
      <c r="L239" s="177">
        <f>IF(K239="","",IF(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&lt;=0,0,ROUND(K239/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*100,2)))</f>
        <v/>
      </c>
      <c r="M239" s="343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Лэндинг'!$B$5:$B$300,$B240)+SUMIFS('История'!$C$5:$C$300,'История'!$B$5:$B$300,$B240)=0,"",SUMIFS('ИТОГО Торговля'!$C$5:$C$300,'ИТОГО Торговля'!$B$5:$B$300,$B240)+SUMIFS('ИТОГО Лэндинг'!$C$5:$C$300,'ИТОГО Лэндинг'!$B$5:$B$300,$B240)+SUMIFS('История'!$C$5:$C$300,'История'!$B$5:$B$300,$B240)))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Лэндинг'!$B$5:$B$300,$B240)+SUMIFS('История'!$E$5:$E$300,'История'!$B$5:$B$300,$B240))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Лэндинг'!$B$5:$B$300,$B240)+SUMIFS('История'!$F$5:$F$300,'История'!$B$5:$B$300,$B240)=0,"",SUMIFS('ИТОГО Торговля'!$F$5:$F$300,'ИТОГО Торговля'!$B$5:$B$300,$B240)+SUMIFS('ИТОГО Лэндинг'!$F$5:$F$300,'ИТОГО Лэндинг'!$B$5:$B$300,$B240)+SUMIFS('История'!$F$5:$F$300,'История'!$B$5:$B$300,$B240)))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Лэндинг'!$B$5:$B$300,$B240)+SUMIFS('История'!$H$5:$H$300,'История'!$B$5:$B$300,$B240))</f>
        <v/>
      </c>
      <c r="I240" s="341">
        <f>IF($B240="","",IF(AND(C240="",F240=""),"",ROUND(SUMIFS('ИТОГО Торговля'!$I$5:$I$300,'ИТОГО Торговля'!$B$5:$B$300,$B240)+SUMIFS('ИТОГО Лэндинг'!$I$5:$I$300,'ИТОГО Лэндинг'!$B$5:$B$300,$B240)+SUMIFS('История'!$I$5:$I$300,'История'!$B$5:$B$300,$B240),8)))</f>
        <v/>
      </c>
      <c r="J240" s="342">
        <f>IF($B240="","",IF(AND(C240="",F240=""),"",ROUND(SUMIFS('ИТОГО Торговля'!$J$5:$J$300,'ИТОГО Торговля'!$B$5:$B$300,$B240)+SUMIFS('ИТОГО Лэндинг'!$J$5:$J$300,'ИТОГО Лэндинг'!$B$5:$B$300,$B240)+SUMIFS('История'!$J$5:$J$300,'История'!$B$5:$B$300,$B240),8)))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Лэндинг'!$B$5:$B$300,$B240)+SUMIFS('История'!$K$5:$K$300,'История'!$B$5:$B$300,$B240),8))</f>
        <v/>
      </c>
      <c r="L240" s="183">
        <f>IF(K240="","",IF(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&lt;=0,0,ROUND(K240/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*100,2)))</f>
        <v/>
      </c>
      <c r="M240" s="344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Лэндинг'!$B$5:$B$300,$B241)+SUMIFS('История'!$C$5:$C$300,'История'!$B$5:$B$300,$B241)=0,"",SUMIFS('ИТОГО Торговля'!$C$5:$C$300,'ИТОГО Торговля'!$B$5:$B$300,$B241)+SUMIFS('ИТОГО Лэндинг'!$C$5:$C$300,'ИТОГО Лэндинг'!$B$5:$B$300,$B241)+SUMIFS('История'!$C$5:$C$300,'История'!$B$5:$B$300,$B241)))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Лэндинг'!$B$5:$B$300,$B241)+SUMIFS('История'!$E$5:$E$300,'История'!$B$5:$B$300,$B241))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Лэндинг'!$B$5:$B$300,$B241)+SUMIFS('История'!$F$5:$F$300,'История'!$B$5:$B$300,$B241)=0,"",SUMIFS('ИТОГО Торговля'!$F$5:$F$300,'ИТОГО Торговля'!$B$5:$B$300,$B241)+SUMIFS('ИТОГО Лэндинг'!$F$5:$F$300,'ИТОГО Лэндинг'!$B$5:$B$300,$B241)+SUMIFS('История'!$F$5:$F$300,'История'!$B$5:$B$300,$B241)))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Лэндинг'!$B$5:$B$300,$B241)+SUMIFS('История'!$H$5:$H$300,'История'!$B$5:$B$300,$B241))</f>
        <v/>
      </c>
      <c r="I241" s="339">
        <f>IF($B241="","",IF(AND(C241="",F241=""),"",ROUND(SUMIFS('ИТОГО Торговля'!$I$5:$I$300,'ИТОГО Торговля'!$B$5:$B$300,$B241)+SUMIFS('ИТОГО Лэндинг'!$I$5:$I$300,'ИТОГО Лэндинг'!$B$5:$B$300,$B241)+SUMIFS('История'!$I$5:$I$300,'История'!$B$5:$B$300,$B241),8)))</f>
        <v/>
      </c>
      <c r="J241" s="340">
        <f>IF($B241="","",IF(AND(C241="",F241=""),"",ROUND(SUMIFS('ИТОГО Торговля'!$J$5:$J$300,'ИТОГО Торговля'!$B$5:$B$300,$B241)+SUMIFS('ИТОГО Лэндинг'!$J$5:$J$300,'ИТОГО Лэндинг'!$B$5:$B$300,$B241)+SUMIFS('История'!$J$5:$J$300,'История'!$B$5:$B$300,$B241),8)))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Лэндинг'!$B$5:$B$300,$B241)+SUMIFS('История'!$K$5:$K$300,'История'!$B$5:$B$300,$B241),8))</f>
        <v/>
      </c>
      <c r="L241" s="177">
        <f>IF(K241="","",IF(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&lt;=0,0,ROUND(K241/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*100,2)))</f>
        <v/>
      </c>
      <c r="M241" s="343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Лэндинг'!$B$5:$B$300,$B242)+SUMIFS('История'!$C$5:$C$300,'История'!$B$5:$B$300,$B242)=0,"",SUMIFS('ИТОГО Торговля'!$C$5:$C$300,'ИТОГО Торговля'!$B$5:$B$300,$B242)+SUMIFS('ИТОГО Лэндинг'!$C$5:$C$300,'ИТОГО Лэндинг'!$B$5:$B$300,$B242)+SUMIFS('История'!$C$5:$C$300,'История'!$B$5:$B$300,$B242)))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Лэндинг'!$B$5:$B$300,$B242)+SUMIFS('История'!$E$5:$E$300,'История'!$B$5:$B$300,$B242))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Лэндинг'!$B$5:$B$300,$B242)+SUMIFS('История'!$F$5:$F$300,'История'!$B$5:$B$300,$B242)=0,"",SUMIFS('ИТОГО Торговля'!$F$5:$F$300,'ИТОГО Торговля'!$B$5:$B$300,$B242)+SUMIFS('ИТОГО Лэндинг'!$F$5:$F$300,'ИТОГО Лэндинг'!$B$5:$B$300,$B242)+SUMIFS('История'!$F$5:$F$300,'История'!$B$5:$B$300,$B242)))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Лэндинг'!$B$5:$B$300,$B242)+SUMIFS('История'!$H$5:$H$300,'История'!$B$5:$B$300,$B242))</f>
        <v/>
      </c>
      <c r="I242" s="341">
        <f>IF($B242="","",IF(AND(C242="",F242=""),"",ROUND(SUMIFS('ИТОГО Торговля'!$I$5:$I$300,'ИТОГО Торговля'!$B$5:$B$300,$B242)+SUMIFS('ИТОГО Лэндинг'!$I$5:$I$300,'ИТОГО Лэндинг'!$B$5:$B$300,$B242)+SUMIFS('История'!$I$5:$I$300,'История'!$B$5:$B$300,$B242),8)))</f>
        <v/>
      </c>
      <c r="J242" s="342">
        <f>IF($B242="","",IF(AND(C242="",F242=""),"",ROUND(SUMIFS('ИТОГО Торговля'!$J$5:$J$300,'ИТОГО Торговля'!$B$5:$B$300,$B242)+SUMIFS('ИТОГО Лэндинг'!$J$5:$J$300,'ИТОГО Лэндинг'!$B$5:$B$300,$B242)+SUMIFS('История'!$J$5:$J$300,'История'!$B$5:$B$300,$B242),8)))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Лэндинг'!$B$5:$B$300,$B242)+SUMIFS('История'!$K$5:$K$300,'История'!$B$5:$B$300,$B242),8))</f>
        <v/>
      </c>
      <c r="L242" s="183">
        <f>IF(K242="","",IF(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&lt;=0,0,ROUND(K242/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*100,2)))</f>
        <v/>
      </c>
      <c r="M242" s="344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Лэндинг'!$B$5:$B$300,$B243)+SUMIFS('История'!$C$5:$C$300,'История'!$B$5:$B$300,$B243)=0,"",SUMIFS('ИТОГО Торговля'!$C$5:$C$300,'ИТОГО Торговля'!$B$5:$B$300,$B243)+SUMIFS('ИТОГО Лэндинг'!$C$5:$C$300,'ИТОГО Лэндинг'!$B$5:$B$300,$B243)+SUMIFS('История'!$C$5:$C$300,'История'!$B$5:$B$300,$B243)))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Лэндинг'!$B$5:$B$300,$B243)+SUMIFS('История'!$E$5:$E$300,'История'!$B$5:$B$300,$B243))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Лэндинг'!$B$5:$B$300,$B243)+SUMIFS('История'!$F$5:$F$300,'История'!$B$5:$B$300,$B243)=0,"",SUMIFS('ИТОГО Торговля'!$F$5:$F$300,'ИТОГО Торговля'!$B$5:$B$300,$B243)+SUMIFS('ИТОГО Лэндинг'!$F$5:$F$300,'ИТОГО Лэндинг'!$B$5:$B$300,$B243)+SUMIFS('История'!$F$5:$F$300,'История'!$B$5:$B$300,$B243)))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Лэндинг'!$B$5:$B$300,$B243)+SUMIFS('История'!$H$5:$H$300,'История'!$B$5:$B$300,$B243))</f>
        <v/>
      </c>
      <c r="I243" s="339">
        <f>IF($B243="","",IF(AND(C243="",F243=""),"",ROUND(SUMIFS('ИТОГО Торговля'!$I$5:$I$300,'ИТОГО Торговля'!$B$5:$B$300,$B243)+SUMIFS('ИТОГО Лэндинг'!$I$5:$I$300,'ИТОГО Лэндинг'!$B$5:$B$300,$B243)+SUMIFS('История'!$I$5:$I$300,'История'!$B$5:$B$300,$B243),8)))</f>
        <v/>
      </c>
      <c r="J243" s="340">
        <f>IF($B243="","",IF(AND(C243="",F243=""),"",ROUND(SUMIFS('ИТОГО Торговля'!$J$5:$J$300,'ИТОГО Торговля'!$B$5:$B$300,$B243)+SUMIFS('ИТОГО Лэндинг'!$J$5:$J$300,'ИТОГО Лэндинг'!$B$5:$B$300,$B243)+SUMIFS('История'!$J$5:$J$300,'История'!$B$5:$B$300,$B243),8)))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Лэндинг'!$B$5:$B$300,$B243)+SUMIFS('История'!$K$5:$K$300,'История'!$B$5:$B$300,$B243),8))</f>
        <v/>
      </c>
      <c r="L243" s="177">
        <f>IF(K243="","",IF(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&lt;=0,0,ROUND(K243/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*100,2)))</f>
        <v/>
      </c>
      <c r="M243" s="343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Лэндинг'!$B$5:$B$300,$B244)+SUMIFS('История'!$C$5:$C$300,'История'!$B$5:$B$300,$B244)=0,"",SUMIFS('ИТОГО Торговля'!$C$5:$C$300,'ИТОГО Торговля'!$B$5:$B$300,$B244)+SUMIFS('ИТОГО Лэндинг'!$C$5:$C$300,'ИТОГО Лэндинг'!$B$5:$B$300,$B244)+SUMIFS('История'!$C$5:$C$300,'История'!$B$5:$B$300,$B244)))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Лэндинг'!$B$5:$B$300,$B244)+SUMIFS('История'!$E$5:$E$300,'История'!$B$5:$B$300,$B244))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Лэндинг'!$B$5:$B$300,$B244)+SUMIFS('История'!$F$5:$F$300,'История'!$B$5:$B$300,$B244)=0,"",SUMIFS('ИТОГО Торговля'!$F$5:$F$300,'ИТОГО Торговля'!$B$5:$B$300,$B244)+SUMIFS('ИТОГО Лэндинг'!$F$5:$F$300,'ИТОГО Лэндинг'!$B$5:$B$300,$B244)+SUMIFS('История'!$F$5:$F$300,'История'!$B$5:$B$300,$B244)))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Лэндинг'!$B$5:$B$300,$B244)+SUMIFS('История'!$H$5:$H$300,'История'!$B$5:$B$300,$B244))</f>
        <v/>
      </c>
      <c r="I244" s="341">
        <f>IF($B244="","",IF(AND(C244="",F244=""),"",ROUND(SUMIFS('ИТОГО Торговля'!$I$5:$I$300,'ИТОГО Торговля'!$B$5:$B$300,$B244)+SUMIFS('ИТОГО Лэндинг'!$I$5:$I$300,'ИТОГО Лэндинг'!$B$5:$B$300,$B244)+SUMIFS('История'!$I$5:$I$300,'История'!$B$5:$B$300,$B244),8)))</f>
        <v/>
      </c>
      <c r="J244" s="342">
        <f>IF($B244="","",IF(AND(C244="",F244=""),"",ROUND(SUMIFS('ИТОГО Торговля'!$J$5:$J$300,'ИТОГО Торговля'!$B$5:$B$300,$B244)+SUMIFS('ИТОГО Лэндинг'!$J$5:$J$300,'ИТОГО Лэндинг'!$B$5:$B$300,$B244)+SUMIFS('История'!$J$5:$J$300,'История'!$B$5:$B$300,$B244),8)))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Лэндинг'!$B$5:$B$300,$B244)+SUMIFS('История'!$K$5:$K$300,'История'!$B$5:$B$300,$B244),8))</f>
        <v/>
      </c>
      <c r="L244" s="183">
        <f>IF(K244="","",IF(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&lt;=0,0,ROUND(K244/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*100,2)))</f>
        <v/>
      </c>
      <c r="M244" s="344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Лэндинг'!$B$5:$B$300,$B245)+SUMIFS('История'!$C$5:$C$300,'История'!$B$5:$B$300,$B245)=0,"",SUMIFS('ИТОГО Торговля'!$C$5:$C$300,'ИТОГО Торговля'!$B$5:$B$300,$B245)+SUMIFS('ИТОГО Лэндинг'!$C$5:$C$300,'ИТОГО Лэндинг'!$B$5:$B$300,$B245)+SUMIFS('История'!$C$5:$C$300,'История'!$B$5:$B$300,$B245)))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Лэндинг'!$B$5:$B$300,$B245)+SUMIFS('История'!$E$5:$E$300,'История'!$B$5:$B$300,$B245))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Лэндинг'!$B$5:$B$300,$B245)+SUMIFS('История'!$F$5:$F$300,'История'!$B$5:$B$300,$B245)=0,"",SUMIFS('ИТОГО Торговля'!$F$5:$F$300,'ИТОГО Торговля'!$B$5:$B$300,$B245)+SUMIFS('ИТОГО Лэндинг'!$F$5:$F$300,'ИТОГО Лэндинг'!$B$5:$B$300,$B245)+SUMIFS('История'!$F$5:$F$300,'История'!$B$5:$B$300,$B245)))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Лэндинг'!$B$5:$B$300,$B245)+SUMIFS('История'!$H$5:$H$300,'История'!$B$5:$B$300,$B245))</f>
        <v/>
      </c>
      <c r="I245" s="339">
        <f>IF($B245="","",IF(AND(C245="",F245=""),"",ROUND(SUMIFS('ИТОГО Торговля'!$I$5:$I$300,'ИТОГО Торговля'!$B$5:$B$300,$B245)+SUMIFS('ИТОГО Лэндинг'!$I$5:$I$300,'ИТОГО Лэндинг'!$B$5:$B$300,$B245)+SUMIFS('История'!$I$5:$I$300,'История'!$B$5:$B$300,$B245),8)))</f>
        <v/>
      </c>
      <c r="J245" s="340">
        <f>IF($B245="","",IF(AND(C245="",F245=""),"",ROUND(SUMIFS('ИТОГО Торговля'!$J$5:$J$300,'ИТОГО Торговля'!$B$5:$B$300,$B245)+SUMIFS('ИТОГО Лэндинг'!$J$5:$J$300,'ИТОГО Лэндинг'!$B$5:$B$300,$B245)+SUMIFS('История'!$J$5:$J$300,'История'!$B$5:$B$300,$B245),8)))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Лэндинг'!$B$5:$B$300,$B245)+SUMIFS('История'!$K$5:$K$300,'История'!$B$5:$B$300,$B245),8))</f>
        <v/>
      </c>
      <c r="L245" s="177">
        <f>IF(K245="","",IF(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&lt;=0,0,ROUND(K245/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*100,2)))</f>
        <v/>
      </c>
      <c r="M245" s="343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Лэндинг'!$B$5:$B$300,$B246)+SUMIFS('История'!$C$5:$C$300,'История'!$B$5:$B$300,$B246)=0,"",SUMIFS('ИТОГО Торговля'!$C$5:$C$300,'ИТОГО Торговля'!$B$5:$B$300,$B246)+SUMIFS('ИТОГО Лэндинг'!$C$5:$C$300,'ИТОГО Лэндинг'!$B$5:$B$300,$B246)+SUMIFS('История'!$C$5:$C$300,'История'!$B$5:$B$300,$B246)))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Лэндинг'!$B$5:$B$300,$B246)+SUMIFS('История'!$E$5:$E$300,'История'!$B$5:$B$300,$B246))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Лэндинг'!$B$5:$B$300,$B246)+SUMIFS('История'!$F$5:$F$300,'История'!$B$5:$B$300,$B246)=0,"",SUMIFS('ИТОГО Торговля'!$F$5:$F$300,'ИТОГО Торговля'!$B$5:$B$300,$B246)+SUMIFS('ИТОГО Лэндинг'!$F$5:$F$300,'ИТОГО Лэндинг'!$B$5:$B$300,$B246)+SUMIFS('История'!$F$5:$F$300,'История'!$B$5:$B$300,$B246)))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Лэндинг'!$B$5:$B$300,$B246)+SUMIFS('История'!$H$5:$H$300,'История'!$B$5:$B$300,$B246))</f>
        <v/>
      </c>
      <c r="I246" s="341">
        <f>IF($B246="","",IF(AND(C246="",F246=""),"",ROUND(SUMIFS('ИТОГО Торговля'!$I$5:$I$300,'ИТОГО Торговля'!$B$5:$B$300,$B246)+SUMIFS('ИТОГО Лэндинг'!$I$5:$I$300,'ИТОГО Лэндинг'!$B$5:$B$300,$B246)+SUMIFS('История'!$I$5:$I$300,'История'!$B$5:$B$300,$B246),8)))</f>
        <v/>
      </c>
      <c r="J246" s="342">
        <f>IF($B246="","",IF(AND(C246="",F246=""),"",ROUND(SUMIFS('ИТОГО Торговля'!$J$5:$J$300,'ИТОГО Торговля'!$B$5:$B$300,$B246)+SUMIFS('ИТОГО Лэндинг'!$J$5:$J$300,'ИТОГО Лэндинг'!$B$5:$B$300,$B246)+SUMIFS('История'!$J$5:$J$300,'История'!$B$5:$B$300,$B246),8)))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Лэндинг'!$B$5:$B$300,$B246)+SUMIFS('История'!$K$5:$K$300,'История'!$B$5:$B$300,$B246),8))</f>
        <v/>
      </c>
      <c r="L246" s="183">
        <f>IF(K246="","",IF(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&lt;=0,0,ROUND(K246/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*100,2)))</f>
        <v/>
      </c>
      <c r="M246" s="344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Лэндинг'!$B$5:$B$300,$B247)+SUMIFS('История'!$C$5:$C$300,'История'!$B$5:$B$300,$B247)=0,"",SUMIFS('ИТОГО Торговля'!$C$5:$C$300,'ИТОГО Торговля'!$B$5:$B$300,$B247)+SUMIFS('ИТОГО Лэндинг'!$C$5:$C$300,'ИТОГО Лэндинг'!$B$5:$B$300,$B247)+SUMIFS('История'!$C$5:$C$300,'История'!$B$5:$B$300,$B247)))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Лэндинг'!$B$5:$B$300,$B247)+SUMIFS('История'!$E$5:$E$300,'История'!$B$5:$B$300,$B247))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Лэндинг'!$B$5:$B$300,$B247)+SUMIFS('История'!$F$5:$F$300,'История'!$B$5:$B$300,$B247)=0,"",SUMIFS('ИТОГО Торговля'!$F$5:$F$300,'ИТОГО Торговля'!$B$5:$B$300,$B247)+SUMIFS('ИТОГО Лэндинг'!$F$5:$F$300,'ИТОГО Лэндинг'!$B$5:$B$300,$B247)+SUMIFS('История'!$F$5:$F$300,'История'!$B$5:$B$300,$B247)))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Лэндинг'!$B$5:$B$300,$B247)+SUMIFS('История'!$H$5:$H$300,'История'!$B$5:$B$300,$B247))</f>
        <v/>
      </c>
      <c r="I247" s="339">
        <f>IF($B247="","",IF(AND(C247="",F247=""),"",ROUND(SUMIFS('ИТОГО Торговля'!$I$5:$I$300,'ИТОГО Торговля'!$B$5:$B$300,$B247)+SUMIFS('ИТОГО Лэндинг'!$I$5:$I$300,'ИТОГО Лэндинг'!$B$5:$B$300,$B247)+SUMIFS('История'!$I$5:$I$300,'История'!$B$5:$B$300,$B247),8)))</f>
        <v/>
      </c>
      <c r="J247" s="340">
        <f>IF($B247="","",IF(AND(C247="",F247=""),"",ROUND(SUMIFS('ИТОГО Торговля'!$J$5:$J$300,'ИТОГО Торговля'!$B$5:$B$300,$B247)+SUMIFS('ИТОГО Лэндинг'!$J$5:$J$300,'ИТОГО Лэндинг'!$B$5:$B$300,$B247)+SUMIFS('История'!$J$5:$J$300,'История'!$B$5:$B$300,$B247),8)))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Лэндинг'!$B$5:$B$300,$B247)+SUMIFS('История'!$K$5:$K$300,'История'!$B$5:$B$300,$B247),8))</f>
        <v/>
      </c>
      <c r="L247" s="177">
        <f>IF(K247="","",IF(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&lt;=0,0,ROUND(K247/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*100,2)))</f>
        <v/>
      </c>
      <c r="M247" s="343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Лэндинг'!$B$5:$B$300,$B248)+SUMIFS('История'!$C$5:$C$300,'История'!$B$5:$B$300,$B248)=0,"",SUMIFS('ИТОГО Торговля'!$C$5:$C$300,'ИТОГО Торговля'!$B$5:$B$300,$B248)+SUMIFS('ИТОГО Лэндинг'!$C$5:$C$300,'ИТОГО Лэндинг'!$B$5:$B$300,$B248)+SUMIFS('История'!$C$5:$C$300,'История'!$B$5:$B$300,$B248)))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Лэндинг'!$B$5:$B$300,$B248)+SUMIFS('История'!$E$5:$E$300,'История'!$B$5:$B$300,$B248))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Лэндинг'!$B$5:$B$300,$B248)+SUMIFS('История'!$F$5:$F$300,'История'!$B$5:$B$300,$B248)=0,"",SUMIFS('ИТОГО Торговля'!$F$5:$F$300,'ИТОГО Торговля'!$B$5:$B$300,$B248)+SUMIFS('ИТОГО Лэндинг'!$F$5:$F$300,'ИТОГО Лэндинг'!$B$5:$B$300,$B248)+SUMIFS('История'!$F$5:$F$300,'История'!$B$5:$B$300,$B248)))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Лэндинг'!$B$5:$B$300,$B248)+SUMIFS('История'!$H$5:$H$300,'История'!$B$5:$B$300,$B248))</f>
        <v/>
      </c>
      <c r="I248" s="341">
        <f>IF($B248="","",IF(AND(C248="",F248=""),"",ROUND(SUMIFS('ИТОГО Торговля'!$I$5:$I$300,'ИТОГО Торговля'!$B$5:$B$300,$B248)+SUMIFS('ИТОГО Лэндинг'!$I$5:$I$300,'ИТОГО Лэндинг'!$B$5:$B$300,$B248)+SUMIFS('История'!$I$5:$I$300,'История'!$B$5:$B$300,$B248),8)))</f>
        <v/>
      </c>
      <c r="J248" s="342">
        <f>IF($B248="","",IF(AND(C248="",F248=""),"",ROUND(SUMIFS('ИТОГО Торговля'!$J$5:$J$300,'ИТОГО Торговля'!$B$5:$B$300,$B248)+SUMIFS('ИТОГО Лэндинг'!$J$5:$J$300,'ИТОГО Лэндинг'!$B$5:$B$300,$B248)+SUMIFS('История'!$J$5:$J$300,'История'!$B$5:$B$300,$B248),8)))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Лэндинг'!$B$5:$B$300,$B248)+SUMIFS('История'!$K$5:$K$300,'История'!$B$5:$B$300,$B248),8))</f>
        <v/>
      </c>
      <c r="L248" s="183">
        <f>IF(K248="","",IF(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&lt;=0,0,ROUND(K248/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*100,2)))</f>
        <v/>
      </c>
      <c r="M248" s="344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Лэндинг'!$B$5:$B$300,$B249)+SUMIFS('История'!$C$5:$C$300,'История'!$B$5:$B$300,$B249)=0,"",SUMIFS('ИТОГО Торговля'!$C$5:$C$300,'ИТОГО Торговля'!$B$5:$B$300,$B249)+SUMIFS('ИТОГО Лэндинг'!$C$5:$C$300,'ИТОГО Лэндинг'!$B$5:$B$300,$B249)+SUMIFS('История'!$C$5:$C$300,'История'!$B$5:$B$300,$B249)))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Лэндинг'!$B$5:$B$300,$B249)+SUMIFS('История'!$E$5:$E$300,'История'!$B$5:$B$300,$B249))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Лэндинг'!$B$5:$B$300,$B249)+SUMIFS('История'!$F$5:$F$300,'История'!$B$5:$B$300,$B249)=0,"",SUMIFS('ИТОГО Торговля'!$F$5:$F$300,'ИТОГО Торговля'!$B$5:$B$300,$B249)+SUMIFS('ИТОГО Лэндинг'!$F$5:$F$300,'ИТОГО Лэндинг'!$B$5:$B$300,$B249)+SUMIFS('История'!$F$5:$F$300,'История'!$B$5:$B$300,$B249)))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Лэндинг'!$B$5:$B$300,$B249)+SUMIFS('История'!$H$5:$H$300,'История'!$B$5:$B$300,$B249))</f>
        <v/>
      </c>
      <c r="I249" s="339">
        <f>IF($B249="","",IF(AND(C249="",F249=""),"",ROUND(SUMIFS('ИТОГО Торговля'!$I$5:$I$300,'ИТОГО Торговля'!$B$5:$B$300,$B249)+SUMIFS('ИТОГО Лэндинг'!$I$5:$I$300,'ИТОГО Лэндинг'!$B$5:$B$300,$B249)+SUMIFS('История'!$I$5:$I$300,'История'!$B$5:$B$300,$B249),8)))</f>
        <v/>
      </c>
      <c r="J249" s="340">
        <f>IF($B249="","",IF(AND(C249="",F249=""),"",ROUND(SUMIFS('ИТОГО Торговля'!$J$5:$J$300,'ИТОГО Торговля'!$B$5:$B$300,$B249)+SUMIFS('ИТОГО Лэндинг'!$J$5:$J$300,'ИТОГО Лэндинг'!$B$5:$B$300,$B249)+SUMIFS('История'!$J$5:$J$300,'История'!$B$5:$B$300,$B249),8)))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Лэндинг'!$B$5:$B$300,$B249)+SUMIFS('История'!$K$5:$K$300,'История'!$B$5:$B$300,$B249),8))</f>
        <v/>
      </c>
      <c r="L249" s="177">
        <f>IF(K249="","",IF(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&lt;=0,0,ROUND(K249/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*100,2)))</f>
        <v/>
      </c>
      <c r="M249" s="343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Лэндинг'!$B$5:$B$300,$B250)+SUMIFS('История'!$C$5:$C$300,'История'!$B$5:$B$300,$B250)=0,"",SUMIFS('ИТОГО Торговля'!$C$5:$C$300,'ИТОГО Торговля'!$B$5:$B$300,$B250)+SUMIFS('ИТОГО Лэндинг'!$C$5:$C$300,'ИТОГО Лэндинг'!$B$5:$B$300,$B250)+SUMIFS('История'!$C$5:$C$300,'История'!$B$5:$B$300,$B250)))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Лэндинг'!$B$5:$B$300,$B250)+SUMIFS('История'!$E$5:$E$300,'История'!$B$5:$B$300,$B250))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Лэндинг'!$B$5:$B$300,$B250)+SUMIFS('История'!$F$5:$F$300,'История'!$B$5:$B$300,$B250)=0,"",SUMIFS('ИТОГО Торговля'!$F$5:$F$300,'ИТОГО Торговля'!$B$5:$B$300,$B250)+SUMIFS('ИТОГО Лэндинг'!$F$5:$F$300,'ИТОГО Лэндинг'!$B$5:$B$300,$B250)+SUMIFS('История'!$F$5:$F$300,'История'!$B$5:$B$300,$B250)))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Лэндинг'!$B$5:$B$300,$B250)+SUMIFS('История'!$H$5:$H$300,'История'!$B$5:$B$300,$B250))</f>
        <v/>
      </c>
      <c r="I250" s="341">
        <f>IF($B250="","",IF(AND(C250="",F250=""),"",ROUND(SUMIFS('ИТОГО Торговля'!$I$5:$I$300,'ИТОГО Торговля'!$B$5:$B$300,$B250)+SUMIFS('ИТОГО Лэндинг'!$I$5:$I$300,'ИТОГО Лэндинг'!$B$5:$B$300,$B250)+SUMIFS('История'!$I$5:$I$300,'История'!$B$5:$B$300,$B250),8)))</f>
        <v/>
      </c>
      <c r="J250" s="342">
        <f>IF($B250="","",IF(AND(C250="",F250=""),"",ROUND(SUMIFS('ИТОГО Торговля'!$J$5:$J$300,'ИТОГО Торговля'!$B$5:$B$300,$B250)+SUMIFS('ИТОГО Лэндинг'!$J$5:$J$300,'ИТОГО Лэндинг'!$B$5:$B$300,$B250)+SUMIFS('История'!$J$5:$J$300,'История'!$B$5:$B$300,$B250),8)))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Лэндинг'!$B$5:$B$300,$B250)+SUMIFS('История'!$K$5:$K$300,'История'!$B$5:$B$300,$B250),8))</f>
        <v/>
      </c>
      <c r="L250" s="183">
        <f>IF(K250="","",IF(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&lt;=0,0,ROUND(K250/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*100,2)))</f>
        <v/>
      </c>
      <c r="M250" s="344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Лэндинг'!$B$5:$B$300,$B251)+SUMIFS('История'!$C$5:$C$300,'История'!$B$5:$B$300,$B251)=0,"",SUMIFS('ИТОГО Торговля'!$C$5:$C$300,'ИТОГО Торговля'!$B$5:$B$300,$B251)+SUMIFS('ИТОГО Лэндинг'!$C$5:$C$300,'ИТОГО Лэндинг'!$B$5:$B$300,$B251)+SUMIFS('История'!$C$5:$C$300,'История'!$B$5:$B$300,$B251)))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Лэндинг'!$B$5:$B$300,$B251)+SUMIFS('История'!$E$5:$E$300,'История'!$B$5:$B$300,$B251))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Лэндинг'!$B$5:$B$300,$B251)+SUMIFS('История'!$F$5:$F$300,'История'!$B$5:$B$300,$B251)=0,"",SUMIFS('ИТОГО Торговля'!$F$5:$F$300,'ИТОГО Торговля'!$B$5:$B$300,$B251)+SUMIFS('ИТОГО Лэндинг'!$F$5:$F$300,'ИТОГО Лэндинг'!$B$5:$B$300,$B251)+SUMIFS('История'!$F$5:$F$300,'История'!$B$5:$B$300,$B251)))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Лэндинг'!$B$5:$B$300,$B251)+SUMIFS('История'!$H$5:$H$300,'История'!$B$5:$B$300,$B251))</f>
        <v/>
      </c>
      <c r="I251" s="339">
        <f>IF($B251="","",IF(AND(C251="",F251=""),"",ROUND(SUMIFS('ИТОГО Торговля'!$I$5:$I$300,'ИТОГО Торговля'!$B$5:$B$300,$B251)+SUMIFS('ИТОГО Лэндинг'!$I$5:$I$300,'ИТОГО Лэндинг'!$B$5:$B$300,$B251)+SUMIFS('История'!$I$5:$I$300,'История'!$B$5:$B$300,$B251),8)))</f>
        <v/>
      </c>
      <c r="J251" s="340">
        <f>IF($B251="","",IF(AND(C251="",F251=""),"",ROUND(SUMIFS('ИТОГО Торговля'!$J$5:$J$300,'ИТОГО Торговля'!$B$5:$B$300,$B251)+SUMIFS('ИТОГО Лэндинг'!$J$5:$J$300,'ИТОГО Лэндинг'!$B$5:$B$300,$B251)+SUMIFS('История'!$J$5:$J$300,'История'!$B$5:$B$300,$B251),8)))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Лэндинг'!$B$5:$B$300,$B251)+SUMIFS('История'!$K$5:$K$300,'История'!$B$5:$B$300,$B251),8))</f>
        <v/>
      </c>
      <c r="L251" s="177">
        <f>IF(K251="","",IF(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&lt;=0,0,ROUND(K251/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*100,2)))</f>
        <v/>
      </c>
      <c r="M251" s="343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Лэндинг'!$B$5:$B$300,$B252)+SUMIFS('История'!$C$5:$C$300,'История'!$B$5:$B$300,$B252)=0,"",SUMIFS('ИТОГО Торговля'!$C$5:$C$300,'ИТОГО Торговля'!$B$5:$B$300,$B252)+SUMIFS('ИТОГО Лэндинг'!$C$5:$C$300,'ИТОГО Лэндинг'!$B$5:$B$300,$B252)+SUMIFS('История'!$C$5:$C$300,'История'!$B$5:$B$300,$B252)))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Лэндинг'!$B$5:$B$300,$B252)+SUMIFS('История'!$E$5:$E$300,'История'!$B$5:$B$300,$B252))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Лэндинг'!$B$5:$B$300,$B252)+SUMIFS('История'!$F$5:$F$300,'История'!$B$5:$B$300,$B252)=0,"",SUMIFS('ИТОГО Торговля'!$F$5:$F$300,'ИТОГО Торговля'!$B$5:$B$300,$B252)+SUMIFS('ИТОГО Лэндинг'!$F$5:$F$300,'ИТОГО Лэндинг'!$B$5:$B$300,$B252)+SUMIFS('История'!$F$5:$F$300,'История'!$B$5:$B$300,$B252)))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Лэндинг'!$B$5:$B$300,$B252)+SUMIFS('История'!$H$5:$H$300,'История'!$B$5:$B$300,$B252))</f>
        <v/>
      </c>
      <c r="I252" s="341">
        <f>IF($B252="","",IF(AND(C252="",F252=""),"",ROUND(SUMIFS('ИТОГО Торговля'!$I$5:$I$300,'ИТОГО Торговля'!$B$5:$B$300,$B252)+SUMIFS('ИТОГО Лэндинг'!$I$5:$I$300,'ИТОГО Лэндинг'!$B$5:$B$300,$B252)+SUMIFS('История'!$I$5:$I$300,'История'!$B$5:$B$300,$B252),8)))</f>
        <v/>
      </c>
      <c r="J252" s="342">
        <f>IF($B252="","",IF(AND(C252="",F252=""),"",ROUND(SUMIFS('ИТОГО Торговля'!$J$5:$J$300,'ИТОГО Торговля'!$B$5:$B$300,$B252)+SUMIFS('ИТОГО Лэндинг'!$J$5:$J$300,'ИТОГО Лэндинг'!$B$5:$B$300,$B252)+SUMIFS('История'!$J$5:$J$300,'История'!$B$5:$B$300,$B252),8)))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Лэндинг'!$B$5:$B$300,$B252)+SUMIFS('История'!$K$5:$K$300,'История'!$B$5:$B$300,$B252),8))</f>
        <v/>
      </c>
      <c r="L252" s="183">
        <f>IF(K252="","",IF(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&lt;=0,0,ROUND(K252/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*100,2)))</f>
        <v/>
      </c>
      <c r="M252" s="344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Лэндинг'!$B$5:$B$300,$B253)+SUMIFS('История'!$C$5:$C$300,'История'!$B$5:$B$300,$B253)=0,"",SUMIFS('ИТОГО Торговля'!$C$5:$C$300,'ИТОГО Торговля'!$B$5:$B$300,$B253)+SUMIFS('ИТОГО Лэндинг'!$C$5:$C$300,'ИТОГО Лэндинг'!$B$5:$B$300,$B253)+SUMIFS('История'!$C$5:$C$300,'История'!$B$5:$B$300,$B253)))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Лэндинг'!$B$5:$B$300,$B253)+SUMIFS('История'!$E$5:$E$300,'История'!$B$5:$B$300,$B253))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Лэндинг'!$B$5:$B$300,$B253)+SUMIFS('История'!$F$5:$F$300,'История'!$B$5:$B$300,$B253)=0,"",SUMIFS('ИТОГО Торговля'!$F$5:$F$300,'ИТОГО Торговля'!$B$5:$B$300,$B253)+SUMIFS('ИТОГО Лэндинг'!$F$5:$F$300,'ИТОГО Лэндинг'!$B$5:$B$300,$B253)+SUMIFS('История'!$F$5:$F$300,'История'!$B$5:$B$300,$B253)))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Лэндинг'!$B$5:$B$300,$B253)+SUMIFS('История'!$H$5:$H$300,'История'!$B$5:$B$300,$B253))</f>
        <v/>
      </c>
      <c r="I253" s="339">
        <f>IF($B253="","",IF(AND(C253="",F253=""),"",ROUND(SUMIFS('ИТОГО Торговля'!$I$5:$I$300,'ИТОГО Торговля'!$B$5:$B$300,$B253)+SUMIFS('ИТОГО Лэндинг'!$I$5:$I$300,'ИТОГО Лэндинг'!$B$5:$B$300,$B253)+SUMIFS('История'!$I$5:$I$300,'История'!$B$5:$B$300,$B253),8)))</f>
        <v/>
      </c>
      <c r="J253" s="340">
        <f>IF($B253="","",IF(AND(C253="",F253=""),"",ROUND(SUMIFS('ИТОГО Торговля'!$J$5:$J$300,'ИТОГО Торговля'!$B$5:$B$300,$B253)+SUMIFS('ИТОГО Лэндинг'!$J$5:$J$300,'ИТОГО Лэндинг'!$B$5:$B$300,$B253)+SUMIFS('История'!$J$5:$J$300,'История'!$B$5:$B$300,$B253),8)))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Лэндинг'!$B$5:$B$300,$B253)+SUMIFS('История'!$K$5:$K$300,'История'!$B$5:$B$300,$B253),8))</f>
        <v/>
      </c>
      <c r="L253" s="177">
        <f>IF(K253="","",IF(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&lt;=0,0,ROUND(K253/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*100,2)))</f>
        <v/>
      </c>
      <c r="M253" s="343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Лэндинг'!$B$5:$B$300,$B254)+SUMIFS('История'!$C$5:$C$300,'История'!$B$5:$B$300,$B254)=0,"",SUMIFS('ИТОГО Торговля'!$C$5:$C$300,'ИТОГО Торговля'!$B$5:$B$300,$B254)+SUMIFS('ИТОГО Лэндинг'!$C$5:$C$300,'ИТОГО Лэндинг'!$B$5:$B$300,$B254)+SUMIFS('История'!$C$5:$C$300,'История'!$B$5:$B$300,$B254)))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Лэндинг'!$B$5:$B$300,$B254)+SUMIFS('История'!$E$5:$E$300,'История'!$B$5:$B$300,$B254))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Лэндинг'!$B$5:$B$300,$B254)+SUMIFS('История'!$F$5:$F$300,'История'!$B$5:$B$300,$B254)=0,"",SUMIFS('ИТОГО Торговля'!$F$5:$F$300,'ИТОГО Торговля'!$B$5:$B$300,$B254)+SUMIFS('ИТОГО Лэндинг'!$F$5:$F$300,'ИТОГО Лэндинг'!$B$5:$B$300,$B254)+SUMIFS('История'!$F$5:$F$300,'История'!$B$5:$B$300,$B254)))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Лэндинг'!$B$5:$B$300,$B254)+SUMIFS('История'!$H$5:$H$300,'История'!$B$5:$B$300,$B254))</f>
        <v/>
      </c>
      <c r="I254" s="341">
        <f>IF($B254="","",IF(AND(C254="",F254=""),"",ROUND(SUMIFS('ИТОГО Торговля'!$I$5:$I$300,'ИТОГО Торговля'!$B$5:$B$300,$B254)+SUMIFS('ИТОГО Лэндинг'!$I$5:$I$300,'ИТОГО Лэндинг'!$B$5:$B$300,$B254)+SUMIFS('История'!$I$5:$I$300,'История'!$B$5:$B$300,$B254),8)))</f>
        <v/>
      </c>
      <c r="J254" s="342">
        <f>IF($B254="","",IF(AND(C254="",F254=""),"",ROUND(SUMIFS('ИТОГО Торговля'!$J$5:$J$300,'ИТОГО Торговля'!$B$5:$B$300,$B254)+SUMIFS('ИТОГО Лэндинг'!$J$5:$J$300,'ИТОГО Лэндинг'!$B$5:$B$300,$B254)+SUMIFS('История'!$J$5:$J$300,'История'!$B$5:$B$300,$B254),8)))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Лэндинг'!$B$5:$B$300,$B254)+SUMIFS('История'!$K$5:$K$300,'История'!$B$5:$B$300,$B254),8))</f>
        <v/>
      </c>
      <c r="L254" s="183">
        <f>IF(K254="","",IF(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&lt;=0,0,ROUND(K254/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*100,2)))</f>
        <v/>
      </c>
      <c r="M254" s="344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Лэндинг'!$B$5:$B$300,$B255)+SUMIFS('История'!$C$5:$C$300,'История'!$B$5:$B$300,$B255)=0,"",SUMIFS('ИТОГО Торговля'!$C$5:$C$300,'ИТОГО Торговля'!$B$5:$B$300,$B255)+SUMIFS('ИТОГО Лэндинг'!$C$5:$C$300,'ИТОГО Лэндинг'!$B$5:$B$300,$B255)+SUMIFS('История'!$C$5:$C$300,'История'!$B$5:$B$300,$B255)))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Лэндинг'!$B$5:$B$300,$B255)+SUMIFS('История'!$E$5:$E$300,'История'!$B$5:$B$300,$B255))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Лэндинг'!$B$5:$B$300,$B255)+SUMIFS('История'!$F$5:$F$300,'История'!$B$5:$B$300,$B255)=0,"",SUMIFS('ИТОГО Торговля'!$F$5:$F$300,'ИТОГО Торговля'!$B$5:$B$300,$B255)+SUMIFS('ИТОГО Лэндинг'!$F$5:$F$300,'ИТОГО Лэндинг'!$B$5:$B$300,$B255)+SUMIFS('История'!$F$5:$F$300,'История'!$B$5:$B$300,$B255)))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Лэндинг'!$B$5:$B$300,$B255)+SUMIFS('История'!$H$5:$H$300,'История'!$B$5:$B$300,$B255))</f>
        <v/>
      </c>
      <c r="I255" s="339">
        <f>IF($B255="","",IF(AND(C255="",F255=""),"",ROUND(SUMIFS('ИТОГО Торговля'!$I$5:$I$300,'ИТОГО Торговля'!$B$5:$B$300,$B255)+SUMIFS('ИТОГО Лэндинг'!$I$5:$I$300,'ИТОГО Лэндинг'!$B$5:$B$300,$B255)+SUMIFS('История'!$I$5:$I$300,'История'!$B$5:$B$300,$B255),8)))</f>
        <v/>
      </c>
      <c r="J255" s="340">
        <f>IF($B255="","",IF(AND(C255="",F255=""),"",ROUND(SUMIFS('ИТОГО Торговля'!$J$5:$J$300,'ИТОГО Торговля'!$B$5:$B$300,$B255)+SUMIFS('ИТОГО Лэндинг'!$J$5:$J$300,'ИТОГО Лэндинг'!$B$5:$B$300,$B255)+SUMIFS('История'!$J$5:$J$300,'История'!$B$5:$B$300,$B255),8)))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Лэндинг'!$B$5:$B$300,$B255)+SUMIFS('История'!$K$5:$K$300,'История'!$B$5:$B$300,$B255),8))</f>
        <v/>
      </c>
      <c r="L255" s="177">
        <f>IF(K255="","",IF(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&lt;=0,0,ROUND(K255/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*100,2)))</f>
        <v/>
      </c>
      <c r="M255" s="343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Лэндинг'!$B$5:$B$300,$B256)+SUMIFS('История'!$C$5:$C$300,'История'!$B$5:$B$300,$B256)=0,"",SUMIFS('ИТОГО Торговля'!$C$5:$C$300,'ИТОГО Торговля'!$B$5:$B$300,$B256)+SUMIFS('ИТОГО Лэндинг'!$C$5:$C$300,'ИТОГО Лэндинг'!$B$5:$B$300,$B256)+SUMIFS('История'!$C$5:$C$300,'История'!$B$5:$B$300,$B256)))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Лэндинг'!$B$5:$B$300,$B256)+SUMIFS('История'!$E$5:$E$300,'История'!$B$5:$B$300,$B256))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Лэндинг'!$B$5:$B$300,$B256)+SUMIFS('История'!$F$5:$F$300,'История'!$B$5:$B$300,$B256)=0,"",SUMIFS('ИТОГО Торговля'!$F$5:$F$300,'ИТОГО Торговля'!$B$5:$B$300,$B256)+SUMIFS('ИТОГО Лэндинг'!$F$5:$F$300,'ИТОГО Лэндинг'!$B$5:$B$300,$B256)+SUMIFS('История'!$F$5:$F$300,'История'!$B$5:$B$300,$B256)))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Лэндинг'!$B$5:$B$300,$B256)+SUMIFS('История'!$H$5:$H$300,'История'!$B$5:$B$300,$B256))</f>
        <v/>
      </c>
      <c r="I256" s="341">
        <f>IF($B256="","",IF(AND(C256="",F256=""),"",ROUND(SUMIFS('ИТОГО Торговля'!$I$5:$I$300,'ИТОГО Торговля'!$B$5:$B$300,$B256)+SUMIFS('ИТОГО Лэндинг'!$I$5:$I$300,'ИТОГО Лэндинг'!$B$5:$B$300,$B256)+SUMIFS('История'!$I$5:$I$300,'История'!$B$5:$B$300,$B256),8)))</f>
        <v/>
      </c>
      <c r="J256" s="342">
        <f>IF($B256="","",IF(AND(C256="",F256=""),"",ROUND(SUMIFS('ИТОГО Торговля'!$J$5:$J$300,'ИТОГО Торговля'!$B$5:$B$300,$B256)+SUMIFS('ИТОГО Лэндинг'!$J$5:$J$300,'ИТОГО Лэндинг'!$B$5:$B$300,$B256)+SUMIFS('История'!$J$5:$J$300,'История'!$B$5:$B$300,$B256),8)))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Лэндинг'!$B$5:$B$300,$B256)+SUMIFS('История'!$K$5:$K$300,'История'!$B$5:$B$300,$B256),8))</f>
        <v/>
      </c>
      <c r="L256" s="183">
        <f>IF(K256="","",IF(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&lt;=0,0,ROUND(K256/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*100,2)))</f>
        <v/>
      </c>
      <c r="M256" s="344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Лэндинг'!$B$5:$B$300,$B257)+SUMIFS('История'!$C$5:$C$300,'История'!$B$5:$B$300,$B257)=0,"",SUMIFS('ИТОГО Торговля'!$C$5:$C$300,'ИТОГО Торговля'!$B$5:$B$300,$B257)+SUMIFS('ИТОГО Лэндинг'!$C$5:$C$300,'ИТОГО Лэндинг'!$B$5:$B$300,$B257)+SUMIFS('История'!$C$5:$C$300,'История'!$B$5:$B$300,$B257)))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Лэндинг'!$B$5:$B$300,$B257)+SUMIFS('История'!$E$5:$E$300,'История'!$B$5:$B$300,$B257))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Лэндинг'!$B$5:$B$300,$B257)+SUMIFS('История'!$F$5:$F$300,'История'!$B$5:$B$300,$B257)=0,"",SUMIFS('ИТОГО Торговля'!$F$5:$F$300,'ИТОГО Торговля'!$B$5:$B$300,$B257)+SUMIFS('ИТОГО Лэндинг'!$F$5:$F$300,'ИТОГО Лэндинг'!$B$5:$B$300,$B257)+SUMIFS('История'!$F$5:$F$300,'История'!$B$5:$B$300,$B257)))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Лэндинг'!$B$5:$B$300,$B257)+SUMIFS('История'!$H$5:$H$300,'История'!$B$5:$B$300,$B257))</f>
        <v/>
      </c>
      <c r="I257" s="339">
        <f>IF($B257="","",IF(AND(C257="",F257=""),"",ROUND(SUMIFS('ИТОГО Торговля'!$I$5:$I$300,'ИТОГО Торговля'!$B$5:$B$300,$B257)+SUMIFS('ИТОГО Лэндинг'!$I$5:$I$300,'ИТОГО Лэндинг'!$B$5:$B$300,$B257)+SUMIFS('История'!$I$5:$I$300,'История'!$B$5:$B$300,$B257),8)))</f>
        <v/>
      </c>
      <c r="J257" s="340">
        <f>IF($B257="","",IF(AND(C257="",F257=""),"",ROUND(SUMIFS('ИТОГО Торговля'!$J$5:$J$300,'ИТОГО Торговля'!$B$5:$B$300,$B257)+SUMIFS('ИТОГО Лэндинг'!$J$5:$J$300,'ИТОГО Лэндинг'!$B$5:$B$300,$B257)+SUMIFS('История'!$J$5:$J$300,'История'!$B$5:$B$300,$B257),8)))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Лэндинг'!$B$5:$B$300,$B257)+SUMIFS('История'!$K$5:$K$300,'История'!$B$5:$B$300,$B257),8))</f>
        <v/>
      </c>
      <c r="L257" s="177">
        <f>IF(K257="","",IF(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&lt;=0,0,ROUND(K257/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*100,2)))</f>
        <v/>
      </c>
      <c r="M257" s="343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Лэндинг'!$B$5:$B$300,$B258)+SUMIFS('История'!$C$5:$C$300,'История'!$B$5:$B$300,$B258)=0,"",SUMIFS('ИТОГО Торговля'!$C$5:$C$300,'ИТОГО Торговля'!$B$5:$B$300,$B258)+SUMIFS('ИТОГО Лэндинг'!$C$5:$C$300,'ИТОГО Лэндинг'!$B$5:$B$300,$B258)+SUMIFS('История'!$C$5:$C$300,'История'!$B$5:$B$300,$B258)))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Лэндинг'!$B$5:$B$300,$B258)+SUMIFS('История'!$E$5:$E$300,'История'!$B$5:$B$300,$B258))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Лэндинг'!$B$5:$B$300,$B258)+SUMIFS('История'!$F$5:$F$300,'История'!$B$5:$B$300,$B258)=0,"",SUMIFS('ИТОГО Торговля'!$F$5:$F$300,'ИТОГО Торговля'!$B$5:$B$300,$B258)+SUMIFS('ИТОГО Лэндинг'!$F$5:$F$300,'ИТОГО Лэндинг'!$B$5:$B$300,$B258)+SUMIFS('История'!$F$5:$F$300,'История'!$B$5:$B$300,$B258)))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Лэндинг'!$B$5:$B$300,$B258)+SUMIFS('История'!$H$5:$H$300,'История'!$B$5:$B$300,$B258))</f>
        <v/>
      </c>
      <c r="I258" s="341">
        <f>IF($B258="","",IF(AND(C258="",F258=""),"",ROUND(SUMIFS('ИТОГО Торговля'!$I$5:$I$300,'ИТОГО Торговля'!$B$5:$B$300,$B258)+SUMIFS('ИТОГО Лэндинг'!$I$5:$I$300,'ИТОГО Лэндинг'!$B$5:$B$300,$B258)+SUMIFS('История'!$I$5:$I$300,'История'!$B$5:$B$300,$B258),8)))</f>
        <v/>
      </c>
      <c r="J258" s="342">
        <f>IF($B258="","",IF(AND(C258="",F258=""),"",ROUND(SUMIFS('ИТОГО Торговля'!$J$5:$J$300,'ИТОГО Торговля'!$B$5:$B$300,$B258)+SUMIFS('ИТОГО Лэндинг'!$J$5:$J$300,'ИТОГО Лэндинг'!$B$5:$B$300,$B258)+SUMIFS('История'!$J$5:$J$300,'История'!$B$5:$B$300,$B258),8)))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Лэндинг'!$B$5:$B$300,$B258)+SUMIFS('История'!$K$5:$K$300,'История'!$B$5:$B$300,$B258),8))</f>
        <v/>
      </c>
      <c r="L258" s="183">
        <f>IF(K258="","",IF(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&lt;=0,0,ROUND(K258/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*100,2)))</f>
        <v/>
      </c>
      <c r="M258" s="344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Лэндинг'!$B$5:$B$300,$B259)+SUMIFS('История'!$C$5:$C$300,'История'!$B$5:$B$300,$B259)=0,"",SUMIFS('ИТОГО Торговля'!$C$5:$C$300,'ИТОГО Торговля'!$B$5:$B$300,$B259)+SUMIFS('ИТОГО Лэндинг'!$C$5:$C$300,'ИТОГО Лэндинг'!$B$5:$B$300,$B259)+SUMIFS('История'!$C$5:$C$300,'История'!$B$5:$B$300,$B259)))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Лэндинг'!$B$5:$B$300,$B259)+SUMIFS('История'!$E$5:$E$300,'История'!$B$5:$B$300,$B259))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Лэндинг'!$B$5:$B$300,$B259)+SUMIFS('История'!$F$5:$F$300,'История'!$B$5:$B$300,$B259)=0,"",SUMIFS('ИТОГО Торговля'!$F$5:$F$300,'ИТОГО Торговля'!$B$5:$B$300,$B259)+SUMIFS('ИТОГО Лэндинг'!$F$5:$F$300,'ИТОГО Лэндинг'!$B$5:$B$300,$B259)+SUMIFS('История'!$F$5:$F$300,'История'!$B$5:$B$300,$B259)))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Лэндинг'!$B$5:$B$300,$B259)+SUMIFS('История'!$H$5:$H$300,'История'!$B$5:$B$300,$B259))</f>
        <v/>
      </c>
      <c r="I259" s="339">
        <f>IF($B259="","",IF(AND(C259="",F259=""),"",ROUND(SUMIFS('ИТОГО Торговля'!$I$5:$I$300,'ИТОГО Торговля'!$B$5:$B$300,$B259)+SUMIFS('ИТОГО Лэндинг'!$I$5:$I$300,'ИТОГО Лэндинг'!$B$5:$B$300,$B259)+SUMIFS('История'!$I$5:$I$300,'История'!$B$5:$B$300,$B259),8)))</f>
        <v/>
      </c>
      <c r="J259" s="340">
        <f>IF($B259="","",IF(AND(C259="",F259=""),"",ROUND(SUMIFS('ИТОГО Торговля'!$J$5:$J$300,'ИТОГО Торговля'!$B$5:$B$300,$B259)+SUMIFS('ИТОГО Лэндинг'!$J$5:$J$300,'ИТОГО Лэндинг'!$B$5:$B$300,$B259)+SUMIFS('История'!$J$5:$J$300,'История'!$B$5:$B$300,$B259),8)))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Лэндинг'!$B$5:$B$300,$B259)+SUMIFS('История'!$K$5:$K$300,'История'!$B$5:$B$300,$B259),8))</f>
        <v/>
      </c>
      <c r="L259" s="177">
        <f>IF(K259="","",IF(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&lt;=0,0,ROUND(K259/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*100,2)))</f>
        <v/>
      </c>
      <c r="M259" s="343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Лэндинг'!$B$5:$B$300,$B260)+SUMIFS('История'!$C$5:$C$300,'История'!$B$5:$B$300,$B260)=0,"",SUMIFS('ИТОГО Торговля'!$C$5:$C$300,'ИТОГО Торговля'!$B$5:$B$300,$B260)+SUMIFS('ИТОГО Лэндинг'!$C$5:$C$300,'ИТОГО Лэндинг'!$B$5:$B$300,$B260)+SUMIFS('История'!$C$5:$C$300,'История'!$B$5:$B$300,$B260)))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Лэндинг'!$B$5:$B$300,$B260)+SUMIFS('История'!$E$5:$E$300,'История'!$B$5:$B$300,$B260))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Лэндинг'!$B$5:$B$300,$B260)+SUMIFS('История'!$F$5:$F$300,'История'!$B$5:$B$300,$B260)=0,"",SUMIFS('ИТОГО Торговля'!$F$5:$F$300,'ИТОГО Торговля'!$B$5:$B$300,$B260)+SUMIFS('ИТОГО Лэндинг'!$F$5:$F$300,'ИТОГО Лэндинг'!$B$5:$B$300,$B260)+SUMIFS('История'!$F$5:$F$300,'История'!$B$5:$B$300,$B260)))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Лэндинг'!$B$5:$B$300,$B260)+SUMIFS('История'!$H$5:$H$300,'История'!$B$5:$B$300,$B260))</f>
        <v/>
      </c>
      <c r="I260" s="341">
        <f>IF($B260="","",IF(AND(C260="",F260=""),"",ROUND(SUMIFS('ИТОГО Торговля'!$I$5:$I$300,'ИТОГО Торговля'!$B$5:$B$300,$B260)+SUMIFS('ИТОГО Лэндинг'!$I$5:$I$300,'ИТОГО Лэндинг'!$B$5:$B$300,$B260)+SUMIFS('История'!$I$5:$I$300,'История'!$B$5:$B$300,$B260),8)))</f>
        <v/>
      </c>
      <c r="J260" s="342">
        <f>IF($B260="","",IF(AND(C260="",F260=""),"",ROUND(SUMIFS('ИТОГО Торговля'!$J$5:$J$300,'ИТОГО Торговля'!$B$5:$B$300,$B260)+SUMIFS('ИТОГО Лэндинг'!$J$5:$J$300,'ИТОГО Лэндинг'!$B$5:$B$300,$B260)+SUMIFS('История'!$J$5:$J$300,'История'!$B$5:$B$300,$B260),8)))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Лэндинг'!$B$5:$B$300,$B260)+SUMIFS('История'!$K$5:$K$300,'История'!$B$5:$B$300,$B260),8))</f>
        <v/>
      </c>
      <c r="L260" s="183">
        <f>IF(K260="","",IF(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&lt;=0,0,ROUND(K260/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*100,2)))</f>
        <v/>
      </c>
      <c r="M260" s="344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Лэндинг'!$B$5:$B$300,$B261)+SUMIFS('История'!$C$5:$C$300,'История'!$B$5:$B$300,$B261)=0,"",SUMIFS('ИТОГО Торговля'!$C$5:$C$300,'ИТОГО Торговля'!$B$5:$B$300,$B261)+SUMIFS('ИТОГО Лэндинг'!$C$5:$C$300,'ИТОГО Лэндинг'!$B$5:$B$300,$B261)+SUMIFS('История'!$C$5:$C$300,'История'!$B$5:$B$300,$B261)))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Лэндинг'!$B$5:$B$300,$B261)+SUMIFS('История'!$E$5:$E$300,'История'!$B$5:$B$300,$B261))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Лэндинг'!$B$5:$B$300,$B261)+SUMIFS('История'!$F$5:$F$300,'История'!$B$5:$B$300,$B261)=0,"",SUMIFS('ИТОГО Торговля'!$F$5:$F$300,'ИТОГО Торговля'!$B$5:$B$300,$B261)+SUMIFS('ИТОГО Лэндинг'!$F$5:$F$300,'ИТОГО Лэндинг'!$B$5:$B$300,$B261)+SUMIFS('История'!$F$5:$F$300,'История'!$B$5:$B$300,$B261)))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Лэндинг'!$B$5:$B$300,$B261)+SUMIFS('История'!$H$5:$H$300,'История'!$B$5:$B$300,$B261))</f>
        <v/>
      </c>
      <c r="I261" s="339">
        <f>IF($B261="","",IF(AND(C261="",F261=""),"",ROUND(SUMIFS('ИТОГО Торговля'!$I$5:$I$300,'ИТОГО Торговля'!$B$5:$B$300,$B261)+SUMIFS('ИТОГО Лэндинг'!$I$5:$I$300,'ИТОГО Лэндинг'!$B$5:$B$300,$B261)+SUMIFS('История'!$I$5:$I$300,'История'!$B$5:$B$300,$B261),8)))</f>
        <v/>
      </c>
      <c r="J261" s="340">
        <f>IF($B261="","",IF(AND(C261="",F261=""),"",ROUND(SUMIFS('ИТОГО Торговля'!$J$5:$J$300,'ИТОГО Торговля'!$B$5:$B$300,$B261)+SUMIFS('ИТОГО Лэндинг'!$J$5:$J$300,'ИТОГО Лэндинг'!$B$5:$B$300,$B261)+SUMIFS('История'!$J$5:$J$300,'История'!$B$5:$B$300,$B261),8)))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Лэндинг'!$B$5:$B$300,$B261)+SUMIFS('История'!$K$5:$K$300,'История'!$B$5:$B$300,$B261),8))</f>
        <v/>
      </c>
      <c r="L261" s="177">
        <f>IF(K261="","",IF(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&lt;=0,0,ROUND(K261/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*100,2)))</f>
        <v/>
      </c>
      <c r="M261" s="343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Лэндинг'!$B$5:$B$300,$B262)+SUMIFS('История'!$C$5:$C$300,'История'!$B$5:$B$300,$B262)=0,"",SUMIFS('ИТОГО Торговля'!$C$5:$C$300,'ИТОГО Торговля'!$B$5:$B$300,$B262)+SUMIFS('ИТОГО Лэндинг'!$C$5:$C$300,'ИТОГО Лэндинг'!$B$5:$B$300,$B262)+SUMIFS('История'!$C$5:$C$300,'История'!$B$5:$B$300,$B262)))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Лэндинг'!$B$5:$B$300,$B262)+SUMIFS('История'!$E$5:$E$300,'История'!$B$5:$B$300,$B262))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Лэндинг'!$B$5:$B$300,$B262)+SUMIFS('История'!$F$5:$F$300,'История'!$B$5:$B$300,$B262)=0,"",SUMIFS('ИТОГО Торговля'!$F$5:$F$300,'ИТОГО Торговля'!$B$5:$B$300,$B262)+SUMIFS('ИТОГО Лэндинг'!$F$5:$F$300,'ИТОГО Лэндинг'!$B$5:$B$300,$B262)+SUMIFS('История'!$F$5:$F$300,'История'!$B$5:$B$300,$B262)))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Лэндинг'!$B$5:$B$300,$B262)+SUMIFS('История'!$H$5:$H$300,'История'!$B$5:$B$300,$B262))</f>
        <v/>
      </c>
      <c r="I262" s="341">
        <f>IF($B262="","",IF(AND(C262="",F262=""),"",ROUND(SUMIFS('ИТОГО Торговля'!$I$5:$I$300,'ИТОГО Торговля'!$B$5:$B$300,$B262)+SUMIFS('ИТОГО Лэндинг'!$I$5:$I$300,'ИТОГО Лэндинг'!$B$5:$B$300,$B262)+SUMIFS('История'!$I$5:$I$300,'История'!$B$5:$B$300,$B262),8)))</f>
        <v/>
      </c>
      <c r="J262" s="342">
        <f>IF($B262="","",IF(AND(C262="",F262=""),"",ROUND(SUMIFS('ИТОГО Торговля'!$J$5:$J$300,'ИТОГО Торговля'!$B$5:$B$300,$B262)+SUMIFS('ИТОГО Лэндинг'!$J$5:$J$300,'ИТОГО Лэндинг'!$B$5:$B$300,$B262)+SUMIFS('История'!$J$5:$J$300,'История'!$B$5:$B$300,$B262),8)))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Лэндинг'!$B$5:$B$300,$B262)+SUMIFS('История'!$K$5:$K$300,'История'!$B$5:$B$300,$B262),8))</f>
        <v/>
      </c>
      <c r="L262" s="183">
        <f>IF(K262="","",IF(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&lt;=0,0,ROUND(K262/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*100,2)))</f>
        <v/>
      </c>
      <c r="M262" s="344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Лэндинг'!$B$5:$B$300,$B263)+SUMIFS('История'!$C$5:$C$300,'История'!$B$5:$B$300,$B263)=0,"",SUMIFS('ИТОГО Торговля'!$C$5:$C$300,'ИТОГО Торговля'!$B$5:$B$300,$B263)+SUMIFS('ИТОГО Лэндинг'!$C$5:$C$300,'ИТОГО Лэндинг'!$B$5:$B$300,$B263)+SUMIFS('История'!$C$5:$C$300,'История'!$B$5:$B$300,$B263)))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Лэндинг'!$B$5:$B$300,$B263)+SUMIFS('История'!$E$5:$E$300,'История'!$B$5:$B$300,$B263))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Лэндинг'!$B$5:$B$300,$B263)+SUMIFS('История'!$F$5:$F$300,'История'!$B$5:$B$300,$B263)=0,"",SUMIFS('ИТОГО Торговля'!$F$5:$F$300,'ИТОГО Торговля'!$B$5:$B$300,$B263)+SUMIFS('ИТОГО Лэндинг'!$F$5:$F$300,'ИТОГО Лэндинг'!$B$5:$B$300,$B263)+SUMIFS('История'!$F$5:$F$300,'История'!$B$5:$B$300,$B263)))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Лэндинг'!$B$5:$B$300,$B263)+SUMIFS('История'!$H$5:$H$300,'История'!$B$5:$B$300,$B263))</f>
        <v/>
      </c>
      <c r="I263" s="339">
        <f>IF($B263="","",IF(AND(C263="",F263=""),"",ROUND(SUMIFS('ИТОГО Торговля'!$I$5:$I$300,'ИТОГО Торговля'!$B$5:$B$300,$B263)+SUMIFS('ИТОГО Лэндинг'!$I$5:$I$300,'ИТОГО Лэндинг'!$B$5:$B$300,$B263)+SUMIFS('История'!$I$5:$I$300,'История'!$B$5:$B$300,$B263),8)))</f>
        <v/>
      </c>
      <c r="J263" s="340">
        <f>IF($B263="","",IF(AND(C263="",F263=""),"",ROUND(SUMIFS('ИТОГО Торговля'!$J$5:$J$300,'ИТОГО Торговля'!$B$5:$B$300,$B263)+SUMIFS('ИТОГО Лэндинг'!$J$5:$J$300,'ИТОГО Лэндинг'!$B$5:$B$300,$B263)+SUMIFS('История'!$J$5:$J$300,'История'!$B$5:$B$300,$B263),8)))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Лэндинг'!$B$5:$B$300,$B263)+SUMIFS('История'!$K$5:$K$300,'История'!$B$5:$B$300,$B263),8))</f>
        <v/>
      </c>
      <c r="L263" s="177">
        <f>IF(K263="","",IF(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&lt;=0,0,ROUND(K263/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*100,2)))</f>
        <v/>
      </c>
      <c r="M263" s="343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Лэндинг'!$B$5:$B$300,$B264)+SUMIFS('История'!$C$5:$C$300,'История'!$B$5:$B$300,$B264)=0,"",SUMIFS('ИТОГО Торговля'!$C$5:$C$300,'ИТОГО Торговля'!$B$5:$B$300,$B264)+SUMIFS('ИТОГО Лэндинг'!$C$5:$C$300,'ИТОГО Лэндинг'!$B$5:$B$300,$B264)+SUMIFS('История'!$C$5:$C$300,'История'!$B$5:$B$300,$B264)))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Лэндинг'!$B$5:$B$300,$B264)+SUMIFS('История'!$E$5:$E$300,'История'!$B$5:$B$300,$B264))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Лэндинг'!$B$5:$B$300,$B264)+SUMIFS('История'!$F$5:$F$300,'История'!$B$5:$B$300,$B264)=0,"",SUMIFS('ИТОГО Торговля'!$F$5:$F$300,'ИТОГО Торговля'!$B$5:$B$300,$B264)+SUMIFS('ИТОГО Лэндинг'!$F$5:$F$300,'ИТОГО Лэндинг'!$B$5:$B$300,$B264)+SUMIFS('История'!$F$5:$F$300,'История'!$B$5:$B$300,$B264)))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Лэндинг'!$B$5:$B$300,$B264)+SUMIFS('История'!$H$5:$H$300,'История'!$B$5:$B$300,$B264))</f>
        <v/>
      </c>
      <c r="I264" s="341">
        <f>IF($B264="","",IF(AND(C264="",F264=""),"",ROUND(SUMIFS('ИТОГО Торговля'!$I$5:$I$300,'ИТОГО Торговля'!$B$5:$B$300,$B264)+SUMIFS('ИТОГО Лэндинг'!$I$5:$I$300,'ИТОГО Лэндинг'!$B$5:$B$300,$B264)+SUMIFS('История'!$I$5:$I$300,'История'!$B$5:$B$300,$B264),8)))</f>
        <v/>
      </c>
      <c r="J264" s="342">
        <f>IF($B264="","",IF(AND(C264="",F264=""),"",ROUND(SUMIFS('ИТОГО Торговля'!$J$5:$J$300,'ИТОГО Торговля'!$B$5:$B$300,$B264)+SUMIFS('ИТОГО Лэндинг'!$J$5:$J$300,'ИТОГО Лэндинг'!$B$5:$B$300,$B264)+SUMIFS('История'!$J$5:$J$300,'История'!$B$5:$B$300,$B264),8)))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Лэндинг'!$B$5:$B$300,$B264)+SUMIFS('История'!$K$5:$K$300,'История'!$B$5:$B$300,$B264),8))</f>
        <v/>
      </c>
      <c r="L264" s="183">
        <f>IF(K264="","",IF(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&lt;=0,0,ROUND(K264/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*100,2)))</f>
        <v/>
      </c>
      <c r="M264" s="344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Лэндинг'!$B$5:$B$300,$B265)+SUMIFS('История'!$C$5:$C$300,'История'!$B$5:$B$300,$B265)=0,"",SUMIFS('ИТОГО Торговля'!$C$5:$C$300,'ИТОГО Торговля'!$B$5:$B$300,$B265)+SUMIFS('ИТОГО Лэндинг'!$C$5:$C$300,'ИТОГО Лэндинг'!$B$5:$B$300,$B265)+SUMIFS('История'!$C$5:$C$300,'История'!$B$5:$B$300,$B265)))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Лэндинг'!$B$5:$B$300,$B265)+SUMIFS('История'!$E$5:$E$300,'История'!$B$5:$B$300,$B265))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Лэндинг'!$B$5:$B$300,$B265)+SUMIFS('История'!$F$5:$F$300,'История'!$B$5:$B$300,$B265)=0,"",SUMIFS('ИТОГО Торговля'!$F$5:$F$300,'ИТОГО Торговля'!$B$5:$B$300,$B265)+SUMIFS('ИТОГО Лэндинг'!$F$5:$F$300,'ИТОГО Лэндинг'!$B$5:$B$300,$B265)+SUMIFS('История'!$F$5:$F$300,'История'!$B$5:$B$300,$B265)))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Лэндинг'!$B$5:$B$300,$B265)+SUMIFS('История'!$H$5:$H$300,'История'!$B$5:$B$300,$B265))</f>
        <v/>
      </c>
      <c r="I265" s="339">
        <f>IF($B265="","",IF(AND(C265="",F265=""),"",ROUND(SUMIFS('ИТОГО Торговля'!$I$5:$I$300,'ИТОГО Торговля'!$B$5:$B$300,$B265)+SUMIFS('ИТОГО Лэндинг'!$I$5:$I$300,'ИТОГО Лэндинг'!$B$5:$B$300,$B265)+SUMIFS('История'!$I$5:$I$300,'История'!$B$5:$B$300,$B265),8)))</f>
        <v/>
      </c>
      <c r="J265" s="340">
        <f>IF($B265="","",IF(AND(C265="",F265=""),"",ROUND(SUMIFS('ИТОГО Торговля'!$J$5:$J$300,'ИТОГО Торговля'!$B$5:$B$300,$B265)+SUMIFS('ИТОГО Лэндинг'!$J$5:$J$300,'ИТОГО Лэндинг'!$B$5:$B$300,$B265)+SUMIFS('История'!$J$5:$J$300,'История'!$B$5:$B$300,$B265),8)))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Лэндинг'!$B$5:$B$300,$B265)+SUMIFS('История'!$K$5:$K$300,'История'!$B$5:$B$300,$B265),8))</f>
        <v/>
      </c>
      <c r="L265" s="177">
        <f>IF(K265="","",IF(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&lt;=0,0,ROUND(K265/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*100,2)))</f>
        <v/>
      </c>
      <c r="M265" s="343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Лэндинг'!$B$5:$B$300,$B266)+SUMIFS('История'!$C$5:$C$300,'История'!$B$5:$B$300,$B266)=0,"",SUMIFS('ИТОГО Торговля'!$C$5:$C$300,'ИТОГО Торговля'!$B$5:$B$300,$B266)+SUMIFS('ИТОГО Лэндинг'!$C$5:$C$300,'ИТОГО Лэндинг'!$B$5:$B$300,$B266)+SUMIFS('История'!$C$5:$C$300,'История'!$B$5:$B$300,$B266)))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Лэндинг'!$B$5:$B$300,$B266)+SUMIFS('История'!$E$5:$E$300,'История'!$B$5:$B$300,$B266))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Лэндинг'!$B$5:$B$300,$B266)+SUMIFS('История'!$F$5:$F$300,'История'!$B$5:$B$300,$B266)=0,"",SUMIFS('ИТОГО Торговля'!$F$5:$F$300,'ИТОГО Торговля'!$B$5:$B$300,$B266)+SUMIFS('ИТОГО Лэндинг'!$F$5:$F$300,'ИТОГО Лэндинг'!$B$5:$B$300,$B266)+SUMIFS('История'!$F$5:$F$300,'История'!$B$5:$B$300,$B266)))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Лэндинг'!$B$5:$B$300,$B266)+SUMIFS('История'!$H$5:$H$300,'История'!$B$5:$B$300,$B266))</f>
        <v/>
      </c>
      <c r="I266" s="341">
        <f>IF($B266="","",IF(AND(C266="",F266=""),"",ROUND(SUMIFS('ИТОГО Торговля'!$I$5:$I$300,'ИТОГО Торговля'!$B$5:$B$300,$B266)+SUMIFS('ИТОГО Лэндинг'!$I$5:$I$300,'ИТОГО Лэндинг'!$B$5:$B$300,$B266)+SUMIFS('История'!$I$5:$I$300,'История'!$B$5:$B$300,$B266),8)))</f>
        <v/>
      </c>
      <c r="J266" s="342">
        <f>IF($B266="","",IF(AND(C266="",F266=""),"",ROUND(SUMIFS('ИТОГО Торговля'!$J$5:$J$300,'ИТОГО Торговля'!$B$5:$B$300,$B266)+SUMIFS('ИТОГО Лэндинг'!$J$5:$J$300,'ИТОГО Лэндинг'!$B$5:$B$300,$B266)+SUMIFS('История'!$J$5:$J$300,'История'!$B$5:$B$300,$B266),8)))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Лэндинг'!$B$5:$B$300,$B266)+SUMIFS('История'!$K$5:$K$300,'История'!$B$5:$B$300,$B266),8))</f>
        <v/>
      </c>
      <c r="L266" s="183">
        <f>IF(K266="","",IF(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&lt;=0,0,ROUND(K266/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*100,2)))</f>
        <v/>
      </c>
      <c r="M266" s="344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Лэндинг'!$B$5:$B$300,$B267)+SUMIFS('История'!$C$5:$C$300,'История'!$B$5:$B$300,$B267)=0,"",SUMIFS('ИТОГО Торговля'!$C$5:$C$300,'ИТОГО Торговля'!$B$5:$B$300,$B267)+SUMIFS('ИТОГО Лэндинг'!$C$5:$C$300,'ИТОГО Лэндинг'!$B$5:$B$300,$B267)+SUMIFS('История'!$C$5:$C$300,'История'!$B$5:$B$300,$B267)))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Лэндинг'!$B$5:$B$300,$B267)+SUMIFS('История'!$E$5:$E$300,'История'!$B$5:$B$300,$B267))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Лэндинг'!$B$5:$B$300,$B267)+SUMIFS('История'!$F$5:$F$300,'История'!$B$5:$B$300,$B267)=0,"",SUMIFS('ИТОГО Торговля'!$F$5:$F$300,'ИТОГО Торговля'!$B$5:$B$300,$B267)+SUMIFS('ИТОГО Лэндинг'!$F$5:$F$300,'ИТОГО Лэндинг'!$B$5:$B$300,$B267)+SUMIFS('История'!$F$5:$F$300,'История'!$B$5:$B$300,$B267)))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Лэндинг'!$B$5:$B$300,$B267)+SUMIFS('История'!$H$5:$H$300,'История'!$B$5:$B$300,$B267))</f>
        <v/>
      </c>
      <c r="I267" s="339">
        <f>IF($B267="","",IF(AND(C267="",F267=""),"",ROUND(SUMIFS('ИТОГО Торговля'!$I$5:$I$300,'ИТОГО Торговля'!$B$5:$B$300,$B267)+SUMIFS('ИТОГО Лэндинг'!$I$5:$I$300,'ИТОГО Лэндинг'!$B$5:$B$300,$B267)+SUMIFS('История'!$I$5:$I$300,'История'!$B$5:$B$300,$B267),8)))</f>
        <v/>
      </c>
      <c r="J267" s="340">
        <f>IF($B267="","",IF(AND(C267="",F267=""),"",ROUND(SUMIFS('ИТОГО Торговля'!$J$5:$J$300,'ИТОГО Торговля'!$B$5:$B$300,$B267)+SUMIFS('ИТОГО Лэндинг'!$J$5:$J$300,'ИТОГО Лэндинг'!$B$5:$B$300,$B267)+SUMIFS('История'!$J$5:$J$300,'История'!$B$5:$B$300,$B267),8)))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Лэндинг'!$B$5:$B$300,$B267)+SUMIFS('История'!$K$5:$K$300,'История'!$B$5:$B$300,$B267),8))</f>
        <v/>
      </c>
      <c r="L267" s="177">
        <f>IF(K267="","",IF(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&lt;=0,0,ROUND(K267/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*100,2)))</f>
        <v/>
      </c>
      <c r="M267" s="343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Лэндинг'!$B$5:$B$300,$B268)+SUMIFS('История'!$C$5:$C$300,'История'!$B$5:$B$300,$B268)=0,"",SUMIFS('ИТОГО Торговля'!$C$5:$C$300,'ИТОГО Торговля'!$B$5:$B$300,$B268)+SUMIFS('ИТОГО Лэндинг'!$C$5:$C$300,'ИТОГО Лэндинг'!$B$5:$B$300,$B268)+SUMIFS('История'!$C$5:$C$300,'История'!$B$5:$B$300,$B268)))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Лэндинг'!$B$5:$B$300,$B268)+SUMIFS('История'!$E$5:$E$300,'История'!$B$5:$B$300,$B268))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Лэндинг'!$B$5:$B$300,$B268)+SUMIFS('История'!$F$5:$F$300,'История'!$B$5:$B$300,$B268)=0,"",SUMIFS('ИТОГО Торговля'!$F$5:$F$300,'ИТОГО Торговля'!$B$5:$B$300,$B268)+SUMIFS('ИТОГО Лэндинг'!$F$5:$F$300,'ИТОГО Лэндинг'!$B$5:$B$300,$B268)+SUMIFS('История'!$F$5:$F$300,'История'!$B$5:$B$300,$B268)))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Лэндинг'!$B$5:$B$300,$B268)+SUMIFS('История'!$H$5:$H$300,'История'!$B$5:$B$300,$B268))</f>
        <v/>
      </c>
      <c r="I268" s="341">
        <f>IF($B268="","",IF(AND(C268="",F268=""),"",ROUND(SUMIFS('ИТОГО Торговля'!$I$5:$I$300,'ИТОГО Торговля'!$B$5:$B$300,$B268)+SUMIFS('ИТОГО Лэндинг'!$I$5:$I$300,'ИТОГО Лэндинг'!$B$5:$B$300,$B268)+SUMIFS('История'!$I$5:$I$300,'История'!$B$5:$B$300,$B268),8)))</f>
        <v/>
      </c>
      <c r="J268" s="342">
        <f>IF($B268="","",IF(AND(C268="",F268=""),"",ROUND(SUMIFS('ИТОГО Торговля'!$J$5:$J$300,'ИТОГО Торговля'!$B$5:$B$300,$B268)+SUMIFS('ИТОГО Лэндинг'!$J$5:$J$300,'ИТОГО Лэндинг'!$B$5:$B$300,$B268)+SUMIFS('История'!$J$5:$J$300,'История'!$B$5:$B$300,$B268),8)))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Лэндинг'!$B$5:$B$300,$B268)+SUMIFS('История'!$K$5:$K$300,'История'!$B$5:$B$300,$B268),8))</f>
        <v/>
      </c>
      <c r="L268" s="183">
        <f>IF(K268="","",IF(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&lt;=0,0,ROUND(K268/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*100,2)))</f>
        <v/>
      </c>
      <c r="M268" s="344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Лэндинг'!$B$5:$B$300,$B269)+SUMIFS('История'!$C$5:$C$300,'История'!$B$5:$B$300,$B269)=0,"",SUMIFS('ИТОГО Торговля'!$C$5:$C$300,'ИТОГО Торговля'!$B$5:$B$300,$B269)+SUMIFS('ИТОГО Лэндинг'!$C$5:$C$300,'ИТОГО Лэндинг'!$B$5:$B$300,$B269)+SUMIFS('История'!$C$5:$C$300,'История'!$B$5:$B$300,$B269)))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Лэндинг'!$B$5:$B$300,$B269)+SUMIFS('История'!$E$5:$E$300,'История'!$B$5:$B$300,$B269))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Лэндинг'!$B$5:$B$300,$B269)+SUMIFS('История'!$F$5:$F$300,'История'!$B$5:$B$300,$B269)=0,"",SUMIFS('ИТОГО Торговля'!$F$5:$F$300,'ИТОГО Торговля'!$B$5:$B$300,$B269)+SUMIFS('ИТОГО Лэндинг'!$F$5:$F$300,'ИТОГО Лэндинг'!$B$5:$B$300,$B269)+SUMIFS('История'!$F$5:$F$300,'История'!$B$5:$B$300,$B269)))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Лэндинг'!$B$5:$B$300,$B269)+SUMIFS('История'!$H$5:$H$300,'История'!$B$5:$B$300,$B269))</f>
        <v/>
      </c>
      <c r="I269" s="339">
        <f>IF($B269="","",IF(AND(C269="",F269=""),"",ROUND(SUMIFS('ИТОГО Торговля'!$I$5:$I$300,'ИТОГО Торговля'!$B$5:$B$300,$B269)+SUMIFS('ИТОГО Лэндинг'!$I$5:$I$300,'ИТОГО Лэндинг'!$B$5:$B$300,$B269)+SUMIFS('История'!$I$5:$I$300,'История'!$B$5:$B$300,$B269),8)))</f>
        <v/>
      </c>
      <c r="J269" s="340">
        <f>IF($B269="","",IF(AND(C269="",F269=""),"",ROUND(SUMIFS('ИТОГО Торговля'!$J$5:$J$300,'ИТОГО Торговля'!$B$5:$B$300,$B269)+SUMIFS('ИТОГО Лэндинг'!$J$5:$J$300,'ИТОГО Лэндинг'!$B$5:$B$300,$B269)+SUMIFS('История'!$J$5:$J$300,'История'!$B$5:$B$300,$B269),8)))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Лэндинг'!$B$5:$B$300,$B269)+SUMIFS('История'!$K$5:$K$300,'История'!$B$5:$B$300,$B269),8))</f>
        <v/>
      </c>
      <c r="L269" s="177">
        <f>IF(K269="","",IF(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&lt;=0,0,ROUND(K269/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*100,2)))</f>
        <v/>
      </c>
      <c r="M269" s="343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Лэндинг'!$B$5:$B$300,$B270)+SUMIFS('История'!$C$5:$C$300,'История'!$B$5:$B$300,$B270)=0,"",SUMIFS('ИТОГО Торговля'!$C$5:$C$300,'ИТОГО Торговля'!$B$5:$B$300,$B270)+SUMIFS('ИТОГО Лэндинг'!$C$5:$C$300,'ИТОГО Лэндинг'!$B$5:$B$300,$B270)+SUMIFS('История'!$C$5:$C$300,'История'!$B$5:$B$300,$B270)))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Лэндинг'!$B$5:$B$300,$B270)+SUMIFS('История'!$E$5:$E$300,'История'!$B$5:$B$300,$B270))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Лэндинг'!$B$5:$B$300,$B270)+SUMIFS('История'!$F$5:$F$300,'История'!$B$5:$B$300,$B270)=0,"",SUMIFS('ИТОГО Торговля'!$F$5:$F$300,'ИТОГО Торговля'!$B$5:$B$300,$B270)+SUMIFS('ИТОГО Лэндинг'!$F$5:$F$300,'ИТОГО Лэндинг'!$B$5:$B$300,$B270)+SUMIFS('История'!$F$5:$F$300,'История'!$B$5:$B$300,$B270)))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Лэндинг'!$B$5:$B$300,$B270)+SUMIFS('История'!$H$5:$H$300,'История'!$B$5:$B$300,$B270))</f>
        <v/>
      </c>
      <c r="I270" s="341">
        <f>IF($B270="","",IF(AND(C270="",F270=""),"",ROUND(SUMIFS('ИТОГО Торговля'!$I$5:$I$300,'ИТОГО Торговля'!$B$5:$B$300,$B270)+SUMIFS('ИТОГО Лэндинг'!$I$5:$I$300,'ИТОГО Лэндинг'!$B$5:$B$300,$B270)+SUMIFS('История'!$I$5:$I$300,'История'!$B$5:$B$300,$B270),8)))</f>
        <v/>
      </c>
      <c r="J270" s="342">
        <f>IF($B270="","",IF(AND(C270="",F270=""),"",ROUND(SUMIFS('ИТОГО Торговля'!$J$5:$J$300,'ИТОГО Торговля'!$B$5:$B$300,$B270)+SUMIFS('ИТОГО Лэндинг'!$J$5:$J$300,'ИТОГО Лэндинг'!$B$5:$B$300,$B270)+SUMIFS('История'!$J$5:$J$300,'История'!$B$5:$B$300,$B270),8)))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Лэндинг'!$B$5:$B$300,$B270)+SUMIFS('История'!$K$5:$K$300,'История'!$B$5:$B$300,$B270),8))</f>
        <v/>
      </c>
      <c r="L270" s="183">
        <f>IF(K270="","",IF(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&lt;=0,0,ROUND(K270/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*100,2)))</f>
        <v/>
      </c>
      <c r="M270" s="344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Лэндинг'!$B$5:$B$300,$B271)+SUMIFS('История'!$C$5:$C$300,'История'!$B$5:$B$300,$B271)=0,"",SUMIFS('ИТОГО Торговля'!$C$5:$C$300,'ИТОГО Торговля'!$B$5:$B$300,$B271)+SUMIFS('ИТОГО Лэндинг'!$C$5:$C$300,'ИТОГО Лэндинг'!$B$5:$B$300,$B271)+SUMIFS('История'!$C$5:$C$300,'История'!$B$5:$B$300,$B271)))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Лэндинг'!$B$5:$B$300,$B271)+SUMIFS('История'!$E$5:$E$300,'История'!$B$5:$B$300,$B271))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Лэндинг'!$B$5:$B$300,$B271)+SUMIFS('История'!$F$5:$F$300,'История'!$B$5:$B$300,$B271)=0,"",SUMIFS('ИТОГО Торговля'!$F$5:$F$300,'ИТОГО Торговля'!$B$5:$B$300,$B271)+SUMIFS('ИТОГО Лэндинг'!$F$5:$F$300,'ИТОГО Лэндинг'!$B$5:$B$300,$B271)+SUMIFS('История'!$F$5:$F$300,'История'!$B$5:$B$300,$B271)))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Лэндинг'!$B$5:$B$300,$B271)+SUMIFS('История'!$H$5:$H$300,'История'!$B$5:$B$300,$B271))</f>
        <v/>
      </c>
      <c r="I271" s="339">
        <f>IF($B271="","",IF(AND(C271="",F271=""),"",ROUND(SUMIFS('ИТОГО Торговля'!$I$5:$I$300,'ИТОГО Торговля'!$B$5:$B$300,$B271)+SUMIFS('ИТОГО Лэндинг'!$I$5:$I$300,'ИТОГО Лэндинг'!$B$5:$B$300,$B271)+SUMIFS('История'!$I$5:$I$300,'История'!$B$5:$B$300,$B271),8)))</f>
        <v/>
      </c>
      <c r="J271" s="340">
        <f>IF($B271="","",IF(AND(C271="",F271=""),"",ROUND(SUMIFS('ИТОГО Торговля'!$J$5:$J$300,'ИТОГО Торговля'!$B$5:$B$300,$B271)+SUMIFS('ИТОГО Лэндинг'!$J$5:$J$300,'ИТОГО Лэндинг'!$B$5:$B$300,$B271)+SUMIFS('История'!$J$5:$J$300,'История'!$B$5:$B$300,$B271),8)))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Лэндинг'!$B$5:$B$300,$B271)+SUMIFS('История'!$K$5:$K$300,'История'!$B$5:$B$300,$B271),8))</f>
        <v/>
      </c>
      <c r="L271" s="177">
        <f>IF(K271="","",IF(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&lt;=0,0,ROUND(K271/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*100,2)))</f>
        <v/>
      </c>
      <c r="M271" s="343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Лэндинг'!$B$5:$B$300,$B272)+SUMIFS('История'!$C$5:$C$300,'История'!$B$5:$B$300,$B272)=0,"",SUMIFS('ИТОГО Торговля'!$C$5:$C$300,'ИТОГО Торговля'!$B$5:$B$300,$B272)+SUMIFS('ИТОГО Лэндинг'!$C$5:$C$300,'ИТОГО Лэндинг'!$B$5:$B$300,$B272)+SUMIFS('История'!$C$5:$C$300,'История'!$B$5:$B$300,$B272)))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Лэндинг'!$B$5:$B$300,$B272)+SUMIFS('История'!$E$5:$E$300,'История'!$B$5:$B$300,$B272))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Лэндинг'!$B$5:$B$300,$B272)+SUMIFS('История'!$F$5:$F$300,'История'!$B$5:$B$300,$B272)=0,"",SUMIFS('ИТОГО Торговля'!$F$5:$F$300,'ИТОГО Торговля'!$B$5:$B$300,$B272)+SUMIFS('ИТОГО Лэндинг'!$F$5:$F$300,'ИТОГО Лэндинг'!$B$5:$B$300,$B272)+SUMIFS('История'!$F$5:$F$300,'История'!$B$5:$B$300,$B272)))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Лэндинг'!$B$5:$B$300,$B272)+SUMIFS('История'!$H$5:$H$300,'История'!$B$5:$B$300,$B272))</f>
        <v/>
      </c>
      <c r="I272" s="341">
        <f>IF($B272="","",IF(AND(C272="",F272=""),"",ROUND(SUMIFS('ИТОГО Торговля'!$I$5:$I$300,'ИТОГО Торговля'!$B$5:$B$300,$B272)+SUMIFS('ИТОГО Лэндинг'!$I$5:$I$300,'ИТОГО Лэндинг'!$B$5:$B$300,$B272)+SUMIFS('История'!$I$5:$I$300,'История'!$B$5:$B$300,$B272),8)))</f>
        <v/>
      </c>
      <c r="J272" s="342">
        <f>IF($B272="","",IF(AND(C272="",F272=""),"",ROUND(SUMIFS('ИТОГО Торговля'!$J$5:$J$300,'ИТОГО Торговля'!$B$5:$B$300,$B272)+SUMIFS('ИТОГО Лэндинг'!$J$5:$J$300,'ИТОГО Лэндинг'!$B$5:$B$300,$B272)+SUMIFS('История'!$J$5:$J$300,'История'!$B$5:$B$300,$B272),8)))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Лэндинг'!$B$5:$B$300,$B272)+SUMIFS('История'!$K$5:$K$300,'История'!$B$5:$B$300,$B272),8))</f>
        <v/>
      </c>
      <c r="L272" s="183">
        <f>IF(K272="","",IF(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&lt;=0,0,ROUND(K272/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*100,2)))</f>
        <v/>
      </c>
      <c r="M272" s="344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Лэндинг'!$B$5:$B$300,$B273)+SUMIFS('История'!$C$5:$C$300,'История'!$B$5:$B$300,$B273)=0,"",SUMIFS('ИТОГО Торговля'!$C$5:$C$300,'ИТОГО Торговля'!$B$5:$B$300,$B273)+SUMIFS('ИТОГО Лэндинг'!$C$5:$C$300,'ИТОГО Лэндинг'!$B$5:$B$300,$B273)+SUMIFS('История'!$C$5:$C$300,'История'!$B$5:$B$300,$B273)))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Лэндинг'!$B$5:$B$300,$B273)+SUMIFS('История'!$E$5:$E$300,'История'!$B$5:$B$300,$B273))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Лэндинг'!$B$5:$B$300,$B273)+SUMIFS('История'!$F$5:$F$300,'История'!$B$5:$B$300,$B273)=0,"",SUMIFS('ИТОГО Торговля'!$F$5:$F$300,'ИТОГО Торговля'!$B$5:$B$300,$B273)+SUMIFS('ИТОГО Лэндинг'!$F$5:$F$300,'ИТОГО Лэндинг'!$B$5:$B$300,$B273)+SUMIFS('История'!$F$5:$F$300,'История'!$B$5:$B$300,$B273)))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Лэндинг'!$B$5:$B$300,$B273)+SUMIFS('История'!$H$5:$H$300,'История'!$B$5:$B$300,$B273))</f>
        <v/>
      </c>
      <c r="I273" s="339">
        <f>IF($B273="","",IF(AND(C273="",F273=""),"",ROUND(SUMIFS('ИТОГО Торговля'!$I$5:$I$300,'ИТОГО Торговля'!$B$5:$B$300,$B273)+SUMIFS('ИТОГО Лэндинг'!$I$5:$I$300,'ИТОГО Лэндинг'!$B$5:$B$300,$B273)+SUMIFS('История'!$I$5:$I$300,'История'!$B$5:$B$300,$B273),8)))</f>
        <v/>
      </c>
      <c r="J273" s="340">
        <f>IF($B273="","",IF(AND(C273="",F273=""),"",ROUND(SUMIFS('ИТОГО Торговля'!$J$5:$J$300,'ИТОГО Торговля'!$B$5:$B$300,$B273)+SUMIFS('ИТОГО Лэндинг'!$J$5:$J$300,'ИТОГО Лэндинг'!$B$5:$B$300,$B273)+SUMIFS('История'!$J$5:$J$300,'История'!$B$5:$B$300,$B273),8)))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Лэндинг'!$B$5:$B$300,$B273)+SUMIFS('История'!$K$5:$K$300,'История'!$B$5:$B$300,$B273),8))</f>
        <v/>
      </c>
      <c r="L273" s="177">
        <f>IF(K273="","",IF(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&lt;=0,0,ROUND(K273/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*100,2)))</f>
        <v/>
      </c>
      <c r="M273" s="343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Лэндинг'!$B$5:$B$300,$B274)+SUMIFS('История'!$C$5:$C$300,'История'!$B$5:$B$300,$B274)=0,"",SUMIFS('ИТОГО Торговля'!$C$5:$C$300,'ИТОГО Торговля'!$B$5:$B$300,$B274)+SUMIFS('ИТОГО Лэндинг'!$C$5:$C$300,'ИТОГО Лэндинг'!$B$5:$B$300,$B274)+SUMIFS('История'!$C$5:$C$300,'История'!$B$5:$B$300,$B274)))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Лэндинг'!$B$5:$B$300,$B274)+SUMIFS('История'!$E$5:$E$300,'История'!$B$5:$B$300,$B274))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Лэндинг'!$B$5:$B$300,$B274)+SUMIFS('История'!$F$5:$F$300,'История'!$B$5:$B$300,$B274)=0,"",SUMIFS('ИТОГО Торговля'!$F$5:$F$300,'ИТОГО Торговля'!$B$5:$B$300,$B274)+SUMIFS('ИТОГО Лэндинг'!$F$5:$F$300,'ИТОГО Лэндинг'!$B$5:$B$300,$B274)+SUMIFS('История'!$F$5:$F$300,'История'!$B$5:$B$300,$B274)))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Лэндинг'!$B$5:$B$300,$B274)+SUMIFS('История'!$H$5:$H$300,'История'!$B$5:$B$300,$B274))</f>
        <v/>
      </c>
      <c r="I274" s="341">
        <f>IF($B274="","",IF(AND(C274="",F274=""),"",ROUND(SUMIFS('ИТОГО Торговля'!$I$5:$I$300,'ИТОГО Торговля'!$B$5:$B$300,$B274)+SUMIFS('ИТОГО Лэндинг'!$I$5:$I$300,'ИТОГО Лэндинг'!$B$5:$B$300,$B274)+SUMIFS('История'!$I$5:$I$300,'История'!$B$5:$B$300,$B274),8)))</f>
        <v/>
      </c>
      <c r="J274" s="342">
        <f>IF($B274="","",IF(AND(C274="",F274=""),"",ROUND(SUMIFS('ИТОГО Торговля'!$J$5:$J$300,'ИТОГО Торговля'!$B$5:$B$300,$B274)+SUMIFS('ИТОГО Лэндинг'!$J$5:$J$300,'ИТОГО Лэндинг'!$B$5:$B$300,$B274)+SUMIFS('История'!$J$5:$J$300,'История'!$B$5:$B$300,$B274),8)))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Лэндинг'!$B$5:$B$300,$B274)+SUMIFS('История'!$K$5:$K$300,'История'!$B$5:$B$300,$B274),8))</f>
        <v/>
      </c>
      <c r="L274" s="183">
        <f>IF(K274="","",IF(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&lt;=0,0,ROUND(K274/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*100,2)))</f>
        <v/>
      </c>
      <c r="M274" s="344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Лэндинг'!$B$5:$B$300,$B275)+SUMIFS('История'!$C$5:$C$300,'История'!$B$5:$B$300,$B275)=0,"",SUMIFS('ИТОГО Торговля'!$C$5:$C$300,'ИТОГО Торговля'!$B$5:$B$300,$B275)+SUMIFS('ИТОГО Лэндинг'!$C$5:$C$300,'ИТОГО Лэндинг'!$B$5:$B$300,$B275)+SUMIFS('История'!$C$5:$C$300,'История'!$B$5:$B$300,$B275)))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Лэндинг'!$B$5:$B$300,$B275)+SUMIFS('История'!$E$5:$E$300,'История'!$B$5:$B$300,$B275))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Лэндинг'!$B$5:$B$300,$B275)+SUMIFS('История'!$F$5:$F$300,'История'!$B$5:$B$300,$B275)=0,"",SUMIFS('ИТОГО Торговля'!$F$5:$F$300,'ИТОГО Торговля'!$B$5:$B$300,$B275)+SUMIFS('ИТОГО Лэндинг'!$F$5:$F$300,'ИТОГО Лэндинг'!$B$5:$B$300,$B275)+SUMIFS('История'!$F$5:$F$300,'История'!$B$5:$B$300,$B275)))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Лэндинг'!$B$5:$B$300,$B275)+SUMIFS('История'!$H$5:$H$300,'История'!$B$5:$B$300,$B275))</f>
        <v/>
      </c>
      <c r="I275" s="339">
        <f>IF($B275="","",IF(AND(C275="",F275=""),"",ROUND(SUMIFS('ИТОГО Торговля'!$I$5:$I$300,'ИТОГО Торговля'!$B$5:$B$300,$B275)+SUMIFS('ИТОГО Лэндинг'!$I$5:$I$300,'ИТОГО Лэндинг'!$B$5:$B$300,$B275)+SUMIFS('История'!$I$5:$I$300,'История'!$B$5:$B$300,$B275),8)))</f>
        <v/>
      </c>
      <c r="J275" s="340">
        <f>IF($B275="","",IF(AND(C275="",F275=""),"",ROUND(SUMIFS('ИТОГО Торговля'!$J$5:$J$300,'ИТОГО Торговля'!$B$5:$B$300,$B275)+SUMIFS('ИТОГО Лэндинг'!$J$5:$J$300,'ИТОГО Лэндинг'!$B$5:$B$300,$B275)+SUMIFS('История'!$J$5:$J$300,'История'!$B$5:$B$300,$B275),8)))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Лэндинг'!$B$5:$B$300,$B275)+SUMIFS('История'!$K$5:$K$300,'История'!$B$5:$B$300,$B275),8))</f>
        <v/>
      </c>
      <c r="L275" s="177">
        <f>IF(K275="","",IF(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&lt;=0,0,ROUND(K275/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*100,2)))</f>
        <v/>
      </c>
      <c r="M275" s="343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Лэндинг'!$B$5:$B$300,$B276)+SUMIFS('История'!$C$5:$C$300,'История'!$B$5:$B$300,$B276)=0,"",SUMIFS('ИТОГО Торговля'!$C$5:$C$300,'ИТОГО Торговля'!$B$5:$B$300,$B276)+SUMIFS('ИТОГО Лэндинг'!$C$5:$C$300,'ИТОГО Лэндинг'!$B$5:$B$300,$B276)+SUMIFS('История'!$C$5:$C$300,'История'!$B$5:$B$300,$B276)))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Лэндинг'!$B$5:$B$300,$B276)+SUMIFS('История'!$E$5:$E$300,'История'!$B$5:$B$300,$B276))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Лэндинг'!$B$5:$B$300,$B276)+SUMIFS('История'!$F$5:$F$300,'История'!$B$5:$B$300,$B276)=0,"",SUMIFS('ИТОГО Торговля'!$F$5:$F$300,'ИТОГО Торговля'!$B$5:$B$300,$B276)+SUMIFS('ИТОГО Лэндинг'!$F$5:$F$300,'ИТОГО Лэндинг'!$B$5:$B$300,$B276)+SUMIFS('История'!$F$5:$F$300,'История'!$B$5:$B$300,$B276)))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Лэндинг'!$B$5:$B$300,$B276)+SUMIFS('История'!$H$5:$H$300,'История'!$B$5:$B$300,$B276))</f>
        <v/>
      </c>
      <c r="I276" s="341">
        <f>IF($B276="","",IF(AND(C276="",F276=""),"",ROUND(SUMIFS('ИТОГО Торговля'!$I$5:$I$300,'ИТОГО Торговля'!$B$5:$B$300,$B276)+SUMIFS('ИТОГО Лэндинг'!$I$5:$I$300,'ИТОГО Лэндинг'!$B$5:$B$300,$B276)+SUMIFS('История'!$I$5:$I$300,'История'!$B$5:$B$300,$B276),8)))</f>
        <v/>
      </c>
      <c r="J276" s="342">
        <f>IF($B276="","",IF(AND(C276="",F276=""),"",ROUND(SUMIFS('ИТОГО Торговля'!$J$5:$J$300,'ИТОГО Торговля'!$B$5:$B$300,$B276)+SUMIFS('ИТОГО Лэндинг'!$J$5:$J$300,'ИТОГО Лэндинг'!$B$5:$B$300,$B276)+SUMIFS('История'!$J$5:$J$300,'История'!$B$5:$B$300,$B276),8)))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Лэндинг'!$B$5:$B$300,$B276)+SUMIFS('История'!$K$5:$K$300,'История'!$B$5:$B$300,$B276),8))</f>
        <v/>
      </c>
      <c r="L276" s="183">
        <f>IF(K276="","",IF(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&lt;=0,0,ROUND(K276/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*100,2)))</f>
        <v/>
      </c>
      <c r="M276" s="344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Лэндинг'!$B$5:$B$300,$B277)+SUMIFS('История'!$C$5:$C$300,'История'!$B$5:$B$300,$B277)=0,"",SUMIFS('ИТОГО Торговля'!$C$5:$C$300,'ИТОГО Торговля'!$B$5:$B$300,$B277)+SUMIFS('ИТОГО Лэндинг'!$C$5:$C$300,'ИТОГО Лэндинг'!$B$5:$B$300,$B277)+SUMIFS('История'!$C$5:$C$300,'История'!$B$5:$B$300,$B277)))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Лэндинг'!$B$5:$B$300,$B277)+SUMIFS('История'!$E$5:$E$300,'История'!$B$5:$B$300,$B277))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Лэндинг'!$B$5:$B$300,$B277)+SUMIFS('История'!$F$5:$F$300,'История'!$B$5:$B$300,$B277)=0,"",SUMIFS('ИТОГО Торговля'!$F$5:$F$300,'ИТОГО Торговля'!$B$5:$B$300,$B277)+SUMIFS('ИТОГО Лэндинг'!$F$5:$F$300,'ИТОГО Лэндинг'!$B$5:$B$300,$B277)+SUMIFS('История'!$F$5:$F$300,'История'!$B$5:$B$300,$B277)))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Лэндинг'!$B$5:$B$300,$B277)+SUMIFS('История'!$H$5:$H$300,'История'!$B$5:$B$300,$B277))</f>
        <v/>
      </c>
      <c r="I277" s="339">
        <f>IF($B277="","",IF(AND(C277="",F277=""),"",ROUND(SUMIFS('ИТОГО Торговля'!$I$5:$I$300,'ИТОГО Торговля'!$B$5:$B$300,$B277)+SUMIFS('ИТОГО Лэндинг'!$I$5:$I$300,'ИТОГО Лэндинг'!$B$5:$B$300,$B277)+SUMIFS('История'!$I$5:$I$300,'История'!$B$5:$B$300,$B277),8)))</f>
        <v/>
      </c>
      <c r="J277" s="340">
        <f>IF($B277="","",IF(AND(C277="",F277=""),"",ROUND(SUMIFS('ИТОГО Торговля'!$J$5:$J$300,'ИТОГО Торговля'!$B$5:$B$300,$B277)+SUMIFS('ИТОГО Лэндинг'!$J$5:$J$300,'ИТОГО Лэндинг'!$B$5:$B$300,$B277)+SUMIFS('История'!$J$5:$J$300,'История'!$B$5:$B$300,$B277),8)))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Лэндинг'!$B$5:$B$300,$B277)+SUMIFS('История'!$K$5:$K$300,'История'!$B$5:$B$300,$B277),8))</f>
        <v/>
      </c>
      <c r="L277" s="177">
        <f>IF(K277="","",IF(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&lt;=0,0,ROUND(K277/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*100,2)))</f>
        <v/>
      </c>
      <c r="M277" s="343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Лэндинг'!$B$5:$B$300,$B278)+SUMIFS('История'!$C$5:$C$300,'История'!$B$5:$B$300,$B278)=0,"",SUMIFS('ИТОГО Торговля'!$C$5:$C$300,'ИТОГО Торговля'!$B$5:$B$300,$B278)+SUMIFS('ИТОГО Лэндинг'!$C$5:$C$300,'ИТОГО Лэндинг'!$B$5:$B$300,$B278)+SUMIFS('История'!$C$5:$C$300,'История'!$B$5:$B$300,$B278)))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Лэндинг'!$B$5:$B$300,$B278)+SUMIFS('История'!$E$5:$E$300,'История'!$B$5:$B$300,$B278))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Лэндинг'!$B$5:$B$300,$B278)+SUMIFS('История'!$F$5:$F$300,'История'!$B$5:$B$300,$B278)=0,"",SUMIFS('ИТОГО Торговля'!$F$5:$F$300,'ИТОГО Торговля'!$B$5:$B$300,$B278)+SUMIFS('ИТОГО Лэндинг'!$F$5:$F$300,'ИТОГО Лэндинг'!$B$5:$B$300,$B278)+SUMIFS('История'!$F$5:$F$300,'История'!$B$5:$B$300,$B278)))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Лэндинг'!$B$5:$B$300,$B278)+SUMIFS('История'!$H$5:$H$300,'История'!$B$5:$B$300,$B278))</f>
        <v/>
      </c>
      <c r="I278" s="341">
        <f>IF($B278="","",IF(AND(C278="",F278=""),"",ROUND(SUMIFS('ИТОГО Торговля'!$I$5:$I$300,'ИТОГО Торговля'!$B$5:$B$300,$B278)+SUMIFS('ИТОГО Лэндинг'!$I$5:$I$300,'ИТОГО Лэндинг'!$B$5:$B$300,$B278)+SUMIFS('История'!$I$5:$I$300,'История'!$B$5:$B$300,$B278),8)))</f>
        <v/>
      </c>
      <c r="J278" s="342">
        <f>IF($B278="","",IF(AND(C278="",F278=""),"",ROUND(SUMIFS('ИТОГО Торговля'!$J$5:$J$300,'ИТОГО Торговля'!$B$5:$B$300,$B278)+SUMIFS('ИТОГО Лэндинг'!$J$5:$J$300,'ИТОГО Лэндинг'!$B$5:$B$300,$B278)+SUMIFS('История'!$J$5:$J$300,'История'!$B$5:$B$300,$B278),8)))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Лэндинг'!$B$5:$B$300,$B278)+SUMIFS('История'!$K$5:$K$300,'История'!$B$5:$B$300,$B278),8))</f>
        <v/>
      </c>
      <c r="L278" s="183">
        <f>IF(K278="","",IF(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&lt;=0,0,ROUND(K278/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*100,2)))</f>
        <v/>
      </c>
      <c r="M278" s="344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Лэндинг'!$B$5:$B$300,$B279)+SUMIFS('История'!$C$5:$C$300,'История'!$B$5:$B$300,$B279)=0,"",SUMIFS('ИТОГО Торговля'!$C$5:$C$300,'ИТОГО Торговля'!$B$5:$B$300,$B279)+SUMIFS('ИТОГО Лэндинг'!$C$5:$C$300,'ИТОГО Лэндинг'!$B$5:$B$300,$B279)+SUMIFS('История'!$C$5:$C$300,'История'!$B$5:$B$300,$B279)))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Лэндинг'!$B$5:$B$300,$B279)+SUMIFS('История'!$E$5:$E$300,'История'!$B$5:$B$300,$B279))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Лэндинг'!$B$5:$B$300,$B279)+SUMIFS('История'!$F$5:$F$300,'История'!$B$5:$B$300,$B279)=0,"",SUMIFS('ИТОГО Торговля'!$F$5:$F$300,'ИТОГО Торговля'!$B$5:$B$300,$B279)+SUMIFS('ИТОГО Лэндинг'!$F$5:$F$300,'ИТОГО Лэндинг'!$B$5:$B$300,$B279)+SUMIFS('История'!$F$5:$F$300,'История'!$B$5:$B$300,$B279)))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Лэндинг'!$B$5:$B$300,$B279)+SUMIFS('История'!$H$5:$H$300,'История'!$B$5:$B$300,$B279))</f>
        <v/>
      </c>
      <c r="I279" s="339">
        <f>IF($B279="","",IF(AND(C279="",F279=""),"",ROUND(SUMIFS('ИТОГО Торговля'!$I$5:$I$300,'ИТОГО Торговля'!$B$5:$B$300,$B279)+SUMIFS('ИТОГО Лэндинг'!$I$5:$I$300,'ИТОГО Лэндинг'!$B$5:$B$300,$B279)+SUMIFS('История'!$I$5:$I$300,'История'!$B$5:$B$300,$B279),8)))</f>
        <v/>
      </c>
      <c r="J279" s="340">
        <f>IF($B279="","",IF(AND(C279="",F279=""),"",ROUND(SUMIFS('ИТОГО Торговля'!$J$5:$J$300,'ИТОГО Торговля'!$B$5:$B$300,$B279)+SUMIFS('ИТОГО Лэндинг'!$J$5:$J$300,'ИТОГО Лэндинг'!$B$5:$B$300,$B279)+SUMIFS('История'!$J$5:$J$300,'История'!$B$5:$B$300,$B279),8)))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Лэндинг'!$B$5:$B$300,$B279)+SUMIFS('История'!$K$5:$K$300,'История'!$B$5:$B$300,$B279),8))</f>
        <v/>
      </c>
      <c r="L279" s="177">
        <f>IF(K279="","",IF(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&lt;=0,0,ROUND(K279/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*100,2)))</f>
        <v/>
      </c>
      <c r="M279" s="343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Лэндинг'!$B$5:$B$300,$B280)+SUMIFS('История'!$C$5:$C$300,'История'!$B$5:$B$300,$B280)=0,"",SUMIFS('ИТОГО Торговля'!$C$5:$C$300,'ИТОГО Торговля'!$B$5:$B$300,$B280)+SUMIFS('ИТОГО Лэндинг'!$C$5:$C$300,'ИТОГО Лэндинг'!$B$5:$B$300,$B280)+SUMIFS('История'!$C$5:$C$300,'История'!$B$5:$B$300,$B280)))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Лэндинг'!$B$5:$B$300,$B280)+SUMIFS('История'!$E$5:$E$300,'История'!$B$5:$B$300,$B280))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Лэндинг'!$B$5:$B$300,$B280)+SUMIFS('История'!$F$5:$F$300,'История'!$B$5:$B$300,$B280)=0,"",SUMIFS('ИТОГО Торговля'!$F$5:$F$300,'ИТОГО Торговля'!$B$5:$B$300,$B280)+SUMIFS('ИТОГО Лэндинг'!$F$5:$F$300,'ИТОГО Лэндинг'!$B$5:$B$300,$B280)+SUMIFS('История'!$F$5:$F$300,'История'!$B$5:$B$300,$B280)))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Лэндинг'!$B$5:$B$300,$B280)+SUMIFS('История'!$H$5:$H$300,'История'!$B$5:$B$300,$B280))</f>
        <v/>
      </c>
      <c r="I280" s="341">
        <f>IF($B280="","",IF(AND(C280="",F280=""),"",ROUND(SUMIFS('ИТОГО Торговля'!$I$5:$I$300,'ИТОГО Торговля'!$B$5:$B$300,$B280)+SUMIFS('ИТОГО Лэндинг'!$I$5:$I$300,'ИТОГО Лэндинг'!$B$5:$B$300,$B280)+SUMIFS('История'!$I$5:$I$300,'История'!$B$5:$B$300,$B280),8)))</f>
        <v/>
      </c>
      <c r="J280" s="342">
        <f>IF($B280="","",IF(AND(C280="",F280=""),"",ROUND(SUMIFS('ИТОГО Торговля'!$J$5:$J$300,'ИТОГО Торговля'!$B$5:$B$300,$B280)+SUMIFS('ИТОГО Лэндинг'!$J$5:$J$300,'ИТОГО Лэндинг'!$B$5:$B$300,$B280)+SUMIFS('История'!$J$5:$J$300,'История'!$B$5:$B$300,$B280),8)))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Лэндинг'!$B$5:$B$300,$B280)+SUMIFS('История'!$K$5:$K$300,'История'!$B$5:$B$300,$B280),8))</f>
        <v/>
      </c>
      <c r="L280" s="183">
        <f>IF(K280="","",IF(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&lt;=0,0,ROUND(K280/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*100,2)))</f>
        <v/>
      </c>
      <c r="M280" s="344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Лэндинг'!$B$5:$B$300,$B281)+SUMIFS('История'!$C$5:$C$300,'История'!$B$5:$B$300,$B281)=0,"",SUMIFS('ИТОГО Торговля'!$C$5:$C$300,'ИТОГО Торговля'!$B$5:$B$300,$B281)+SUMIFS('ИТОГО Лэндинг'!$C$5:$C$300,'ИТОГО Лэндинг'!$B$5:$B$300,$B281)+SUMIFS('История'!$C$5:$C$300,'История'!$B$5:$B$300,$B281)))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Лэндинг'!$B$5:$B$300,$B281)+SUMIFS('История'!$E$5:$E$300,'История'!$B$5:$B$300,$B281))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Лэндинг'!$B$5:$B$300,$B281)+SUMIFS('История'!$F$5:$F$300,'История'!$B$5:$B$300,$B281)=0,"",SUMIFS('ИТОГО Торговля'!$F$5:$F$300,'ИТОГО Торговля'!$B$5:$B$300,$B281)+SUMIFS('ИТОГО Лэндинг'!$F$5:$F$300,'ИТОГО Лэндинг'!$B$5:$B$300,$B281)+SUMIFS('История'!$F$5:$F$300,'История'!$B$5:$B$300,$B281)))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Лэндинг'!$B$5:$B$300,$B281)+SUMIFS('История'!$H$5:$H$300,'История'!$B$5:$B$300,$B281))</f>
        <v/>
      </c>
      <c r="I281" s="339">
        <f>IF($B281="","",IF(AND(C281="",F281=""),"",ROUND(SUMIFS('ИТОГО Торговля'!$I$5:$I$300,'ИТОГО Торговля'!$B$5:$B$300,$B281)+SUMIFS('ИТОГО Лэндинг'!$I$5:$I$300,'ИТОГО Лэндинг'!$B$5:$B$300,$B281)+SUMIFS('История'!$I$5:$I$300,'История'!$B$5:$B$300,$B281),8)))</f>
        <v/>
      </c>
      <c r="J281" s="340">
        <f>IF($B281="","",IF(AND(C281="",F281=""),"",ROUND(SUMIFS('ИТОГО Торговля'!$J$5:$J$300,'ИТОГО Торговля'!$B$5:$B$300,$B281)+SUMIFS('ИТОГО Лэндинг'!$J$5:$J$300,'ИТОГО Лэндинг'!$B$5:$B$300,$B281)+SUMIFS('История'!$J$5:$J$300,'История'!$B$5:$B$300,$B281),8)))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Лэндинг'!$B$5:$B$300,$B281)+SUMIFS('История'!$K$5:$K$300,'История'!$B$5:$B$300,$B281),8))</f>
        <v/>
      </c>
      <c r="L281" s="177">
        <f>IF(K281="","",IF(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&lt;=0,0,ROUND(K281/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*100,2)))</f>
        <v/>
      </c>
      <c r="M281" s="343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Лэндинг'!$B$5:$B$300,$B282)+SUMIFS('История'!$C$5:$C$300,'История'!$B$5:$B$300,$B282)=0,"",SUMIFS('ИТОГО Торговля'!$C$5:$C$300,'ИТОГО Торговля'!$B$5:$B$300,$B282)+SUMIFS('ИТОГО Лэндинг'!$C$5:$C$300,'ИТОГО Лэндинг'!$B$5:$B$300,$B282)+SUMIFS('История'!$C$5:$C$300,'История'!$B$5:$B$300,$B282)))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Лэндинг'!$B$5:$B$300,$B282)+SUMIFS('История'!$E$5:$E$300,'История'!$B$5:$B$300,$B282))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Лэндинг'!$B$5:$B$300,$B282)+SUMIFS('История'!$F$5:$F$300,'История'!$B$5:$B$300,$B282)=0,"",SUMIFS('ИТОГО Торговля'!$F$5:$F$300,'ИТОГО Торговля'!$B$5:$B$300,$B282)+SUMIFS('ИТОГО Лэндинг'!$F$5:$F$300,'ИТОГО Лэндинг'!$B$5:$B$300,$B282)+SUMIFS('История'!$F$5:$F$300,'История'!$B$5:$B$300,$B282)))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Лэндинг'!$B$5:$B$300,$B282)+SUMIFS('История'!$H$5:$H$300,'История'!$B$5:$B$300,$B282))</f>
        <v/>
      </c>
      <c r="I282" s="341">
        <f>IF($B282="","",IF(AND(C282="",F282=""),"",ROUND(SUMIFS('ИТОГО Торговля'!$I$5:$I$300,'ИТОГО Торговля'!$B$5:$B$300,$B282)+SUMIFS('ИТОГО Лэндинг'!$I$5:$I$300,'ИТОГО Лэндинг'!$B$5:$B$300,$B282)+SUMIFS('История'!$I$5:$I$300,'История'!$B$5:$B$300,$B282),8)))</f>
        <v/>
      </c>
      <c r="J282" s="342">
        <f>IF($B282="","",IF(AND(C282="",F282=""),"",ROUND(SUMIFS('ИТОГО Торговля'!$J$5:$J$300,'ИТОГО Торговля'!$B$5:$B$300,$B282)+SUMIFS('ИТОГО Лэндинг'!$J$5:$J$300,'ИТОГО Лэндинг'!$B$5:$B$300,$B282)+SUMIFS('История'!$J$5:$J$300,'История'!$B$5:$B$300,$B282),8)))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Лэндинг'!$B$5:$B$300,$B282)+SUMIFS('История'!$K$5:$K$300,'История'!$B$5:$B$300,$B282),8))</f>
        <v/>
      </c>
      <c r="L282" s="183">
        <f>IF(K282="","",IF(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&lt;=0,0,ROUND(K282/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*100,2)))</f>
        <v/>
      </c>
      <c r="M282" s="344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Лэндинг'!$B$5:$B$300,$B283)+SUMIFS('История'!$C$5:$C$300,'История'!$B$5:$B$300,$B283)=0,"",SUMIFS('ИТОГО Торговля'!$C$5:$C$300,'ИТОГО Торговля'!$B$5:$B$300,$B283)+SUMIFS('ИТОГО Лэндинг'!$C$5:$C$300,'ИТОГО Лэндинг'!$B$5:$B$300,$B283)+SUMIFS('История'!$C$5:$C$300,'История'!$B$5:$B$300,$B283)))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Лэндинг'!$B$5:$B$300,$B283)+SUMIFS('История'!$E$5:$E$300,'История'!$B$5:$B$300,$B283))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Лэндинг'!$B$5:$B$300,$B283)+SUMIFS('История'!$F$5:$F$300,'История'!$B$5:$B$300,$B283)=0,"",SUMIFS('ИТОГО Торговля'!$F$5:$F$300,'ИТОГО Торговля'!$B$5:$B$300,$B283)+SUMIFS('ИТОГО Лэндинг'!$F$5:$F$300,'ИТОГО Лэндинг'!$B$5:$B$300,$B283)+SUMIFS('История'!$F$5:$F$300,'История'!$B$5:$B$300,$B283)))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Лэндинг'!$B$5:$B$300,$B283)+SUMIFS('История'!$H$5:$H$300,'История'!$B$5:$B$300,$B283))</f>
        <v/>
      </c>
      <c r="I283" s="339">
        <f>IF($B283="","",IF(AND(C283="",F283=""),"",ROUND(SUMIFS('ИТОГО Торговля'!$I$5:$I$300,'ИТОГО Торговля'!$B$5:$B$300,$B283)+SUMIFS('ИТОГО Лэндинг'!$I$5:$I$300,'ИТОГО Лэндинг'!$B$5:$B$300,$B283)+SUMIFS('История'!$I$5:$I$300,'История'!$B$5:$B$300,$B283),8)))</f>
        <v/>
      </c>
      <c r="J283" s="340">
        <f>IF($B283="","",IF(AND(C283="",F283=""),"",ROUND(SUMIFS('ИТОГО Торговля'!$J$5:$J$300,'ИТОГО Торговля'!$B$5:$B$300,$B283)+SUMIFS('ИТОГО Лэндинг'!$J$5:$J$300,'ИТОГО Лэндинг'!$B$5:$B$300,$B283)+SUMIFS('История'!$J$5:$J$300,'История'!$B$5:$B$300,$B283),8)))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Лэндинг'!$B$5:$B$300,$B283)+SUMIFS('История'!$K$5:$K$300,'История'!$B$5:$B$300,$B283),8))</f>
        <v/>
      </c>
      <c r="L283" s="177">
        <f>IF(K283="","",IF(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&lt;=0,0,ROUND(K283/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*100,2)))</f>
        <v/>
      </c>
      <c r="M283" s="343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Лэндинг'!$B$5:$B$300,$B284)+SUMIFS('История'!$C$5:$C$300,'История'!$B$5:$B$300,$B284)=0,"",SUMIFS('ИТОГО Торговля'!$C$5:$C$300,'ИТОГО Торговля'!$B$5:$B$300,$B284)+SUMIFS('ИТОГО Лэндинг'!$C$5:$C$300,'ИТОГО Лэндинг'!$B$5:$B$300,$B284)+SUMIFS('История'!$C$5:$C$300,'История'!$B$5:$B$300,$B284)))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Лэндинг'!$B$5:$B$300,$B284)+SUMIFS('История'!$E$5:$E$300,'История'!$B$5:$B$300,$B284))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Лэндинг'!$B$5:$B$300,$B284)+SUMIFS('История'!$F$5:$F$300,'История'!$B$5:$B$300,$B284)=0,"",SUMIFS('ИТОГО Торговля'!$F$5:$F$300,'ИТОГО Торговля'!$B$5:$B$300,$B284)+SUMIFS('ИТОГО Лэндинг'!$F$5:$F$300,'ИТОГО Лэндинг'!$B$5:$B$300,$B284)+SUMIFS('История'!$F$5:$F$300,'История'!$B$5:$B$300,$B284)))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Лэндинг'!$B$5:$B$300,$B284)+SUMIFS('История'!$H$5:$H$300,'История'!$B$5:$B$300,$B284))</f>
        <v/>
      </c>
      <c r="I284" s="341">
        <f>IF($B284="","",IF(AND(C284="",F284=""),"",ROUND(SUMIFS('ИТОГО Торговля'!$I$5:$I$300,'ИТОГО Торговля'!$B$5:$B$300,$B284)+SUMIFS('ИТОГО Лэндинг'!$I$5:$I$300,'ИТОГО Лэндинг'!$B$5:$B$300,$B284)+SUMIFS('История'!$I$5:$I$300,'История'!$B$5:$B$300,$B284),8)))</f>
        <v/>
      </c>
      <c r="J284" s="342">
        <f>IF($B284="","",IF(AND(C284="",F284=""),"",ROUND(SUMIFS('ИТОГО Торговля'!$J$5:$J$300,'ИТОГО Торговля'!$B$5:$B$300,$B284)+SUMIFS('ИТОГО Лэндинг'!$J$5:$J$300,'ИТОГО Лэндинг'!$B$5:$B$300,$B284)+SUMIFS('История'!$J$5:$J$300,'История'!$B$5:$B$300,$B284),8)))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Лэндинг'!$B$5:$B$300,$B284)+SUMIFS('История'!$K$5:$K$300,'История'!$B$5:$B$300,$B284),8))</f>
        <v/>
      </c>
      <c r="L284" s="183">
        <f>IF(K284="","",IF(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&lt;=0,0,ROUND(K284/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*100,2)))</f>
        <v/>
      </c>
      <c r="M284" s="344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Лэндинг'!$B$5:$B$300,$B285)+SUMIFS('История'!$C$5:$C$300,'История'!$B$5:$B$300,$B285)=0,"",SUMIFS('ИТОГО Торговля'!$C$5:$C$300,'ИТОГО Торговля'!$B$5:$B$300,$B285)+SUMIFS('ИТОГО Лэндинг'!$C$5:$C$300,'ИТОГО Лэндинг'!$B$5:$B$300,$B285)+SUMIFS('История'!$C$5:$C$300,'История'!$B$5:$B$300,$B285)))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Лэндинг'!$B$5:$B$300,$B285)+SUMIFS('История'!$E$5:$E$300,'История'!$B$5:$B$300,$B285))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Лэндинг'!$B$5:$B$300,$B285)+SUMIFS('История'!$F$5:$F$300,'История'!$B$5:$B$300,$B285)=0,"",SUMIFS('ИТОГО Торговля'!$F$5:$F$300,'ИТОГО Торговля'!$B$5:$B$300,$B285)+SUMIFS('ИТОГО Лэндинг'!$F$5:$F$300,'ИТОГО Лэндинг'!$B$5:$B$300,$B285)+SUMIFS('История'!$F$5:$F$300,'История'!$B$5:$B$300,$B285)))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Лэндинг'!$B$5:$B$300,$B285)+SUMIFS('История'!$H$5:$H$300,'История'!$B$5:$B$300,$B285))</f>
        <v/>
      </c>
      <c r="I285" s="339">
        <f>IF($B285="","",IF(AND(C285="",F285=""),"",ROUND(SUMIFS('ИТОГО Торговля'!$I$5:$I$300,'ИТОГО Торговля'!$B$5:$B$300,$B285)+SUMIFS('ИТОГО Лэндинг'!$I$5:$I$300,'ИТОГО Лэндинг'!$B$5:$B$300,$B285)+SUMIFS('История'!$I$5:$I$300,'История'!$B$5:$B$300,$B285),8)))</f>
        <v/>
      </c>
      <c r="J285" s="340">
        <f>IF($B285="","",IF(AND(C285="",F285=""),"",ROUND(SUMIFS('ИТОГО Торговля'!$J$5:$J$300,'ИТОГО Торговля'!$B$5:$B$300,$B285)+SUMIFS('ИТОГО Лэндинг'!$J$5:$J$300,'ИТОГО Лэндинг'!$B$5:$B$300,$B285)+SUMIFS('История'!$J$5:$J$300,'История'!$B$5:$B$300,$B285),8)))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Лэндинг'!$B$5:$B$300,$B285)+SUMIFS('История'!$K$5:$K$300,'История'!$B$5:$B$300,$B285),8))</f>
        <v/>
      </c>
      <c r="L285" s="177">
        <f>IF(K285="","",IF(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&lt;=0,0,ROUND(K285/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*100,2)))</f>
        <v/>
      </c>
      <c r="M285" s="343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Лэндинг'!$B$5:$B$300,$B286)+SUMIFS('История'!$C$5:$C$300,'История'!$B$5:$B$300,$B286)=0,"",SUMIFS('ИТОГО Торговля'!$C$5:$C$300,'ИТОГО Торговля'!$B$5:$B$300,$B286)+SUMIFS('ИТОГО Лэндинг'!$C$5:$C$300,'ИТОГО Лэндинг'!$B$5:$B$300,$B286)+SUMIFS('История'!$C$5:$C$300,'История'!$B$5:$B$300,$B286)))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Лэндинг'!$B$5:$B$300,$B286)+SUMIFS('История'!$E$5:$E$300,'История'!$B$5:$B$300,$B286))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Лэндинг'!$B$5:$B$300,$B286)+SUMIFS('История'!$F$5:$F$300,'История'!$B$5:$B$300,$B286)=0,"",SUMIFS('ИТОГО Торговля'!$F$5:$F$300,'ИТОГО Торговля'!$B$5:$B$300,$B286)+SUMIFS('ИТОГО Лэндинг'!$F$5:$F$300,'ИТОГО Лэндинг'!$B$5:$B$300,$B286)+SUMIFS('История'!$F$5:$F$300,'История'!$B$5:$B$300,$B286)))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Лэндинг'!$B$5:$B$300,$B286)+SUMIFS('История'!$H$5:$H$300,'История'!$B$5:$B$300,$B286))</f>
        <v/>
      </c>
      <c r="I286" s="341">
        <f>IF($B286="","",IF(AND(C286="",F286=""),"",ROUND(SUMIFS('ИТОГО Торговля'!$I$5:$I$300,'ИТОГО Торговля'!$B$5:$B$300,$B286)+SUMIFS('ИТОГО Лэндинг'!$I$5:$I$300,'ИТОГО Лэндинг'!$B$5:$B$300,$B286)+SUMIFS('История'!$I$5:$I$300,'История'!$B$5:$B$300,$B286),8)))</f>
        <v/>
      </c>
      <c r="J286" s="342">
        <f>IF($B286="","",IF(AND(C286="",F286=""),"",ROUND(SUMIFS('ИТОГО Торговля'!$J$5:$J$300,'ИТОГО Торговля'!$B$5:$B$300,$B286)+SUMIFS('ИТОГО Лэндинг'!$J$5:$J$300,'ИТОГО Лэндинг'!$B$5:$B$300,$B286)+SUMIFS('История'!$J$5:$J$300,'История'!$B$5:$B$300,$B286),8)))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Лэндинг'!$B$5:$B$300,$B286)+SUMIFS('История'!$K$5:$K$300,'История'!$B$5:$B$300,$B286),8))</f>
        <v/>
      </c>
      <c r="L286" s="183">
        <f>IF(K286="","",IF(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&lt;=0,0,ROUND(K286/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*100,2)))</f>
        <v/>
      </c>
      <c r="M286" s="344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Лэндинг'!$B$5:$B$300,$B287)+SUMIFS('История'!$C$5:$C$300,'История'!$B$5:$B$300,$B287)=0,"",SUMIFS('ИТОГО Торговля'!$C$5:$C$300,'ИТОГО Торговля'!$B$5:$B$300,$B287)+SUMIFS('ИТОГО Лэндинг'!$C$5:$C$300,'ИТОГО Лэндинг'!$B$5:$B$300,$B287)+SUMIFS('История'!$C$5:$C$300,'История'!$B$5:$B$300,$B287)))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Лэндинг'!$B$5:$B$300,$B287)+SUMIFS('История'!$E$5:$E$300,'История'!$B$5:$B$300,$B287))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Лэндинг'!$B$5:$B$300,$B287)+SUMIFS('История'!$F$5:$F$300,'История'!$B$5:$B$300,$B287)=0,"",SUMIFS('ИТОГО Торговля'!$F$5:$F$300,'ИТОГО Торговля'!$B$5:$B$300,$B287)+SUMIFS('ИТОГО Лэндинг'!$F$5:$F$300,'ИТОГО Лэндинг'!$B$5:$B$300,$B287)+SUMIFS('История'!$F$5:$F$300,'История'!$B$5:$B$300,$B287)))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Лэндинг'!$B$5:$B$300,$B287)+SUMIFS('История'!$H$5:$H$300,'История'!$B$5:$B$300,$B287))</f>
        <v/>
      </c>
      <c r="I287" s="339">
        <f>IF($B287="","",IF(AND(C287="",F287=""),"",ROUND(SUMIFS('ИТОГО Торговля'!$I$5:$I$300,'ИТОГО Торговля'!$B$5:$B$300,$B287)+SUMIFS('ИТОГО Лэндинг'!$I$5:$I$300,'ИТОГО Лэндинг'!$B$5:$B$300,$B287)+SUMIFS('История'!$I$5:$I$300,'История'!$B$5:$B$300,$B287),8)))</f>
        <v/>
      </c>
      <c r="J287" s="340">
        <f>IF($B287="","",IF(AND(C287="",F287=""),"",ROUND(SUMIFS('ИТОГО Торговля'!$J$5:$J$300,'ИТОГО Торговля'!$B$5:$B$300,$B287)+SUMIFS('ИТОГО Лэндинг'!$J$5:$J$300,'ИТОГО Лэндинг'!$B$5:$B$300,$B287)+SUMIFS('История'!$J$5:$J$300,'История'!$B$5:$B$300,$B287),8)))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Лэндинг'!$B$5:$B$300,$B287)+SUMIFS('История'!$K$5:$K$300,'История'!$B$5:$B$300,$B287),8))</f>
        <v/>
      </c>
      <c r="L287" s="177">
        <f>IF(K287="","",IF(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&lt;=0,0,ROUND(K287/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*100,2)))</f>
        <v/>
      </c>
      <c r="M287" s="343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Лэндинг'!$B$5:$B$300,$B288)+SUMIFS('История'!$C$5:$C$300,'История'!$B$5:$B$300,$B288)=0,"",SUMIFS('ИТОГО Торговля'!$C$5:$C$300,'ИТОГО Торговля'!$B$5:$B$300,$B288)+SUMIFS('ИТОГО Лэндинг'!$C$5:$C$300,'ИТОГО Лэндинг'!$B$5:$B$300,$B288)+SUMIFS('История'!$C$5:$C$300,'История'!$B$5:$B$300,$B288)))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Лэндинг'!$B$5:$B$300,$B288)+SUMIFS('История'!$E$5:$E$300,'История'!$B$5:$B$300,$B288))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Лэндинг'!$B$5:$B$300,$B288)+SUMIFS('История'!$F$5:$F$300,'История'!$B$5:$B$300,$B288)=0,"",SUMIFS('ИТОГО Торговля'!$F$5:$F$300,'ИТОГО Торговля'!$B$5:$B$300,$B288)+SUMIFS('ИТОГО Лэндинг'!$F$5:$F$300,'ИТОГО Лэндинг'!$B$5:$B$300,$B288)+SUMIFS('История'!$F$5:$F$300,'История'!$B$5:$B$300,$B288)))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Лэндинг'!$B$5:$B$300,$B288)+SUMIFS('История'!$H$5:$H$300,'История'!$B$5:$B$300,$B288))</f>
        <v/>
      </c>
      <c r="I288" s="341">
        <f>IF($B288="","",IF(AND(C288="",F288=""),"",ROUND(SUMIFS('ИТОГО Торговля'!$I$5:$I$300,'ИТОГО Торговля'!$B$5:$B$300,$B288)+SUMIFS('ИТОГО Лэндинг'!$I$5:$I$300,'ИТОГО Лэндинг'!$B$5:$B$300,$B288)+SUMIFS('История'!$I$5:$I$300,'История'!$B$5:$B$300,$B288),8)))</f>
        <v/>
      </c>
      <c r="J288" s="342">
        <f>IF($B288="","",IF(AND(C288="",F288=""),"",ROUND(SUMIFS('ИТОГО Торговля'!$J$5:$J$300,'ИТОГО Торговля'!$B$5:$B$300,$B288)+SUMIFS('ИТОГО Лэндинг'!$J$5:$J$300,'ИТОГО Лэндинг'!$B$5:$B$300,$B288)+SUMIFS('История'!$J$5:$J$300,'История'!$B$5:$B$300,$B288),8)))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Лэндинг'!$B$5:$B$300,$B288)+SUMIFS('История'!$K$5:$K$300,'История'!$B$5:$B$300,$B288),8))</f>
        <v/>
      </c>
      <c r="L288" s="183">
        <f>IF(K288="","",IF(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&lt;=0,0,ROUND(K288/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*100,2)))</f>
        <v/>
      </c>
      <c r="M288" s="344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Лэндинг'!$B$5:$B$300,$B289)+SUMIFS('История'!$C$5:$C$300,'История'!$B$5:$B$300,$B289)=0,"",SUMIFS('ИТОГО Торговля'!$C$5:$C$300,'ИТОГО Торговля'!$B$5:$B$300,$B289)+SUMIFS('ИТОГО Лэндинг'!$C$5:$C$300,'ИТОГО Лэндинг'!$B$5:$B$300,$B289)+SUMIFS('История'!$C$5:$C$300,'История'!$B$5:$B$300,$B289)))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Лэндинг'!$B$5:$B$300,$B289)+SUMIFS('История'!$E$5:$E$300,'История'!$B$5:$B$300,$B289))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Лэндинг'!$B$5:$B$300,$B289)+SUMIFS('История'!$F$5:$F$300,'История'!$B$5:$B$300,$B289)=0,"",SUMIFS('ИТОГО Торговля'!$F$5:$F$300,'ИТОГО Торговля'!$B$5:$B$300,$B289)+SUMIFS('ИТОГО Лэндинг'!$F$5:$F$300,'ИТОГО Лэндинг'!$B$5:$B$300,$B289)+SUMIFS('История'!$F$5:$F$300,'История'!$B$5:$B$300,$B289)))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Лэндинг'!$B$5:$B$300,$B289)+SUMIFS('История'!$H$5:$H$300,'История'!$B$5:$B$300,$B289))</f>
        <v/>
      </c>
      <c r="I289" s="339">
        <f>IF($B289="","",IF(AND(C289="",F289=""),"",ROUND(SUMIFS('ИТОГО Торговля'!$I$5:$I$300,'ИТОГО Торговля'!$B$5:$B$300,$B289)+SUMIFS('ИТОГО Лэндинг'!$I$5:$I$300,'ИТОГО Лэндинг'!$B$5:$B$300,$B289)+SUMIFS('История'!$I$5:$I$300,'История'!$B$5:$B$300,$B289),8)))</f>
        <v/>
      </c>
      <c r="J289" s="340">
        <f>IF($B289="","",IF(AND(C289="",F289=""),"",ROUND(SUMIFS('ИТОГО Торговля'!$J$5:$J$300,'ИТОГО Торговля'!$B$5:$B$300,$B289)+SUMIFS('ИТОГО Лэндинг'!$J$5:$J$300,'ИТОГО Лэндинг'!$B$5:$B$300,$B289)+SUMIFS('История'!$J$5:$J$300,'История'!$B$5:$B$300,$B289),8)))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Лэндинг'!$B$5:$B$300,$B289)+SUMIFS('История'!$K$5:$K$300,'История'!$B$5:$B$300,$B289),8))</f>
        <v/>
      </c>
      <c r="L289" s="177">
        <f>IF(K289="","",IF(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&lt;=0,0,ROUND(K289/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*100,2)))</f>
        <v/>
      </c>
      <c r="M289" s="343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Лэндинг'!$B$5:$B$300,$B290)+SUMIFS('История'!$C$5:$C$300,'История'!$B$5:$B$300,$B290)=0,"",SUMIFS('ИТОГО Торговля'!$C$5:$C$300,'ИТОГО Торговля'!$B$5:$B$300,$B290)+SUMIFS('ИТОГО Лэндинг'!$C$5:$C$300,'ИТОГО Лэндинг'!$B$5:$B$300,$B290)+SUMIFS('История'!$C$5:$C$300,'История'!$B$5:$B$300,$B290)))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Лэндинг'!$B$5:$B$300,$B290)+SUMIFS('История'!$E$5:$E$300,'История'!$B$5:$B$300,$B290))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Лэндинг'!$B$5:$B$300,$B290)+SUMIFS('История'!$F$5:$F$300,'История'!$B$5:$B$300,$B290)=0,"",SUMIFS('ИТОГО Торговля'!$F$5:$F$300,'ИТОГО Торговля'!$B$5:$B$300,$B290)+SUMIFS('ИТОГО Лэндинг'!$F$5:$F$300,'ИТОГО Лэндинг'!$B$5:$B$300,$B290)+SUMIFS('История'!$F$5:$F$300,'История'!$B$5:$B$300,$B290)))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Лэндинг'!$B$5:$B$300,$B290)+SUMIFS('История'!$H$5:$H$300,'История'!$B$5:$B$300,$B290))</f>
        <v/>
      </c>
      <c r="I290" s="341">
        <f>IF($B290="","",IF(AND(C290="",F290=""),"",ROUND(SUMIFS('ИТОГО Торговля'!$I$5:$I$300,'ИТОГО Торговля'!$B$5:$B$300,$B290)+SUMIFS('ИТОГО Лэндинг'!$I$5:$I$300,'ИТОГО Лэндинг'!$B$5:$B$300,$B290)+SUMIFS('История'!$I$5:$I$300,'История'!$B$5:$B$300,$B290),8)))</f>
        <v/>
      </c>
      <c r="J290" s="342">
        <f>IF($B290="","",IF(AND(C290="",F290=""),"",ROUND(SUMIFS('ИТОГО Торговля'!$J$5:$J$300,'ИТОГО Торговля'!$B$5:$B$300,$B290)+SUMIFS('ИТОГО Лэндинг'!$J$5:$J$300,'ИТОГО Лэндинг'!$B$5:$B$300,$B290)+SUMIFS('История'!$J$5:$J$300,'История'!$B$5:$B$300,$B290),8)))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Лэндинг'!$B$5:$B$300,$B290)+SUMIFS('История'!$K$5:$K$300,'История'!$B$5:$B$300,$B290),8))</f>
        <v/>
      </c>
      <c r="L290" s="183">
        <f>IF(K290="","",IF(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&lt;=0,0,ROUND(K290/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*100,2)))</f>
        <v/>
      </c>
      <c r="M290" s="344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Лэндинг'!$B$5:$B$300,$B291)+SUMIFS('История'!$C$5:$C$300,'История'!$B$5:$B$300,$B291)=0,"",SUMIFS('ИТОГО Торговля'!$C$5:$C$300,'ИТОГО Торговля'!$B$5:$B$300,$B291)+SUMIFS('ИТОГО Лэндинг'!$C$5:$C$300,'ИТОГО Лэндинг'!$B$5:$B$300,$B291)+SUMIFS('История'!$C$5:$C$300,'История'!$B$5:$B$300,$B291)))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Лэндинг'!$B$5:$B$300,$B291)+SUMIFS('История'!$E$5:$E$300,'История'!$B$5:$B$300,$B291))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Лэндинг'!$B$5:$B$300,$B291)+SUMIFS('История'!$F$5:$F$300,'История'!$B$5:$B$300,$B291)=0,"",SUMIFS('ИТОГО Торговля'!$F$5:$F$300,'ИТОГО Торговля'!$B$5:$B$300,$B291)+SUMIFS('ИТОГО Лэндинг'!$F$5:$F$300,'ИТОГО Лэндинг'!$B$5:$B$300,$B291)+SUMIFS('История'!$F$5:$F$300,'История'!$B$5:$B$300,$B291)))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Лэндинг'!$B$5:$B$300,$B291)+SUMIFS('История'!$H$5:$H$300,'История'!$B$5:$B$300,$B291))</f>
        <v/>
      </c>
      <c r="I291" s="339">
        <f>IF($B291="","",IF(AND(C291="",F291=""),"",ROUND(SUMIFS('ИТОГО Торговля'!$I$5:$I$300,'ИТОГО Торговля'!$B$5:$B$300,$B291)+SUMIFS('ИТОГО Лэндинг'!$I$5:$I$300,'ИТОГО Лэндинг'!$B$5:$B$300,$B291)+SUMIFS('История'!$I$5:$I$300,'История'!$B$5:$B$300,$B291),8)))</f>
        <v/>
      </c>
      <c r="J291" s="340">
        <f>IF($B291="","",IF(AND(C291="",F291=""),"",ROUND(SUMIFS('ИТОГО Торговля'!$J$5:$J$300,'ИТОГО Торговля'!$B$5:$B$300,$B291)+SUMIFS('ИТОГО Лэндинг'!$J$5:$J$300,'ИТОГО Лэндинг'!$B$5:$B$300,$B291)+SUMIFS('История'!$J$5:$J$300,'История'!$B$5:$B$300,$B291),8)))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Лэндинг'!$B$5:$B$300,$B291)+SUMIFS('История'!$K$5:$K$300,'История'!$B$5:$B$300,$B291),8))</f>
        <v/>
      </c>
      <c r="L291" s="177">
        <f>IF(K291="","",IF(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&lt;=0,0,ROUND(K291/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*100,2)))</f>
        <v/>
      </c>
      <c r="M291" s="343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Лэндинг'!$B$5:$B$300,$B292)+SUMIFS('История'!$C$5:$C$300,'История'!$B$5:$B$300,$B292)=0,"",SUMIFS('ИТОГО Торговля'!$C$5:$C$300,'ИТОГО Торговля'!$B$5:$B$300,$B292)+SUMIFS('ИТОГО Лэндинг'!$C$5:$C$300,'ИТОГО Лэндинг'!$B$5:$B$300,$B292)+SUMIFS('История'!$C$5:$C$300,'История'!$B$5:$B$300,$B292)))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Лэндинг'!$B$5:$B$300,$B292)+SUMIFS('История'!$E$5:$E$300,'История'!$B$5:$B$300,$B292))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Лэндинг'!$B$5:$B$300,$B292)+SUMIFS('История'!$F$5:$F$300,'История'!$B$5:$B$300,$B292)=0,"",SUMIFS('ИТОГО Торговля'!$F$5:$F$300,'ИТОГО Торговля'!$B$5:$B$300,$B292)+SUMIFS('ИТОГО Лэндинг'!$F$5:$F$300,'ИТОГО Лэндинг'!$B$5:$B$300,$B292)+SUMIFS('История'!$F$5:$F$300,'История'!$B$5:$B$300,$B292)))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Лэндинг'!$B$5:$B$300,$B292)+SUMIFS('История'!$H$5:$H$300,'История'!$B$5:$B$300,$B292))</f>
        <v/>
      </c>
      <c r="I292" s="341">
        <f>IF($B292="","",IF(AND(C292="",F292=""),"",ROUND(SUMIFS('ИТОГО Торговля'!$I$5:$I$300,'ИТОГО Торговля'!$B$5:$B$300,$B292)+SUMIFS('ИТОГО Лэндинг'!$I$5:$I$300,'ИТОГО Лэндинг'!$B$5:$B$300,$B292)+SUMIFS('История'!$I$5:$I$300,'История'!$B$5:$B$300,$B292),8)))</f>
        <v/>
      </c>
      <c r="J292" s="342">
        <f>IF($B292="","",IF(AND(C292="",F292=""),"",ROUND(SUMIFS('ИТОГО Торговля'!$J$5:$J$300,'ИТОГО Торговля'!$B$5:$B$300,$B292)+SUMIFS('ИТОГО Лэндинг'!$J$5:$J$300,'ИТОГО Лэндинг'!$B$5:$B$300,$B292)+SUMIFS('История'!$J$5:$J$300,'История'!$B$5:$B$300,$B292),8)))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Лэндинг'!$B$5:$B$300,$B292)+SUMIFS('История'!$K$5:$K$300,'История'!$B$5:$B$300,$B292),8))</f>
        <v/>
      </c>
      <c r="L292" s="183">
        <f>IF(K292="","",IF(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&lt;=0,0,ROUND(K292/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*100,2)))</f>
        <v/>
      </c>
      <c r="M292" s="344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Лэндинг'!$B$5:$B$300,$B293)+SUMIFS('История'!$C$5:$C$300,'История'!$B$5:$B$300,$B293)=0,"",SUMIFS('ИТОГО Торговля'!$C$5:$C$300,'ИТОГО Торговля'!$B$5:$B$300,$B293)+SUMIFS('ИТОГО Лэндинг'!$C$5:$C$300,'ИТОГО Лэндинг'!$B$5:$B$300,$B293)+SUMIFS('История'!$C$5:$C$300,'История'!$B$5:$B$300,$B293)))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Лэндинг'!$B$5:$B$300,$B293)+SUMIFS('История'!$E$5:$E$300,'История'!$B$5:$B$300,$B293))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Лэндинг'!$B$5:$B$300,$B293)+SUMIFS('История'!$F$5:$F$300,'История'!$B$5:$B$300,$B293)=0,"",SUMIFS('ИТОГО Торговля'!$F$5:$F$300,'ИТОГО Торговля'!$B$5:$B$300,$B293)+SUMIFS('ИТОГО Лэндинг'!$F$5:$F$300,'ИТОГО Лэндинг'!$B$5:$B$300,$B293)+SUMIFS('История'!$F$5:$F$300,'История'!$B$5:$B$300,$B293)))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Лэндинг'!$B$5:$B$300,$B293)+SUMIFS('История'!$H$5:$H$300,'История'!$B$5:$B$300,$B293))</f>
        <v/>
      </c>
      <c r="I293" s="339">
        <f>IF($B293="","",IF(AND(C293="",F293=""),"",ROUND(SUMIFS('ИТОГО Торговля'!$I$5:$I$300,'ИТОГО Торговля'!$B$5:$B$300,$B293)+SUMIFS('ИТОГО Лэндинг'!$I$5:$I$300,'ИТОГО Лэндинг'!$B$5:$B$300,$B293)+SUMIFS('История'!$I$5:$I$300,'История'!$B$5:$B$300,$B293),8)))</f>
        <v/>
      </c>
      <c r="J293" s="340">
        <f>IF($B293="","",IF(AND(C293="",F293=""),"",ROUND(SUMIFS('ИТОГО Торговля'!$J$5:$J$300,'ИТОГО Торговля'!$B$5:$B$300,$B293)+SUMIFS('ИТОГО Лэндинг'!$J$5:$J$300,'ИТОГО Лэндинг'!$B$5:$B$300,$B293)+SUMIFS('История'!$J$5:$J$300,'История'!$B$5:$B$300,$B293),8)))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Лэндинг'!$B$5:$B$300,$B293)+SUMIFS('История'!$K$5:$K$300,'История'!$B$5:$B$300,$B293),8))</f>
        <v/>
      </c>
      <c r="L293" s="177">
        <f>IF(K293="","",IF(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&lt;=0,0,ROUND(K293/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*100,2)))</f>
        <v/>
      </c>
      <c r="M293" s="343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Лэндинг'!$B$5:$B$300,$B294)+SUMIFS('История'!$C$5:$C$300,'История'!$B$5:$B$300,$B294)=0,"",SUMIFS('ИТОГО Торговля'!$C$5:$C$300,'ИТОГО Торговля'!$B$5:$B$300,$B294)+SUMIFS('ИТОГО Лэндинг'!$C$5:$C$300,'ИТОГО Лэндинг'!$B$5:$B$300,$B294)+SUMIFS('История'!$C$5:$C$300,'История'!$B$5:$B$300,$B294)))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Лэндинг'!$B$5:$B$300,$B294)+SUMIFS('История'!$E$5:$E$300,'История'!$B$5:$B$300,$B294))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Лэндинг'!$B$5:$B$300,$B294)+SUMIFS('История'!$F$5:$F$300,'История'!$B$5:$B$300,$B294)=0,"",SUMIFS('ИТОГО Торговля'!$F$5:$F$300,'ИТОГО Торговля'!$B$5:$B$300,$B294)+SUMIFS('ИТОГО Лэндинг'!$F$5:$F$300,'ИТОГО Лэндинг'!$B$5:$B$300,$B294)+SUMIFS('История'!$F$5:$F$300,'История'!$B$5:$B$300,$B294)))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Лэндинг'!$B$5:$B$300,$B294)+SUMIFS('История'!$H$5:$H$300,'История'!$B$5:$B$300,$B294))</f>
        <v/>
      </c>
      <c r="I294" s="341">
        <f>IF($B294="","",IF(AND(C294="",F294=""),"",ROUND(SUMIFS('ИТОГО Торговля'!$I$5:$I$300,'ИТОГО Торговля'!$B$5:$B$300,$B294)+SUMIFS('ИТОГО Лэндинг'!$I$5:$I$300,'ИТОГО Лэндинг'!$B$5:$B$300,$B294)+SUMIFS('История'!$I$5:$I$300,'История'!$B$5:$B$300,$B294),8)))</f>
        <v/>
      </c>
      <c r="J294" s="342">
        <f>IF($B294="","",IF(AND(C294="",F294=""),"",ROUND(SUMIFS('ИТОГО Торговля'!$J$5:$J$300,'ИТОГО Торговля'!$B$5:$B$300,$B294)+SUMIFS('ИТОГО Лэндинг'!$J$5:$J$300,'ИТОГО Лэндинг'!$B$5:$B$300,$B294)+SUMIFS('История'!$J$5:$J$300,'История'!$B$5:$B$300,$B294),8)))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Лэндинг'!$B$5:$B$300,$B294)+SUMIFS('История'!$K$5:$K$300,'История'!$B$5:$B$300,$B294),8))</f>
        <v/>
      </c>
      <c r="L294" s="183">
        <f>IF(K294="","",IF(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&lt;=0,0,ROUND(K294/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*100,2)))</f>
        <v/>
      </c>
      <c r="M294" s="344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Лэндинг'!$B$5:$B$300,$B295)+SUMIFS('История'!$C$5:$C$300,'История'!$B$5:$B$300,$B295)=0,"",SUMIFS('ИТОГО Торговля'!$C$5:$C$300,'ИТОГО Торговля'!$B$5:$B$300,$B295)+SUMIFS('ИТОГО Лэндинг'!$C$5:$C$300,'ИТОГО Лэндинг'!$B$5:$B$300,$B295)+SUMIFS('История'!$C$5:$C$300,'История'!$B$5:$B$300,$B295)))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Лэндинг'!$B$5:$B$300,$B295)+SUMIFS('История'!$E$5:$E$300,'История'!$B$5:$B$300,$B295))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Лэндинг'!$B$5:$B$300,$B295)+SUMIFS('История'!$F$5:$F$300,'История'!$B$5:$B$300,$B295)=0,"",SUMIFS('ИТОГО Торговля'!$F$5:$F$300,'ИТОГО Торговля'!$B$5:$B$300,$B295)+SUMIFS('ИТОГО Лэндинг'!$F$5:$F$300,'ИТОГО Лэндинг'!$B$5:$B$300,$B295)+SUMIFS('История'!$F$5:$F$300,'История'!$B$5:$B$300,$B295)))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Лэндинг'!$B$5:$B$300,$B295)+SUMIFS('История'!$H$5:$H$300,'История'!$B$5:$B$300,$B295))</f>
        <v/>
      </c>
      <c r="I295" s="339">
        <f>IF($B295="","",IF(AND(C295="",F295=""),"",ROUND(SUMIFS('ИТОГО Торговля'!$I$5:$I$300,'ИТОГО Торговля'!$B$5:$B$300,$B295)+SUMIFS('ИТОГО Лэндинг'!$I$5:$I$300,'ИТОГО Лэндинг'!$B$5:$B$300,$B295)+SUMIFS('История'!$I$5:$I$300,'История'!$B$5:$B$300,$B295),8)))</f>
        <v/>
      </c>
      <c r="J295" s="340">
        <f>IF($B295="","",IF(AND(C295="",F295=""),"",ROUND(SUMIFS('ИТОГО Торговля'!$J$5:$J$300,'ИТОГО Торговля'!$B$5:$B$300,$B295)+SUMIFS('ИТОГО Лэндинг'!$J$5:$J$300,'ИТОГО Лэндинг'!$B$5:$B$300,$B295)+SUMIFS('История'!$J$5:$J$300,'История'!$B$5:$B$300,$B295),8)))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Лэндинг'!$B$5:$B$300,$B295)+SUMIFS('История'!$K$5:$K$300,'История'!$B$5:$B$300,$B295),8))</f>
        <v/>
      </c>
      <c r="L295" s="177">
        <f>IF(K295="","",IF(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&lt;=0,0,ROUND(K295/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*100,2)))</f>
        <v/>
      </c>
      <c r="M295" s="343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Лэндинг'!$B$5:$B$300,$B296)+SUMIFS('История'!$C$5:$C$300,'История'!$B$5:$B$300,$B296)=0,"",SUMIFS('ИТОГО Торговля'!$C$5:$C$300,'ИТОГО Торговля'!$B$5:$B$300,$B296)+SUMIFS('ИТОГО Лэндинг'!$C$5:$C$300,'ИТОГО Лэндинг'!$B$5:$B$300,$B296)+SUMIFS('История'!$C$5:$C$300,'История'!$B$5:$B$300,$B296)))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Лэндинг'!$B$5:$B$300,$B296)+SUMIFS('История'!$E$5:$E$300,'История'!$B$5:$B$300,$B296))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Лэндинг'!$B$5:$B$300,$B296)+SUMIFS('История'!$F$5:$F$300,'История'!$B$5:$B$300,$B296)=0,"",SUMIFS('ИТОГО Торговля'!$F$5:$F$300,'ИТОГО Торговля'!$B$5:$B$300,$B296)+SUMIFS('ИТОГО Лэндинг'!$F$5:$F$300,'ИТОГО Лэндинг'!$B$5:$B$300,$B296)+SUMIFS('История'!$F$5:$F$300,'История'!$B$5:$B$300,$B296)))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Лэндинг'!$B$5:$B$300,$B296)+SUMIFS('История'!$H$5:$H$300,'История'!$B$5:$B$300,$B296))</f>
        <v/>
      </c>
      <c r="I296" s="341">
        <f>IF($B296="","",IF(AND(C296="",F296=""),"",ROUND(SUMIFS('ИТОГО Торговля'!$I$5:$I$300,'ИТОГО Торговля'!$B$5:$B$300,$B296)+SUMIFS('ИТОГО Лэндинг'!$I$5:$I$300,'ИТОГО Лэндинг'!$B$5:$B$300,$B296)+SUMIFS('История'!$I$5:$I$300,'История'!$B$5:$B$300,$B296),8)))</f>
        <v/>
      </c>
      <c r="J296" s="342">
        <f>IF($B296="","",IF(AND(C296="",F296=""),"",ROUND(SUMIFS('ИТОГО Торговля'!$J$5:$J$300,'ИТОГО Торговля'!$B$5:$B$300,$B296)+SUMIFS('ИТОГО Лэндинг'!$J$5:$J$300,'ИТОГО Лэндинг'!$B$5:$B$300,$B296)+SUMIFS('История'!$J$5:$J$300,'История'!$B$5:$B$300,$B296),8)))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Лэндинг'!$B$5:$B$300,$B296)+SUMIFS('История'!$K$5:$K$300,'История'!$B$5:$B$300,$B296),8))</f>
        <v/>
      </c>
      <c r="L296" s="183">
        <f>IF(K296="","",IF(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&lt;=0,0,ROUND(K296/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*100,2)))</f>
        <v/>
      </c>
      <c r="M296" s="344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Лэндинг'!$B$5:$B$300,$B297)+SUMIFS('История'!$C$5:$C$300,'История'!$B$5:$B$300,$B297)=0,"",SUMIFS('ИТОГО Торговля'!$C$5:$C$300,'ИТОГО Торговля'!$B$5:$B$300,$B297)+SUMIFS('ИТОГО Лэндинг'!$C$5:$C$300,'ИТОГО Лэндинг'!$B$5:$B$300,$B297)+SUMIFS('История'!$C$5:$C$300,'История'!$B$5:$B$300,$B297)))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Лэндинг'!$B$5:$B$300,$B297)+SUMIFS('История'!$E$5:$E$300,'История'!$B$5:$B$300,$B297))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Лэндинг'!$B$5:$B$300,$B297)+SUMIFS('История'!$F$5:$F$300,'История'!$B$5:$B$300,$B297)=0,"",SUMIFS('ИТОГО Торговля'!$F$5:$F$300,'ИТОГО Торговля'!$B$5:$B$300,$B297)+SUMIFS('ИТОГО Лэндинг'!$F$5:$F$300,'ИТОГО Лэндинг'!$B$5:$B$300,$B297)+SUMIFS('История'!$F$5:$F$300,'История'!$B$5:$B$300,$B297)))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Лэндинг'!$B$5:$B$300,$B297)+SUMIFS('История'!$H$5:$H$300,'История'!$B$5:$B$300,$B297))</f>
        <v/>
      </c>
      <c r="I297" s="339">
        <f>IF($B297="","",IF(AND(C297="",F297=""),"",ROUND(SUMIFS('ИТОГО Торговля'!$I$5:$I$300,'ИТОГО Торговля'!$B$5:$B$300,$B297)+SUMIFS('ИТОГО Лэндинг'!$I$5:$I$300,'ИТОГО Лэндинг'!$B$5:$B$300,$B297)+SUMIFS('История'!$I$5:$I$300,'История'!$B$5:$B$300,$B297),8)))</f>
        <v/>
      </c>
      <c r="J297" s="340">
        <f>IF($B297="","",IF(AND(C297="",F297=""),"",ROUND(SUMIFS('ИТОГО Торговля'!$J$5:$J$300,'ИТОГО Торговля'!$B$5:$B$300,$B297)+SUMIFS('ИТОГО Лэндинг'!$J$5:$J$300,'ИТОГО Лэндинг'!$B$5:$B$300,$B297)+SUMIFS('История'!$J$5:$J$300,'История'!$B$5:$B$300,$B297),8)))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Лэндинг'!$B$5:$B$300,$B297)+SUMIFS('История'!$K$5:$K$300,'История'!$B$5:$B$300,$B297),8))</f>
        <v/>
      </c>
      <c r="L297" s="177">
        <f>IF(K297="","",IF(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&lt;=0,0,ROUND(K297/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*100,2)))</f>
        <v/>
      </c>
      <c r="M297" s="343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Лэндинг'!$B$5:$B$300,$B298)+SUMIFS('История'!$C$5:$C$300,'История'!$B$5:$B$300,$B298)=0,"",SUMIFS('ИТОГО Торговля'!$C$5:$C$300,'ИТОГО Торговля'!$B$5:$B$300,$B298)+SUMIFS('ИТОГО Лэндинг'!$C$5:$C$300,'ИТОГО Лэндинг'!$B$5:$B$300,$B298)+SUMIFS('История'!$C$5:$C$300,'История'!$B$5:$B$300,$B298)))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Лэндинг'!$B$5:$B$300,$B298)+SUMIFS('История'!$E$5:$E$300,'История'!$B$5:$B$300,$B298))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Лэндинг'!$B$5:$B$300,$B298)+SUMIFS('История'!$F$5:$F$300,'История'!$B$5:$B$300,$B298)=0,"",SUMIFS('ИТОГО Торговля'!$F$5:$F$300,'ИТОГО Торговля'!$B$5:$B$300,$B298)+SUMIFS('ИТОГО Лэндинг'!$F$5:$F$300,'ИТОГО Лэндинг'!$B$5:$B$300,$B298)+SUMIFS('История'!$F$5:$F$300,'История'!$B$5:$B$300,$B298)))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Лэндинг'!$B$5:$B$300,$B298)+SUMIFS('История'!$H$5:$H$300,'История'!$B$5:$B$300,$B298))</f>
        <v/>
      </c>
      <c r="I298" s="341">
        <f>IF($B298="","",IF(AND(C298="",F298=""),"",ROUND(SUMIFS('ИТОГО Торговля'!$I$5:$I$300,'ИТОГО Торговля'!$B$5:$B$300,$B298)+SUMIFS('ИТОГО Лэндинг'!$I$5:$I$300,'ИТОГО Лэндинг'!$B$5:$B$300,$B298)+SUMIFS('История'!$I$5:$I$300,'История'!$B$5:$B$300,$B298),8)))</f>
        <v/>
      </c>
      <c r="J298" s="342">
        <f>IF($B298="","",IF(AND(C298="",F298=""),"",ROUND(SUMIFS('ИТОГО Торговля'!$J$5:$J$300,'ИТОГО Торговля'!$B$5:$B$300,$B298)+SUMIFS('ИТОГО Лэндинг'!$J$5:$J$300,'ИТОГО Лэндинг'!$B$5:$B$300,$B298)+SUMIFS('История'!$J$5:$J$300,'История'!$B$5:$B$300,$B298),8)))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Лэндинг'!$B$5:$B$300,$B298)+SUMIFS('История'!$K$5:$K$300,'История'!$B$5:$B$300,$B298),8))</f>
        <v/>
      </c>
      <c r="L298" s="183">
        <f>IF(K298="","",IF(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&lt;=0,0,ROUND(K298/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*100,2)))</f>
        <v/>
      </c>
      <c r="M298" s="344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Лэндинг'!$B$5:$B$300,$B299)+SUMIFS('История'!$C$5:$C$300,'История'!$B$5:$B$300,$B299)=0,"",SUMIFS('ИТОГО Торговля'!$C$5:$C$300,'ИТОГО Торговля'!$B$5:$B$300,$B299)+SUMIFS('ИТОГО Лэндинг'!$C$5:$C$300,'ИТОГО Лэндинг'!$B$5:$B$300,$B299)+SUMIFS('История'!$C$5:$C$300,'История'!$B$5:$B$300,$B299)))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Лэндинг'!$B$5:$B$300,$B299)+SUMIFS('История'!$E$5:$E$300,'История'!$B$5:$B$300,$B299))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Лэндинг'!$B$5:$B$300,$B299)+SUMIFS('История'!$F$5:$F$300,'История'!$B$5:$B$300,$B299)=0,"",SUMIFS('ИТОГО Торговля'!$F$5:$F$300,'ИТОГО Торговля'!$B$5:$B$300,$B299)+SUMIFS('ИТОГО Лэндинг'!$F$5:$F$300,'ИТОГО Лэндинг'!$B$5:$B$300,$B299)+SUMIFS('История'!$F$5:$F$300,'История'!$B$5:$B$300,$B299)))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Лэндинг'!$B$5:$B$300,$B299)+SUMIFS('История'!$H$5:$H$300,'История'!$B$5:$B$300,$B299))</f>
        <v/>
      </c>
      <c r="I299" s="339">
        <f>IF($B299="","",IF(AND(C299="",F299=""),"",ROUND(SUMIFS('ИТОГО Торговля'!$I$5:$I$300,'ИТОГО Торговля'!$B$5:$B$300,$B299)+SUMIFS('ИТОГО Лэндинг'!$I$5:$I$300,'ИТОГО Лэндинг'!$B$5:$B$300,$B299)+SUMIFS('История'!$I$5:$I$300,'История'!$B$5:$B$300,$B299),8)))</f>
        <v/>
      </c>
      <c r="J299" s="340">
        <f>IF($B299="","",IF(AND(C299="",F299=""),"",ROUND(SUMIFS('ИТОГО Торговля'!$J$5:$J$300,'ИТОГО Торговля'!$B$5:$B$300,$B299)+SUMIFS('ИТОГО Лэндинг'!$J$5:$J$300,'ИТОГО Лэндинг'!$B$5:$B$300,$B299)+SUMIFS('История'!$J$5:$J$300,'История'!$B$5:$B$300,$B299),8)))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Лэндинг'!$B$5:$B$300,$B299)+SUMIFS('История'!$K$5:$K$300,'История'!$B$5:$B$300,$B299),8))</f>
        <v/>
      </c>
      <c r="L299" s="177">
        <f>IF(K299="","",IF(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&lt;=0,0,ROUND(K299/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*100,2)))</f>
        <v/>
      </c>
      <c r="M299" s="343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Лэндинг'!$B$5:$B$300,$B300)+SUMIFS('История'!$C$5:$C$300,'История'!$B$5:$B$300,$B300)=0,"",SUMIFS('ИТОГО Торговля'!$C$5:$C$300,'ИТОГО Торговля'!$B$5:$B$300,$B300)+SUMIFS('ИТОГО Лэндинг'!$C$5:$C$300,'ИТОГО Лэндинг'!$B$5:$B$300,$B300)+SUMIFS('История'!$C$5:$C$300,'История'!$B$5:$B$300,$B300)))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Лэндинг'!$B$5:$B$300,$B300)+SUMIFS('История'!$E$5:$E$300,'История'!$B$5:$B$300,$B300))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Лэндинг'!$B$5:$B$300,$B300)+SUMIFS('История'!$F$5:$F$300,'История'!$B$5:$B$300,$B300)=0,"",SUMIFS('ИТОГО Торговля'!$F$5:$F$300,'ИТОГО Торговля'!$B$5:$B$300,$B300)+SUMIFS('ИТОГО Лэндинг'!$F$5:$F$300,'ИТОГО Лэндинг'!$B$5:$B$300,$B300)+SUMIFS('История'!$F$5:$F$300,'История'!$B$5:$B$300,$B300)))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Лэндинг'!$B$5:$B$300,$B300)+SUMIFS('История'!$H$5:$H$300,'История'!$B$5:$B$300,$B300))</f>
        <v/>
      </c>
      <c r="I300" s="341">
        <f>IF($B300="","",IF(AND(C300="",F300=""),"",ROUND(SUMIFS('ИТОГО Торговля'!$I$5:$I$300,'ИТОГО Торговля'!$B$5:$B$300,$B300)+SUMIFS('ИТОГО Лэндинг'!$I$5:$I$300,'ИТОГО Лэндинг'!$B$5:$B$300,$B300)+SUMIFS('История'!$I$5:$I$300,'История'!$B$5:$B$300,$B300),8)))</f>
        <v/>
      </c>
      <c r="J300" s="342">
        <f>IF($B300="","",IF(AND(C300="",F300=""),"",ROUND(SUMIFS('ИТОГО Торговля'!$J$5:$J$300,'ИТОГО Торговля'!$B$5:$B$300,$B300)+SUMIFS('ИТОГО Лэндинг'!$J$5:$J$300,'ИТОГО Лэндинг'!$B$5:$B$300,$B300)+SUMIFS('История'!$J$5:$J$300,'История'!$B$5:$B$300,$B300),8)))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Лэндинг'!$B$5:$B$300,$B300)+SUMIFS('История'!$K$5:$K$300,'История'!$B$5:$B$300,$B300),8))</f>
        <v/>
      </c>
      <c r="L300" s="183">
        <f>IF(K300="","",IF(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&lt;=0,0,ROUND(K300/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*100,2)))</f>
        <v/>
      </c>
      <c r="M300" s="344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255B78"/>
    <outlinePr summaryBelow="1" summaryRight="1"/>
    <pageSetUpPr/>
  </sheetPr>
  <dimension ref="B1:E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1.2" customWidth="1" min="2" max="2"/>
    <col width="20.3" customWidth="1" min="3" max="3"/>
    <col width="20.3" customWidth="1" min="4" max="4"/>
    <col width="20.3" customWidth="1" min="5" max="5"/>
  </cols>
  <sheetData>
    <row r="1" ht="21" customHeight="1">
      <c r="B1" s="1" t="inlineStr">
        <is>
          <t>CRYPTO JOURNAL • БАЛАНС</t>
        </is>
      </c>
    </row>
    <row r="2" ht="21" customHeight="1"/>
    <row r="3" ht="10" customHeight="1"/>
    <row r="4" ht="28" customHeight="1">
      <c r="B4" s="345" t="inlineStr">
        <is>
          <t>Монета</t>
        </is>
      </c>
      <c r="C4" s="346" t="inlineStr">
        <is>
          <t>Пришло</t>
        </is>
      </c>
      <c r="D4" s="347" t="inlineStr">
        <is>
          <t>Ушло</t>
        </is>
      </c>
      <c r="E4" s="348" t="inlineStr">
        <is>
          <t>Дельта</t>
        </is>
      </c>
    </row>
    <row r="5" ht="22" customHeight="1">
      <c r="B5" s="315" t="inlineStr">
        <is>
          <t>1INCH</t>
        </is>
      </c>
      <c r="C5" s="240">
        <f>IF($B5="","",ROUND(SUMIF(Торговля!$E$5:$E$300,$B5&amp;"/*",Торговля!$F$5:$F$300)+SUMIF(Торговля!$E$5:$E$300,"*/"&amp;$B5,Торговля!$K$5:$K$300)+SUMIF(Лэндинг!$E$5:$E$300,$B5&amp;"/*",Лэндинг!$F$5:$F$300)+SUMIF(Лэндинг!$E$5:$E$300,"*/"&amp;$B5,Лэндинг!$K$5:$K$300)+SUMIF(Закрытые!$E$5:$E$300,$B5&amp;"/*",Закрытые!$F$5:$F$300)+SUMIF(Закрытые!$E$5:$E$300,"*/"&amp;$B5,Закрытые!$K$5:$K$300)+SUMIF(История!$B$5:$B$300,$B5&amp;"/*",История!$C$5:$C$300)+SUMIF(История!$B$5:$B$300,"*/"&amp;$B5,История!$H$5:$H$300),8))</f>
        <v/>
      </c>
      <c r="D5" s="240">
        <f>IF($B5="","",ROUND(SUMIF(Торговля!$E$5:$E$300,$B5&amp;"/*",Торговля!$I$5:$I$300)+SUMIF(Торговля!$E$5:$E$300,"*/"&amp;$B5,Торговля!$H$5:$H$300)+SUMIF(Лэндинг!$E$5:$E$300,$B5&amp;"/*",Лэндинг!$I$5:$I$300)+SUMIF(Лэндинг!$E$5:$E$300,"*/"&amp;$B5,Лэндинг!$H$5:$H$300)+SUMIF(Закрытые!$E$5:$E$300,$B5&amp;"/*",Закрытые!$I$5:$I$300)+SUMIF(Закрытые!$E$5:$E$300,"*/"&amp;$B5,Закрытые!$H$5:$H$300)+SUMIF(История!$B$5:$B$300,$B5&amp;"/*",История!$F$5:$F$300)+SUMIF(История!$B$5:$B$300,"*/"&amp;$B5,История!$E$5:$E$300),8))</f>
        <v/>
      </c>
      <c r="E5" s="339">
        <f>IF($B5="","",ROUND(C5-D5,8))</f>
        <v/>
      </c>
    </row>
    <row r="6" ht="22" customHeight="1">
      <c r="B6" s="320" t="inlineStr">
        <is>
          <t>ACM</t>
        </is>
      </c>
      <c r="C6" s="240">
        <f>IF($B6="","",ROUND(SUMIF(Торговля!$E$5:$E$300,$B6&amp;"/*",Торговля!$F$5:$F$300)+SUMIF(Торговля!$E$5:$E$300,"*/"&amp;$B6,Торговля!$K$5:$K$300)+SUMIF(Лэндинг!$E$5:$E$300,$B6&amp;"/*",Лэндинг!$F$5:$F$300)+SUMIF(Лэндинг!$E$5:$E$300,"*/"&amp;$B6,Лэндинг!$K$5:$K$300)+SUMIF(Закрытые!$E$5:$E$300,$B6&amp;"/*",Закрытые!$F$5:$F$300)+SUMIF(Закрытые!$E$5:$E$300,"*/"&amp;$B6,Закрытые!$K$5:$K$300)+SUMIF(История!$B$5:$B$300,$B6&amp;"/*",История!$C$5:$C$300)+SUMIF(История!$B$5:$B$300,"*/"&amp;$B6,История!$H$5:$H$300),8))</f>
        <v/>
      </c>
      <c r="D6" s="240">
        <f>IF($B6="","",ROUND(SUMIF(Торговля!$E$5:$E$300,$B6&amp;"/*",Торговля!$I$5:$I$300)+SUMIF(Торговля!$E$5:$E$300,"*/"&amp;$B6,Торговля!$H$5:$H$300)+SUMIF(Лэндинг!$E$5:$E$300,$B6&amp;"/*",Лэндинг!$I$5:$I$300)+SUMIF(Лэндинг!$E$5:$E$300,"*/"&amp;$B6,Лэндинг!$H$5:$H$300)+SUMIF(Закрытые!$E$5:$E$300,$B6&amp;"/*",Закрытые!$I$5:$I$300)+SUMIF(Закрытые!$E$5:$E$300,"*/"&amp;$B6,Закрытые!$H$5:$H$300)+SUMIF(История!$B$5:$B$300,$B6&amp;"/*",История!$F$5:$F$300)+SUMIF(История!$B$5:$B$300,"*/"&amp;$B6,История!$E$5:$E$300),8))</f>
        <v/>
      </c>
      <c r="E6" s="339">
        <f>IF($B6="","",ROUND(C6-D6,8))</f>
        <v/>
      </c>
    </row>
    <row r="7" ht="22" customHeight="1">
      <c r="B7" s="315" t="inlineStr">
        <is>
          <t>ADA</t>
        </is>
      </c>
      <c r="C7" s="240">
        <f>IF($B7="","",ROUND(SUMIF(Торговля!$E$5:$E$300,$B7&amp;"/*",Торговля!$F$5:$F$300)+SUMIF(Торговля!$E$5:$E$300,"*/"&amp;$B7,Торговля!$K$5:$K$300)+SUMIF(Лэндинг!$E$5:$E$300,$B7&amp;"/*",Лэндинг!$F$5:$F$300)+SUMIF(Лэндинг!$E$5:$E$300,"*/"&amp;$B7,Лэндинг!$K$5:$K$300)+SUMIF(Закрытые!$E$5:$E$300,$B7&amp;"/*",Закрытые!$F$5:$F$300)+SUMIF(Закрытые!$E$5:$E$300,"*/"&amp;$B7,Закрытые!$K$5:$K$300)+SUMIF(История!$B$5:$B$300,$B7&amp;"/*",История!$C$5:$C$300)+SUMIF(История!$B$5:$B$300,"*/"&amp;$B7,История!$H$5:$H$300),8))</f>
        <v/>
      </c>
      <c r="D7" s="240">
        <f>IF($B7="","",ROUND(SUMIF(Торговля!$E$5:$E$300,$B7&amp;"/*",Торговля!$I$5:$I$300)+SUMIF(Торговля!$E$5:$E$300,"*/"&amp;$B7,Торговля!$H$5:$H$300)+SUMIF(Лэндинг!$E$5:$E$300,$B7&amp;"/*",Лэндинг!$I$5:$I$300)+SUMIF(Лэндинг!$E$5:$E$300,"*/"&amp;$B7,Лэндинг!$H$5:$H$300)+SUMIF(Закрытые!$E$5:$E$300,$B7&amp;"/*",Закрытые!$I$5:$I$300)+SUMIF(Закрытые!$E$5:$E$300,"*/"&amp;$B7,Закрытые!$H$5:$H$300)+SUMIF(История!$B$5:$B$300,$B7&amp;"/*",История!$F$5:$F$300)+SUMIF(История!$B$5:$B$300,"*/"&amp;$B7,История!$E$5:$E$300),8))</f>
        <v/>
      </c>
      <c r="E7" s="339">
        <f>IF($B7="","",ROUND(C7-D7,8))</f>
        <v/>
      </c>
    </row>
    <row r="8" ht="22" customHeight="1">
      <c r="B8" s="320" t="inlineStr">
        <is>
          <t>ALGO</t>
        </is>
      </c>
      <c r="C8" s="240">
        <f>IF($B8="","",ROUND(SUMIF(Торговля!$E$5:$E$300,$B8&amp;"/*",Торговля!$F$5:$F$300)+SUMIF(Торговля!$E$5:$E$300,"*/"&amp;$B8,Торговля!$K$5:$K$300)+SUMIF(Лэндинг!$E$5:$E$300,$B8&amp;"/*",Лэндинг!$F$5:$F$300)+SUMIF(Лэндинг!$E$5:$E$300,"*/"&amp;$B8,Лэндинг!$K$5:$K$300)+SUMIF(Закрытые!$E$5:$E$300,$B8&amp;"/*",Закрытые!$F$5:$F$300)+SUMIF(Закрытые!$E$5:$E$300,"*/"&amp;$B8,Закрытые!$K$5:$K$300)+SUMIF(История!$B$5:$B$300,$B8&amp;"/*",История!$C$5:$C$300)+SUMIF(История!$B$5:$B$300,"*/"&amp;$B8,История!$H$5:$H$300),8))</f>
        <v/>
      </c>
      <c r="D8" s="240">
        <f>IF($B8="","",ROUND(SUMIF(Торговля!$E$5:$E$300,$B8&amp;"/*",Торговля!$I$5:$I$300)+SUMIF(Торговля!$E$5:$E$300,"*/"&amp;$B8,Торговля!$H$5:$H$300)+SUMIF(Лэндинг!$E$5:$E$300,$B8&amp;"/*",Лэндинг!$I$5:$I$300)+SUMIF(Лэндинг!$E$5:$E$300,"*/"&amp;$B8,Лэндинг!$H$5:$H$300)+SUMIF(Закрытые!$E$5:$E$300,$B8&amp;"/*",Закрытые!$I$5:$I$300)+SUMIF(Закрытые!$E$5:$E$300,"*/"&amp;$B8,Закрытые!$H$5:$H$300)+SUMIF(История!$B$5:$B$300,$B8&amp;"/*",История!$F$5:$F$300)+SUMIF(История!$B$5:$B$300,"*/"&amp;$B8,История!$E$5:$E$300),8))</f>
        <v/>
      </c>
      <c r="E8" s="339">
        <f>IF($B8="","",ROUND(C8-D8,8))</f>
        <v/>
      </c>
    </row>
    <row r="9" ht="22" customHeight="1">
      <c r="B9" s="315" t="inlineStr">
        <is>
          <t>ASR</t>
        </is>
      </c>
      <c r="C9" s="240">
        <f>IF($B9="","",ROUND(SUMIF(Торговля!$E$5:$E$300,$B9&amp;"/*",Торговля!$F$5:$F$300)+SUMIF(Торговля!$E$5:$E$300,"*/"&amp;$B9,Торговля!$K$5:$K$300)+SUMIF(Лэндинг!$E$5:$E$300,$B9&amp;"/*",Лэндинг!$F$5:$F$300)+SUMIF(Лэндинг!$E$5:$E$300,"*/"&amp;$B9,Лэндинг!$K$5:$K$300)+SUMIF(Закрытые!$E$5:$E$300,$B9&amp;"/*",Закрытые!$F$5:$F$300)+SUMIF(Закрытые!$E$5:$E$300,"*/"&amp;$B9,Закрытые!$K$5:$K$300)+SUMIF(История!$B$5:$B$300,$B9&amp;"/*",История!$C$5:$C$300)+SUMIF(История!$B$5:$B$300,"*/"&amp;$B9,История!$H$5:$H$300),8))</f>
        <v/>
      </c>
      <c r="D9" s="240">
        <f>IF($B9="","",ROUND(SUMIF(Торговля!$E$5:$E$300,$B9&amp;"/*",Торговля!$I$5:$I$300)+SUMIF(Торговля!$E$5:$E$300,"*/"&amp;$B9,Торговля!$H$5:$H$300)+SUMIF(Лэндинг!$E$5:$E$300,$B9&amp;"/*",Лэндинг!$I$5:$I$300)+SUMIF(Лэндинг!$E$5:$E$300,"*/"&amp;$B9,Лэндинг!$H$5:$H$300)+SUMIF(Закрытые!$E$5:$E$300,$B9&amp;"/*",Закрытые!$I$5:$I$300)+SUMIF(Закрытые!$E$5:$E$300,"*/"&amp;$B9,Закрытые!$H$5:$H$300)+SUMIF(История!$B$5:$B$300,$B9&amp;"/*",История!$F$5:$F$300)+SUMIF(История!$B$5:$B$300,"*/"&amp;$B9,История!$E$5:$E$300),8))</f>
        <v/>
      </c>
      <c r="E9" s="339">
        <f>IF($B9="","",ROUND(C9-D9,8))</f>
        <v/>
      </c>
    </row>
    <row r="10" ht="22" customHeight="1">
      <c r="B10" s="320" t="inlineStr">
        <is>
          <t>ATM</t>
        </is>
      </c>
      <c r="C10" s="240">
        <f>IF($B10="","",ROUND(SUMIF(Торговля!$E$5:$E$300,$B10&amp;"/*",Торговля!$F$5:$F$300)+SUMIF(Торговля!$E$5:$E$300,"*/"&amp;$B10,Торговля!$K$5:$K$300)+SUMIF(Лэндинг!$E$5:$E$300,$B10&amp;"/*",Лэндинг!$F$5:$F$300)+SUMIF(Лэндинг!$E$5:$E$300,"*/"&amp;$B10,Лэндинг!$K$5:$K$300)+SUMIF(Закрытые!$E$5:$E$300,$B10&amp;"/*",Закрытые!$F$5:$F$300)+SUMIF(Закрытые!$E$5:$E$300,"*/"&amp;$B10,Закрытые!$K$5:$K$300)+SUMIF(История!$B$5:$B$300,$B10&amp;"/*",История!$C$5:$C$300)+SUMIF(История!$B$5:$B$300,"*/"&amp;$B10,История!$H$5:$H$300),8))</f>
        <v/>
      </c>
      <c r="D10" s="240">
        <f>IF($B10="","",ROUND(SUMIF(Торговля!$E$5:$E$300,$B10&amp;"/*",Торговля!$I$5:$I$300)+SUMIF(Торговля!$E$5:$E$300,"*/"&amp;$B10,Торговля!$H$5:$H$300)+SUMIF(Лэндинг!$E$5:$E$300,$B10&amp;"/*",Лэндинг!$I$5:$I$300)+SUMIF(Лэндинг!$E$5:$E$300,"*/"&amp;$B10,Лэндинг!$H$5:$H$300)+SUMIF(Закрытые!$E$5:$E$300,$B10&amp;"/*",Закрытые!$I$5:$I$300)+SUMIF(Закрытые!$E$5:$E$300,"*/"&amp;$B10,Закрытые!$H$5:$H$300)+SUMIF(История!$B$5:$B$300,$B10&amp;"/*",История!$F$5:$F$300)+SUMIF(История!$B$5:$B$300,"*/"&amp;$B10,История!$E$5:$E$300),8))</f>
        <v/>
      </c>
      <c r="E10" s="339">
        <f>IF($B10="","",ROUND(C10-D10,8))</f>
        <v/>
      </c>
    </row>
    <row r="11" ht="22" customHeight="1">
      <c r="B11" s="315" t="inlineStr">
        <is>
          <t>ATOM</t>
        </is>
      </c>
      <c r="C11" s="240">
        <f>IF($B11="","",ROUND(SUMIF(Торговля!$E$5:$E$300,$B11&amp;"/*",Торговля!$F$5:$F$300)+SUMIF(Торговля!$E$5:$E$300,"*/"&amp;$B11,Торговля!$K$5:$K$300)+SUMIF(Лэндинг!$E$5:$E$300,$B11&amp;"/*",Лэндинг!$F$5:$F$300)+SUMIF(Лэндинг!$E$5:$E$300,"*/"&amp;$B11,Лэндинг!$K$5:$K$300)+SUMIF(Закрытые!$E$5:$E$300,$B11&amp;"/*",Закрытые!$F$5:$F$300)+SUMIF(Закрытые!$E$5:$E$300,"*/"&amp;$B11,Закрытые!$K$5:$K$300)+SUMIF(История!$B$5:$B$300,$B11&amp;"/*",История!$C$5:$C$300)+SUMIF(История!$B$5:$B$300,"*/"&amp;$B11,История!$H$5:$H$300),8))</f>
        <v/>
      </c>
      <c r="D11" s="240">
        <f>IF($B11="","",ROUND(SUMIF(Торговля!$E$5:$E$300,$B11&amp;"/*",Торговля!$I$5:$I$300)+SUMIF(Торговля!$E$5:$E$300,"*/"&amp;$B11,Торговля!$H$5:$H$300)+SUMIF(Лэндинг!$E$5:$E$300,$B11&amp;"/*",Лэндинг!$I$5:$I$300)+SUMIF(Лэндинг!$E$5:$E$300,"*/"&amp;$B11,Лэндинг!$H$5:$H$300)+SUMIF(Закрытые!$E$5:$E$300,$B11&amp;"/*",Закрытые!$I$5:$I$300)+SUMIF(Закрытые!$E$5:$E$300,"*/"&amp;$B11,Закрытые!$H$5:$H$300)+SUMIF(История!$B$5:$B$300,$B11&amp;"/*",История!$F$5:$F$300)+SUMIF(История!$B$5:$B$300,"*/"&amp;$B11,История!$E$5:$E$300),8))</f>
        <v/>
      </c>
      <c r="E11" s="339">
        <f>IF($B11="","",ROUND(C11-D11,8))</f>
        <v/>
      </c>
    </row>
    <row r="12" ht="22" customHeight="1">
      <c r="B12" s="320" t="inlineStr">
        <is>
          <t>AVAX</t>
        </is>
      </c>
      <c r="C12" s="240">
        <f>IF($B12="","",ROUND(SUMIF(Торговля!$E$5:$E$300,$B12&amp;"/*",Торговля!$F$5:$F$300)+SUMIF(Торговля!$E$5:$E$300,"*/"&amp;$B12,Торговля!$K$5:$K$300)+SUMIF(Лэндинг!$E$5:$E$300,$B12&amp;"/*",Лэндинг!$F$5:$F$300)+SUMIF(Лэндинг!$E$5:$E$300,"*/"&amp;$B12,Лэндинг!$K$5:$K$300)+SUMIF(Закрытые!$E$5:$E$300,$B12&amp;"/*",Закрытые!$F$5:$F$300)+SUMIF(Закрытые!$E$5:$E$300,"*/"&amp;$B12,Закрытые!$K$5:$K$300)+SUMIF(История!$B$5:$B$300,$B12&amp;"/*",История!$C$5:$C$300)+SUMIF(История!$B$5:$B$300,"*/"&amp;$B12,История!$H$5:$H$300),8))</f>
        <v/>
      </c>
      <c r="D12" s="240">
        <f>IF($B12="","",ROUND(SUMIF(Торговля!$E$5:$E$300,$B12&amp;"/*",Торговля!$I$5:$I$300)+SUMIF(Торговля!$E$5:$E$300,"*/"&amp;$B12,Торговля!$H$5:$H$300)+SUMIF(Лэндинг!$E$5:$E$300,$B12&amp;"/*",Лэндинг!$I$5:$I$300)+SUMIF(Лэндинг!$E$5:$E$300,"*/"&amp;$B12,Лэндинг!$H$5:$H$300)+SUMIF(Закрытые!$E$5:$E$300,$B12&amp;"/*",Закрытые!$I$5:$I$300)+SUMIF(Закрытые!$E$5:$E$300,"*/"&amp;$B12,Закрытые!$H$5:$H$300)+SUMIF(История!$B$5:$B$300,$B12&amp;"/*",История!$F$5:$F$300)+SUMIF(История!$B$5:$B$300,"*/"&amp;$B12,История!$E$5:$E$300),8))</f>
        <v/>
      </c>
      <c r="E12" s="339">
        <f>IF($B12="","",ROUND(C12-D12,8))</f>
        <v/>
      </c>
    </row>
    <row r="13" ht="22" customHeight="1">
      <c r="B13" s="315" t="inlineStr">
        <is>
          <t>BAR</t>
        </is>
      </c>
      <c r="C13" s="240">
        <f>IF($B13="","",ROUND(SUMIF(Торговля!$E$5:$E$300,$B13&amp;"/*",Торговля!$F$5:$F$300)+SUMIF(Торговля!$E$5:$E$300,"*/"&amp;$B13,Торговля!$K$5:$K$300)+SUMIF(Лэндинг!$E$5:$E$300,$B13&amp;"/*",Лэндинг!$F$5:$F$300)+SUMIF(Лэндинг!$E$5:$E$300,"*/"&amp;$B13,Лэндинг!$K$5:$K$300)+SUMIF(Закрытые!$E$5:$E$300,$B13&amp;"/*",Закрытые!$F$5:$F$300)+SUMIF(Закрытые!$E$5:$E$300,"*/"&amp;$B13,Закрытые!$K$5:$K$300)+SUMIF(История!$B$5:$B$300,$B13&amp;"/*",История!$C$5:$C$300)+SUMIF(История!$B$5:$B$300,"*/"&amp;$B13,История!$H$5:$H$300),8))</f>
        <v/>
      </c>
      <c r="D13" s="240">
        <f>IF($B13="","",ROUND(SUMIF(Торговля!$E$5:$E$300,$B13&amp;"/*",Торговля!$I$5:$I$300)+SUMIF(Торговля!$E$5:$E$300,"*/"&amp;$B13,Торговля!$H$5:$H$300)+SUMIF(Лэндинг!$E$5:$E$300,$B13&amp;"/*",Лэндинг!$I$5:$I$300)+SUMIF(Лэндинг!$E$5:$E$300,"*/"&amp;$B13,Лэндинг!$H$5:$H$300)+SUMIF(Закрытые!$E$5:$E$300,$B13&amp;"/*",Закрытые!$I$5:$I$300)+SUMIF(Закрытые!$E$5:$E$300,"*/"&amp;$B13,Закрытые!$H$5:$H$300)+SUMIF(История!$B$5:$B$300,$B13&amp;"/*",История!$F$5:$F$300)+SUMIF(История!$B$5:$B$300,"*/"&amp;$B13,История!$E$5:$E$300),8))</f>
        <v/>
      </c>
      <c r="E13" s="339">
        <f>IF($B13="","",ROUND(C13-D13,8))</f>
        <v/>
      </c>
    </row>
    <row r="14" ht="22" customHeight="1">
      <c r="B14" s="320" t="inlineStr">
        <is>
          <t>BCH</t>
        </is>
      </c>
      <c r="C14" s="240">
        <f>IF($B14="","",ROUND(SUMIF(Торговля!$E$5:$E$300,$B14&amp;"/*",Торговля!$F$5:$F$300)+SUMIF(Торговля!$E$5:$E$300,"*/"&amp;$B14,Торговля!$K$5:$K$300)+SUMIF(Лэндинг!$E$5:$E$300,$B14&amp;"/*",Лэндинг!$F$5:$F$300)+SUMIF(Лэндинг!$E$5:$E$300,"*/"&amp;$B14,Лэндинг!$K$5:$K$300)+SUMIF(Закрытые!$E$5:$E$300,$B14&amp;"/*",Закрытые!$F$5:$F$300)+SUMIF(Закрытые!$E$5:$E$300,"*/"&amp;$B14,Закрытые!$K$5:$K$300)+SUMIF(История!$B$5:$B$300,$B14&amp;"/*",История!$C$5:$C$300)+SUMIF(История!$B$5:$B$300,"*/"&amp;$B14,История!$H$5:$H$300),8))</f>
        <v/>
      </c>
      <c r="D14" s="240">
        <f>IF($B14="","",ROUND(SUMIF(Торговля!$E$5:$E$300,$B14&amp;"/*",Торговля!$I$5:$I$300)+SUMIF(Торговля!$E$5:$E$300,"*/"&amp;$B14,Торговля!$H$5:$H$300)+SUMIF(Лэндинг!$E$5:$E$300,$B14&amp;"/*",Лэндинг!$I$5:$I$300)+SUMIF(Лэндинг!$E$5:$E$300,"*/"&amp;$B14,Лэндинг!$H$5:$H$300)+SUMIF(Закрытые!$E$5:$E$300,$B14&amp;"/*",Закрытые!$I$5:$I$300)+SUMIF(Закрытые!$E$5:$E$300,"*/"&amp;$B14,Закрытые!$H$5:$H$300)+SUMIF(История!$B$5:$B$300,$B14&amp;"/*",История!$F$5:$F$300)+SUMIF(История!$B$5:$B$300,"*/"&amp;$B14,История!$E$5:$E$300),8))</f>
        <v/>
      </c>
      <c r="E14" s="339">
        <f>IF($B14="","",ROUND(C14-D14,8))</f>
        <v/>
      </c>
    </row>
    <row r="15" ht="22" customHeight="1">
      <c r="B15" s="315" t="inlineStr">
        <is>
          <t>BNB</t>
        </is>
      </c>
      <c r="C15" s="240">
        <f>IF($B15="","",ROUND(SUMIF(Торговля!$E$5:$E$300,$B15&amp;"/*",Торговля!$F$5:$F$300)+SUMIF(Торговля!$E$5:$E$300,"*/"&amp;$B15,Торговля!$K$5:$K$300)+SUMIF(Лэндинг!$E$5:$E$300,$B15&amp;"/*",Лэндинг!$F$5:$F$300)+SUMIF(Лэндинг!$E$5:$E$300,"*/"&amp;$B15,Лэндинг!$K$5:$K$300)+SUMIF(Закрытые!$E$5:$E$300,$B15&amp;"/*",Закрытые!$F$5:$F$300)+SUMIF(Закрытые!$E$5:$E$300,"*/"&amp;$B15,Закрытые!$K$5:$K$300)+SUMIF(История!$B$5:$B$300,$B15&amp;"/*",История!$C$5:$C$300)+SUMIF(История!$B$5:$B$300,"*/"&amp;$B15,История!$H$5:$H$300),8))</f>
        <v/>
      </c>
      <c r="D15" s="240">
        <f>IF($B15="","",ROUND(SUMIF(Торговля!$E$5:$E$300,$B15&amp;"/*",Торговля!$I$5:$I$300)+SUMIF(Торговля!$E$5:$E$300,"*/"&amp;$B15,Торговля!$H$5:$H$300)+SUMIF(Лэндинг!$E$5:$E$300,$B15&amp;"/*",Лэндинг!$I$5:$I$300)+SUMIF(Лэндинг!$E$5:$E$300,"*/"&amp;$B15,Лэндинг!$H$5:$H$300)+SUMIF(Закрытые!$E$5:$E$300,$B15&amp;"/*",Закрытые!$I$5:$I$300)+SUMIF(Закрытые!$E$5:$E$300,"*/"&amp;$B15,Закрытые!$H$5:$H$300)+SUMIF(История!$B$5:$B$300,$B15&amp;"/*",История!$F$5:$F$300)+SUMIF(История!$B$5:$B$300,"*/"&amp;$B15,История!$E$5:$E$300),8))</f>
        <v/>
      </c>
      <c r="E15" s="339">
        <f>IF($B15="","",ROUND(C15-D15,8))</f>
        <v/>
      </c>
    </row>
    <row r="16" ht="22" customHeight="1">
      <c r="B16" s="320" t="inlineStr">
        <is>
          <t>BTC</t>
        </is>
      </c>
      <c r="C16" s="240">
        <f>IF($B16="","",ROUND(SUMIF(Торговля!$E$5:$E$300,$B16&amp;"/*",Торговля!$F$5:$F$300)+SUMIF(Торговля!$E$5:$E$300,"*/"&amp;$B16,Торговля!$K$5:$K$300)+SUMIF(Лэндинг!$E$5:$E$300,$B16&amp;"/*",Лэндинг!$F$5:$F$300)+SUMIF(Лэндинг!$E$5:$E$300,"*/"&amp;$B16,Лэндинг!$K$5:$K$300)+SUMIF(Закрытые!$E$5:$E$300,$B16&amp;"/*",Закрытые!$F$5:$F$300)+SUMIF(Закрытые!$E$5:$E$300,"*/"&amp;$B16,Закрытые!$K$5:$K$300)+SUMIF(История!$B$5:$B$300,$B16&amp;"/*",История!$C$5:$C$300)+SUMIF(История!$B$5:$B$300,"*/"&amp;$B16,История!$H$5:$H$300),8))</f>
        <v/>
      </c>
      <c r="D16" s="240">
        <f>IF($B16="","",ROUND(SUMIF(Торговля!$E$5:$E$300,$B16&amp;"/*",Торговля!$I$5:$I$300)+SUMIF(Торговля!$E$5:$E$300,"*/"&amp;$B16,Торговля!$H$5:$H$300)+SUMIF(Лэндинг!$E$5:$E$300,$B16&amp;"/*",Лэндинг!$I$5:$I$300)+SUMIF(Лэндинг!$E$5:$E$300,"*/"&amp;$B16,Лэндинг!$H$5:$H$300)+SUMIF(Закрытые!$E$5:$E$300,$B16&amp;"/*",Закрытые!$I$5:$I$300)+SUMIF(Закрытые!$E$5:$E$300,"*/"&amp;$B16,Закрытые!$H$5:$H$300)+SUMIF(История!$B$5:$B$300,$B16&amp;"/*",История!$F$5:$F$300)+SUMIF(История!$B$5:$B$300,"*/"&amp;$B16,История!$E$5:$E$300),8))</f>
        <v/>
      </c>
      <c r="E16" s="339">
        <f>IF($B16="","",ROUND(C16-D16,8))</f>
        <v/>
      </c>
    </row>
    <row r="17" ht="22" customHeight="1">
      <c r="B17" s="315" t="inlineStr">
        <is>
          <t>CAKE</t>
        </is>
      </c>
      <c r="C17" s="240">
        <f>IF($B17="","",ROUND(SUMIF(Торговля!$E$5:$E$300,$B17&amp;"/*",Торговля!$F$5:$F$300)+SUMIF(Торговля!$E$5:$E$300,"*/"&amp;$B17,Торговля!$K$5:$K$300)+SUMIF(Лэндинг!$E$5:$E$300,$B17&amp;"/*",Лэндинг!$F$5:$F$300)+SUMIF(Лэндинг!$E$5:$E$300,"*/"&amp;$B17,Лэндинг!$K$5:$K$300)+SUMIF(Закрытые!$E$5:$E$300,$B17&amp;"/*",Закрытые!$F$5:$F$300)+SUMIF(Закрытые!$E$5:$E$300,"*/"&amp;$B17,Закрытые!$K$5:$K$300)+SUMIF(История!$B$5:$B$300,$B17&amp;"/*",История!$C$5:$C$300)+SUMIF(История!$B$5:$B$300,"*/"&amp;$B17,История!$H$5:$H$300),8))</f>
        <v/>
      </c>
      <c r="D17" s="240">
        <f>IF($B17="","",ROUND(SUMIF(Торговля!$E$5:$E$300,$B17&amp;"/*",Торговля!$I$5:$I$300)+SUMIF(Торговля!$E$5:$E$300,"*/"&amp;$B17,Торговля!$H$5:$H$300)+SUMIF(Лэндинг!$E$5:$E$300,$B17&amp;"/*",Лэндинг!$I$5:$I$300)+SUMIF(Лэндинг!$E$5:$E$300,"*/"&amp;$B17,Лэндинг!$H$5:$H$300)+SUMIF(Закрытые!$E$5:$E$300,$B17&amp;"/*",Закрытые!$I$5:$I$300)+SUMIF(Закрытые!$E$5:$E$300,"*/"&amp;$B17,Закрытые!$H$5:$H$300)+SUMIF(История!$B$5:$B$300,$B17&amp;"/*",История!$F$5:$F$300)+SUMIF(История!$B$5:$B$300,"*/"&amp;$B17,История!$E$5:$E$300),8))</f>
        <v/>
      </c>
      <c r="E17" s="339">
        <f>IF($B17="","",ROUND(C17-D17,8))</f>
        <v/>
      </c>
    </row>
    <row r="18" ht="22" customHeight="1">
      <c r="B18" s="320" t="inlineStr">
        <is>
          <t>DASH</t>
        </is>
      </c>
      <c r="C18" s="240">
        <f>IF($B18="","",ROUND(SUMIF(Торговля!$E$5:$E$300,$B18&amp;"/*",Торговля!$F$5:$F$300)+SUMIF(Торговля!$E$5:$E$300,"*/"&amp;$B18,Торговля!$K$5:$K$300)+SUMIF(Лэндинг!$E$5:$E$300,$B18&amp;"/*",Лэндинг!$F$5:$F$300)+SUMIF(Лэндинг!$E$5:$E$300,"*/"&amp;$B18,Лэндинг!$K$5:$K$300)+SUMIF(Закрытые!$E$5:$E$300,$B18&amp;"/*",Закрытые!$F$5:$F$300)+SUMIF(Закрытые!$E$5:$E$300,"*/"&amp;$B18,Закрытые!$K$5:$K$300)+SUMIF(История!$B$5:$B$300,$B18&amp;"/*",История!$C$5:$C$300)+SUMIF(История!$B$5:$B$300,"*/"&amp;$B18,История!$H$5:$H$300),8))</f>
        <v/>
      </c>
      <c r="D18" s="240">
        <f>IF($B18="","",ROUND(SUMIF(Торговля!$E$5:$E$300,$B18&amp;"/*",Торговля!$I$5:$I$300)+SUMIF(Торговля!$E$5:$E$300,"*/"&amp;$B18,Торговля!$H$5:$H$300)+SUMIF(Лэндинг!$E$5:$E$300,$B18&amp;"/*",Лэндинг!$I$5:$I$300)+SUMIF(Лэндинг!$E$5:$E$300,"*/"&amp;$B18,Лэндинг!$H$5:$H$300)+SUMIF(Закрытые!$E$5:$E$300,$B18&amp;"/*",Закрытые!$I$5:$I$300)+SUMIF(Закрытые!$E$5:$E$300,"*/"&amp;$B18,Закрытые!$H$5:$H$300)+SUMIF(История!$B$5:$B$300,$B18&amp;"/*",История!$F$5:$F$300)+SUMIF(История!$B$5:$B$300,"*/"&amp;$B18,История!$E$5:$E$300),8))</f>
        <v/>
      </c>
      <c r="E18" s="339">
        <f>IF($B18="","",ROUND(C18-D18,8))</f>
        <v/>
      </c>
    </row>
    <row r="19" ht="22" customHeight="1">
      <c r="B19" s="315" t="inlineStr">
        <is>
          <t>DOGE</t>
        </is>
      </c>
      <c r="C19" s="240">
        <f>IF($B19="","",ROUND(SUMIF(Торговля!$E$5:$E$300,$B19&amp;"/*",Торговля!$F$5:$F$300)+SUMIF(Торговля!$E$5:$E$300,"*/"&amp;$B19,Торговля!$K$5:$K$300)+SUMIF(Лэндинг!$E$5:$E$300,$B19&amp;"/*",Лэндинг!$F$5:$F$300)+SUMIF(Лэндинг!$E$5:$E$300,"*/"&amp;$B19,Лэндинг!$K$5:$K$300)+SUMIF(Закрытые!$E$5:$E$300,$B19&amp;"/*",Закрытые!$F$5:$F$300)+SUMIF(Закрытые!$E$5:$E$300,"*/"&amp;$B19,Закрытые!$K$5:$K$300)+SUMIF(История!$B$5:$B$300,$B19&amp;"/*",История!$C$5:$C$300)+SUMIF(История!$B$5:$B$300,"*/"&amp;$B19,История!$H$5:$H$300),8))</f>
        <v/>
      </c>
      <c r="D19" s="240">
        <f>IF($B19="","",ROUND(SUMIF(Торговля!$E$5:$E$300,$B19&amp;"/*",Торговля!$I$5:$I$300)+SUMIF(Торговля!$E$5:$E$300,"*/"&amp;$B19,Торговля!$H$5:$H$300)+SUMIF(Лэндинг!$E$5:$E$300,$B19&amp;"/*",Лэндинг!$I$5:$I$300)+SUMIF(Лэндинг!$E$5:$E$300,"*/"&amp;$B19,Лэндинг!$H$5:$H$300)+SUMIF(Закрытые!$E$5:$E$300,$B19&amp;"/*",Закрытые!$I$5:$I$300)+SUMIF(Закрытые!$E$5:$E$300,"*/"&amp;$B19,Закрытые!$H$5:$H$300)+SUMIF(История!$B$5:$B$300,$B19&amp;"/*",История!$F$5:$F$300)+SUMIF(История!$B$5:$B$300,"*/"&amp;$B19,История!$E$5:$E$300),8))</f>
        <v/>
      </c>
      <c r="E19" s="339">
        <f>IF($B19="","",ROUND(C19-D19,8))</f>
        <v/>
      </c>
    </row>
    <row r="20" ht="22" customHeight="1">
      <c r="B20" s="320" t="inlineStr">
        <is>
          <t>DOGS</t>
        </is>
      </c>
      <c r="C20" s="240">
        <f>IF($B20="","",ROUND(SUMIF(Торговля!$E$5:$E$300,$B20&amp;"/*",Торговля!$F$5:$F$300)+SUMIF(Торговля!$E$5:$E$300,"*/"&amp;$B20,Торговля!$K$5:$K$300)+SUMIF(Лэндинг!$E$5:$E$300,$B20&amp;"/*",Лэндинг!$F$5:$F$300)+SUMIF(Лэндинг!$E$5:$E$300,"*/"&amp;$B20,Лэндинг!$K$5:$K$300)+SUMIF(Закрытые!$E$5:$E$300,$B20&amp;"/*",Закрытые!$F$5:$F$300)+SUMIF(Закрытые!$E$5:$E$300,"*/"&amp;$B20,Закрытые!$K$5:$K$300)+SUMIF(История!$B$5:$B$300,$B20&amp;"/*",История!$C$5:$C$300)+SUMIF(История!$B$5:$B$300,"*/"&amp;$B20,История!$H$5:$H$300),8))</f>
        <v/>
      </c>
      <c r="D20" s="240">
        <f>IF($B20="","",ROUND(SUMIF(Торговля!$E$5:$E$300,$B20&amp;"/*",Торговля!$I$5:$I$300)+SUMIF(Торговля!$E$5:$E$300,"*/"&amp;$B20,Торговля!$H$5:$H$300)+SUMIF(Лэндинг!$E$5:$E$300,$B20&amp;"/*",Лэндинг!$I$5:$I$300)+SUMIF(Лэндинг!$E$5:$E$300,"*/"&amp;$B20,Лэндинг!$H$5:$H$300)+SUMIF(Закрытые!$E$5:$E$300,$B20&amp;"/*",Закрытые!$I$5:$I$300)+SUMIF(Закрытые!$E$5:$E$300,"*/"&amp;$B20,Закрытые!$H$5:$H$300)+SUMIF(История!$B$5:$B$300,$B20&amp;"/*",История!$F$5:$F$300)+SUMIF(История!$B$5:$B$300,"*/"&amp;$B20,История!$E$5:$E$300),8))</f>
        <v/>
      </c>
      <c r="E20" s="339">
        <f>IF($B20="","",ROUND(C20-D20,8))</f>
        <v/>
      </c>
    </row>
    <row r="21" ht="22" customHeight="1">
      <c r="B21" s="315" t="inlineStr">
        <is>
          <t>DOT</t>
        </is>
      </c>
      <c r="C21" s="240">
        <f>IF($B21="","",ROUND(SUMIF(Торговля!$E$5:$E$300,$B21&amp;"/*",Торговля!$F$5:$F$300)+SUMIF(Торговля!$E$5:$E$300,"*/"&amp;$B21,Торговля!$K$5:$K$300)+SUMIF(Лэндинг!$E$5:$E$300,$B21&amp;"/*",Лэндинг!$F$5:$F$300)+SUMIF(Лэндинг!$E$5:$E$300,"*/"&amp;$B21,Лэндинг!$K$5:$K$300)+SUMIF(Закрытые!$E$5:$E$300,$B21&amp;"/*",Закрытые!$F$5:$F$300)+SUMIF(Закрытые!$E$5:$E$300,"*/"&amp;$B21,Закрытые!$K$5:$K$300)+SUMIF(История!$B$5:$B$300,$B21&amp;"/*",История!$C$5:$C$300)+SUMIF(История!$B$5:$B$300,"*/"&amp;$B21,История!$H$5:$H$300),8))</f>
        <v/>
      </c>
      <c r="D21" s="240">
        <f>IF($B21="","",ROUND(SUMIF(Торговля!$E$5:$E$300,$B21&amp;"/*",Торговля!$I$5:$I$300)+SUMIF(Торговля!$E$5:$E$300,"*/"&amp;$B21,Торговля!$H$5:$H$300)+SUMIF(Лэндинг!$E$5:$E$300,$B21&amp;"/*",Лэндинг!$I$5:$I$300)+SUMIF(Лэндинг!$E$5:$E$300,"*/"&amp;$B21,Лэндинг!$H$5:$H$300)+SUMIF(Закрытые!$E$5:$E$300,$B21&amp;"/*",Закрытые!$I$5:$I$300)+SUMIF(Закрытые!$E$5:$E$300,"*/"&amp;$B21,Закрытые!$H$5:$H$300)+SUMIF(История!$B$5:$B$300,$B21&amp;"/*",История!$F$5:$F$300)+SUMIF(История!$B$5:$B$300,"*/"&amp;$B21,История!$E$5:$E$300),8))</f>
        <v/>
      </c>
      <c r="E21" s="339">
        <f>IF($B21="","",ROUND(C21-D21,8))</f>
        <v/>
      </c>
    </row>
    <row r="22" ht="22" customHeight="1">
      <c r="B22" s="320" t="inlineStr">
        <is>
          <t>DYDX</t>
        </is>
      </c>
      <c r="C22" s="240">
        <f>IF($B22="","",ROUND(SUMIF(Торговля!$E$5:$E$300,$B22&amp;"/*",Торговля!$F$5:$F$300)+SUMIF(Торговля!$E$5:$E$300,"*/"&amp;$B22,Торговля!$K$5:$K$300)+SUMIF(Лэндинг!$E$5:$E$300,$B22&amp;"/*",Лэндинг!$F$5:$F$300)+SUMIF(Лэндинг!$E$5:$E$300,"*/"&amp;$B22,Лэндинг!$K$5:$K$300)+SUMIF(Закрытые!$E$5:$E$300,$B22&amp;"/*",Закрытые!$F$5:$F$300)+SUMIF(Закрытые!$E$5:$E$300,"*/"&amp;$B22,Закрытые!$K$5:$K$300)+SUMIF(История!$B$5:$B$300,$B22&amp;"/*",История!$C$5:$C$300)+SUMIF(История!$B$5:$B$300,"*/"&amp;$B22,История!$H$5:$H$300),8))</f>
        <v/>
      </c>
      <c r="D22" s="240">
        <f>IF($B22="","",ROUND(SUMIF(Торговля!$E$5:$E$300,$B22&amp;"/*",Торговля!$I$5:$I$300)+SUMIF(Торговля!$E$5:$E$300,"*/"&amp;$B22,Торговля!$H$5:$H$300)+SUMIF(Лэндинг!$E$5:$E$300,$B22&amp;"/*",Лэндинг!$I$5:$I$300)+SUMIF(Лэндинг!$E$5:$E$300,"*/"&amp;$B22,Лэндинг!$H$5:$H$300)+SUMIF(Закрытые!$E$5:$E$300,$B22&amp;"/*",Закрытые!$I$5:$I$300)+SUMIF(Закрытые!$E$5:$E$300,"*/"&amp;$B22,Закрытые!$H$5:$H$300)+SUMIF(История!$B$5:$B$300,$B22&amp;"/*",История!$F$5:$F$300)+SUMIF(История!$B$5:$B$300,"*/"&amp;$B22,История!$E$5:$E$300),8))</f>
        <v/>
      </c>
      <c r="E22" s="339">
        <f>IF($B22="","",ROUND(C22-D22,8))</f>
        <v/>
      </c>
    </row>
    <row r="23" ht="22" customHeight="1">
      <c r="B23" s="315" t="inlineStr">
        <is>
          <t>EGLD</t>
        </is>
      </c>
      <c r="C23" s="240">
        <f>IF($B23="","",ROUND(SUMIF(Торговля!$E$5:$E$300,$B23&amp;"/*",Торговля!$F$5:$F$300)+SUMIF(Торговля!$E$5:$E$300,"*/"&amp;$B23,Торговля!$K$5:$K$300)+SUMIF(Лэндинг!$E$5:$E$300,$B23&amp;"/*",Лэндинг!$F$5:$F$300)+SUMIF(Лэндинг!$E$5:$E$300,"*/"&amp;$B23,Лэндинг!$K$5:$K$300)+SUMIF(Закрытые!$E$5:$E$300,$B23&amp;"/*",Закрытые!$F$5:$F$300)+SUMIF(Закрытые!$E$5:$E$300,"*/"&amp;$B23,Закрытые!$K$5:$K$300)+SUMIF(История!$B$5:$B$300,$B23&amp;"/*",История!$C$5:$C$300)+SUMIF(История!$B$5:$B$300,"*/"&amp;$B23,История!$H$5:$H$300),8))</f>
        <v/>
      </c>
      <c r="D23" s="240">
        <f>IF($B23="","",ROUND(SUMIF(Торговля!$E$5:$E$300,$B23&amp;"/*",Торговля!$I$5:$I$300)+SUMIF(Торговля!$E$5:$E$300,"*/"&amp;$B23,Торговля!$H$5:$H$300)+SUMIF(Лэндинг!$E$5:$E$300,$B23&amp;"/*",Лэндинг!$I$5:$I$300)+SUMIF(Лэндинг!$E$5:$E$300,"*/"&amp;$B23,Лэндинг!$H$5:$H$300)+SUMIF(Закрытые!$E$5:$E$300,$B23&amp;"/*",Закрытые!$I$5:$I$300)+SUMIF(Закрытые!$E$5:$E$300,"*/"&amp;$B23,Закрытые!$H$5:$H$300)+SUMIF(История!$B$5:$B$300,$B23&amp;"/*",История!$F$5:$F$300)+SUMIF(История!$B$5:$B$300,"*/"&amp;$B23,История!$E$5:$E$300),8))</f>
        <v/>
      </c>
      <c r="E23" s="339">
        <f>IF($B23="","",ROUND(C23-D23,8))</f>
        <v/>
      </c>
    </row>
    <row r="24" ht="22" customHeight="1">
      <c r="B24" s="320" t="inlineStr">
        <is>
          <t>ELIZA</t>
        </is>
      </c>
      <c r="C24" s="240">
        <f>IF($B24="","",ROUND(SUMIF(Торговля!$E$5:$E$300,$B24&amp;"/*",Торговля!$F$5:$F$300)+SUMIF(Торговля!$E$5:$E$300,"*/"&amp;$B24,Торговля!$K$5:$K$300)+SUMIF(Лэндинг!$E$5:$E$300,$B24&amp;"/*",Лэндинг!$F$5:$F$300)+SUMIF(Лэндинг!$E$5:$E$300,"*/"&amp;$B24,Лэндинг!$K$5:$K$300)+SUMIF(Закрытые!$E$5:$E$300,$B24&amp;"/*",Закрытые!$F$5:$F$300)+SUMIF(Закрытые!$E$5:$E$300,"*/"&amp;$B24,Закрытые!$K$5:$K$300)+SUMIF(История!$B$5:$B$300,$B24&amp;"/*",История!$C$5:$C$300)+SUMIF(История!$B$5:$B$300,"*/"&amp;$B24,История!$H$5:$H$300),8))</f>
        <v/>
      </c>
      <c r="D24" s="240">
        <f>IF($B24="","",ROUND(SUMIF(Торговля!$E$5:$E$300,$B24&amp;"/*",Торговля!$I$5:$I$300)+SUMIF(Торговля!$E$5:$E$300,"*/"&amp;$B24,Торговля!$H$5:$H$300)+SUMIF(Лэндинг!$E$5:$E$300,$B24&amp;"/*",Лэндинг!$I$5:$I$300)+SUMIF(Лэндинг!$E$5:$E$300,"*/"&amp;$B24,Лэндинг!$H$5:$H$300)+SUMIF(Закрытые!$E$5:$E$300,$B24&amp;"/*",Закрытые!$I$5:$I$300)+SUMIF(Закрытые!$E$5:$E$300,"*/"&amp;$B24,Закрытые!$H$5:$H$300)+SUMIF(История!$B$5:$B$300,$B24&amp;"/*",История!$F$5:$F$300)+SUMIF(История!$B$5:$B$300,"*/"&amp;$B24,История!$E$5:$E$300),8))</f>
        <v/>
      </c>
      <c r="E24" s="339">
        <f>IF($B24="","",ROUND(C24-D24,8))</f>
        <v/>
      </c>
    </row>
    <row r="25" ht="22" customHeight="1">
      <c r="B25" s="315" t="inlineStr">
        <is>
          <t>ELIZAOS</t>
        </is>
      </c>
      <c r="C25" s="240">
        <f>IF($B25="","",ROUND(SUMIF(Торговля!$E$5:$E$300,$B25&amp;"/*",Торговля!$F$5:$F$300)+SUMIF(Торговля!$E$5:$E$300,"*/"&amp;$B25,Торговля!$K$5:$K$300)+SUMIF(Лэндинг!$E$5:$E$300,$B25&amp;"/*",Лэндинг!$F$5:$F$300)+SUMIF(Лэндинг!$E$5:$E$300,"*/"&amp;$B25,Лэндинг!$K$5:$K$300)+SUMIF(Закрытые!$E$5:$E$300,$B25&amp;"/*",Закрытые!$F$5:$F$300)+SUMIF(Закрытые!$E$5:$E$300,"*/"&amp;$B25,Закрытые!$K$5:$K$300)+SUMIF(История!$B$5:$B$300,$B25&amp;"/*",История!$C$5:$C$300)+SUMIF(История!$B$5:$B$300,"*/"&amp;$B25,История!$H$5:$H$300),8))</f>
        <v/>
      </c>
      <c r="D25" s="240">
        <f>IF($B25="","",ROUND(SUMIF(Торговля!$E$5:$E$300,$B25&amp;"/*",Торговля!$I$5:$I$300)+SUMIF(Торговля!$E$5:$E$300,"*/"&amp;$B25,Торговля!$H$5:$H$300)+SUMIF(Лэндинг!$E$5:$E$300,$B25&amp;"/*",Лэндинг!$I$5:$I$300)+SUMIF(Лэндинг!$E$5:$E$300,"*/"&amp;$B25,Лэндинг!$H$5:$H$300)+SUMIF(Закрытые!$E$5:$E$300,$B25&amp;"/*",Закрытые!$I$5:$I$300)+SUMIF(Закрытые!$E$5:$E$300,"*/"&amp;$B25,Закрытые!$H$5:$H$300)+SUMIF(История!$B$5:$B$300,$B25&amp;"/*",История!$F$5:$F$300)+SUMIF(История!$B$5:$B$300,"*/"&amp;$B25,История!$E$5:$E$300),8))</f>
        <v/>
      </c>
      <c r="E25" s="339">
        <f>IF($B25="","",ROUND(C25-D25,8))</f>
        <v/>
      </c>
    </row>
    <row r="26" ht="22" customHeight="1">
      <c r="B26" s="320" t="inlineStr">
        <is>
          <t>EOS</t>
        </is>
      </c>
      <c r="C26" s="240">
        <f>IF($B26="","",ROUND(SUMIF(Торговля!$E$5:$E$300,$B26&amp;"/*",Торговля!$F$5:$F$300)+SUMIF(Торговля!$E$5:$E$300,"*/"&amp;$B26,Торговля!$K$5:$K$300)+SUMIF(Лэндинг!$E$5:$E$300,$B26&amp;"/*",Лэндинг!$F$5:$F$300)+SUMIF(Лэндинг!$E$5:$E$300,"*/"&amp;$B26,Лэндинг!$K$5:$K$300)+SUMIF(Закрытые!$E$5:$E$300,$B26&amp;"/*",Закрытые!$F$5:$F$300)+SUMIF(Закрытые!$E$5:$E$300,"*/"&amp;$B26,Закрытые!$K$5:$K$300)+SUMIF(История!$B$5:$B$300,$B26&amp;"/*",История!$C$5:$C$300)+SUMIF(История!$B$5:$B$300,"*/"&amp;$B26,История!$H$5:$H$300),8))</f>
        <v/>
      </c>
      <c r="D26" s="240">
        <f>IF($B26="","",ROUND(SUMIF(Торговля!$E$5:$E$300,$B26&amp;"/*",Торговля!$I$5:$I$300)+SUMIF(Торговля!$E$5:$E$300,"*/"&amp;$B26,Торговля!$H$5:$H$300)+SUMIF(Лэндинг!$E$5:$E$300,$B26&amp;"/*",Лэндинг!$I$5:$I$300)+SUMIF(Лэндинг!$E$5:$E$300,"*/"&amp;$B26,Лэндинг!$H$5:$H$300)+SUMIF(Закрытые!$E$5:$E$300,$B26&amp;"/*",Закрытые!$I$5:$I$300)+SUMIF(Закрытые!$E$5:$E$300,"*/"&amp;$B26,Закрытые!$H$5:$H$300)+SUMIF(История!$B$5:$B$300,$B26&amp;"/*",История!$F$5:$F$300)+SUMIF(История!$B$5:$B$300,"*/"&amp;$B26,История!$E$5:$E$300),8))</f>
        <v/>
      </c>
      <c r="E26" s="339">
        <f>IF($B26="","",ROUND(C26-D26,8))</f>
        <v/>
      </c>
    </row>
    <row r="27" ht="22" customHeight="1">
      <c r="B27" s="315" t="inlineStr">
        <is>
          <t>ETC</t>
        </is>
      </c>
      <c r="C27" s="240">
        <f>IF($B27="","",ROUND(SUMIF(Торговля!$E$5:$E$300,$B27&amp;"/*",Торговля!$F$5:$F$300)+SUMIF(Торговля!$E$5:$E$300,"*/"&amp;$B27,Торговля!$K$5:$K$300)+SUMIF(Лэндинг!$E$5:$E$300,$B27&amp;"/*",Лэндинг!$F$5:$F$300)+SUMIF(Лэндинг!$E$5:$E$300,"*/"&amp;$B27,Лэндинг!$K$5:$K$300)+SUMIF(Закрытые!$E$5:$E$300,$B27&amp;"/*",Закрытые!$F$5:$F$300)+SUMIF(Закрытые!$E$5:$E$300,"*/"&amp;$B27,Закрытые!$K$5:$K$300)+SUMIF(История!$B$5:$B$300,$B27&amp;"/*",История!$C$5:$C$300)+SUMIF(История!$B$5:$B$300,"*/"&amp;$B27,История!$H$5:$H$300),8))</f>
        <v/>
      </c>
      <c r="D27" s="240">
        <f>IF($B27="","",ROUND(SUMIF(Торговля!$E$5:$E$300,$B27&amp;"/*",Торговля!$I$5:$I$300)+SUMIF(Торговля!$E$5:$E$300,"*/"&amp;$B27,Торговля!$H$5:$H$300)+SUMIF(Лэндинг!$E$5:$E$300,$B27&amp;"/*",Лэндинг!$I$5:$I$300)+SUMIF(Лэндинг!$E$5:$E$300,"*/"&amp;$B27,Лэндинг!$H$5:$H$300)+SUMIF(Закрытые!$E$5:$E$300,$B27&amp;"/*",Закрытые!$I$5:$I$300)+SUMIF(Закрытые!$E$5:$E$300,"*/"&amp;$B27,Закрытые!$H$5:$H$300)+SUMIF(История!$B$5:$B$300,$B27&amp;"/*",История!$F$5:$F$300)+SUMIF(История!$B$5:$B$300,"*/"&amp;$B27,История!$E$5:$E$300),8))</f>
        <v/>
      </c>
      <c r="E27" s="339">
        <f>IF($B27="","",ROUND(C27-D27,8))</f>
        <v/>
      </c>
    </row>
    <row r="28" ht="22" customHeight="1">
      <c r="B28" s="320" t="inlineStr">
        <is>
          <t>ETH</t>
        </is>
      </c>
      <c r="C28" s="240">
        <f>IF($B28="","",ROUND(SUMIF(Торговля!$E$5:$E$300,$B28&amp;"/*",Торговля!$F$5:$F$300)+SUMIF(Торговля!$E$5:$E$300,"*/"&amp;$B28,Торговля!$K$5:$K$300)+SUMIF(Лэндинг!$E$5:$E$300,$B28&amp;"/*",Лэндинг!$F$5:$F$300)+SUMIF(Лэндинг!$E$5:$E$300,"*/"&amp;$B28,Лэндинг!$K$5:$K$300)+SUMIF(Закрытые!$E$5:$E$300,$B28&amp;"/*",Закрытые!$F$5:$F$300)+SUMIF(Закрытые!$E$5:$E$300,"*/"&amp;$B28,Закрытые!$K$5:$K$300)+SUMIF(История!$B$5:$B$300,$B28&amp;"/*",История!$C$5:$C$300)+SUMIF(История!$B$5:$B$300,"*/"&amp;$B28,История!$H$5:$H$300),8))</f>
        <v/>
      </c>
      <c r="D28" s="240">
        <f>IF($B28="","",ROUND(SUMIF(Торговля!$E$5:$E$300,$B28&amp;"/*",Торговля!$I$5:$I$300)+SUMIF(Торговля!$E$5:$E$300,"*/"&amp;$B28,Торговля!$H$5:$H$300)+SUMIF(Лэндинг!$E$5:$E$300,$B28&amp;"/*",Лэндинг!$I$5:$I$300)+SUMIF(Лэндинг!$E$5:$E$300,"*/"&amp;$B28,Лэндинг!$H$5:$H$300)+SUMIF(Закрытые!$E$5:$E$300,$B28&amp;"/*",Закрытые!$I$5:$I$300)+SUMIF(Закрытые!$E$5:$E$300,"*/"&amp;$B28,Закрытые!$H$5:$H$300)+SUMIF(История!$B$5:$B$300,$B28&amp;"/*",История!$F$5:$F$300)+SUMIF(История!$B$5:$B$300,"*/"&amp;$B28,История!$E$5:$E$300),8))</f>
        <v/>
      </c>
      <c r="E28" s="339">
        <f>IF($B28="","",ROUND(C28-D28,8))</f>
        <v/>
      </c>
    </row>
    <row r="29" ht="22" customHeight="1">
      <c r="B29" s="315" t="inlineStr">
        <is>
          <t>ETHW</t>
        </is>
      </c>
      <c r="C29" s="240">
        <f>IF($B29="","",ROUND(SUMIF(Торговля!$E$5:$E$300,$B29&amp;"/*",Торговля!$F$5:$F$300)+SUMIF(Торговля!$E$5:$E$300,"*/"&amp;$B29,Торговля!$K$5:$K$300)+SUMIF(Лэндинг!$E$5:$E$300,$B29&amp;"/*",Лэндинг!$F$5:$F$300)+SUMIF(Лэндинг!$E$5:$E$300,"*/"&amp;$B29,Лэндинг!$K$5:$K$300)+SUMIF(Закрытые!$E$5:$E$300,$B29&amp;"/*",Закрытые!$F$5:$F$300)+SUMIF(Закрытые!$E$5:$E$300,"*/"&amp;$B29,Закрытые!$K$5:$K$300)+SUMIF(История!$B$5:$B$300,$B29&amp;"/*",История!$C$5:$C$300)+SUMIF(История!$B$5:$B$300,"*/"&amp;$B29,История!$H$5:$H$300),8))</f>
        <v/>
      </c>
      <c r="D29" s="240">
        <f>IF($B29="","",ROUND(SUMIF(Торговля!$E$5:$E$300,$B29&amp;"/*",Торговля!$I$5:$I$300)+SUMIF(Торговля!$E$5:$E$300,"*/"&amp;$B29,Торговля!$H$5:$H$300)+SUMIF(Лэндинг!$E$5:$E$300,$B29&amp;"/*",Лэндинг!$I$5:$I$300)+SUMIF(Лэндинг!$E$5:$E$300,"*/"&amp;$B29,Лэндинг!$H$5:$H$300)+SUMIF(Закрытые!$E$5:$E$300,$B29&amp;"/*",Закрытые!$I$5:$I$300)+SUMIF(Закрытые!$E$5:$E$300,"*/"&amp;$B29,Закрытые!$H$5:$H$300)+SUMIF(История!$B$5:$B$300,$B29&amp;"/*",История!$F$5:$F$300)+SUMIF(История!$B$5:$B$300,"*/"&amp;$B29,История!$E$5:$E$300),8))</f>
        <v/>
      </c>
      <c r="E29" s="339">
        <f>IF($B29="","",ROUND(C29-D29,8))</f>
        <v/>
      </c>
    </row>
    <row r="30" ht="22" customHeight="1">
      <c r="B30" s="320" t="inlineStr">
        <is>
          <t>FUN</t>
        </is>
      </c>
      <c r="C30" s="240">
        <f>IF($B30="","",ROUND(SUMIF(Торговля!$E$5:$E$300,$B30&amp;"/*",Торговля!$F$5:$F$300)+SUMIF(Торговля!$E$5:$E$300,"*/"&amp;$B30,Торговля!$K$5:$K$300)+SUMIF(Лэндинг!$E$5:$E$300,$B30&amp;"/*",Лэндинг!$F$5:$F$300)+SUMIF(Лэндинг!$E$5:$E$300,"*/"&amp;$B30,Лэндинг!$K$5:$K$300)+SUMIF(Закрытые!$E$5:$E$300,$B30&amp;"/*",Закрытые!$F$5:$F$300)+SUMIF(Закрытые!$E$5:$E$300,"*/"&amp;$B30,Закрытые!$K$5:$K$300)+SUMIF(История!$B$5:$B$300,$B30&amp;"/*",История!$C$5:$C$300)+SUMIF(История!$B$5:$B$300,"*/"&amp;$B30,История!$H$5:$H$300),8))</f>
        <v/>
      </c>
      <c r="D30" s="240">
        <f>IF($B30="","",ROUND(SUMIF(Торговля!$E$5:$E$300,$B30&amp;"/*",Торговля!$I$5:$I$300)+SUMIF(Торговля!$E$5:$E$300,"*/"&amp;$B30,Торговля!$H$5:$H$300)+SUMIF(Лэндинг!$E$5:$E$300,$B30&amp;"/*",Лэндинг!$I$5:$I$300)+SUMIF(Лэндинг!$E$5:$E$300,"*/"&amp;$B30,Лэндинг!$H$5:$H$300)+SUMIF(Закрытые!$E$5:$E$300,$B30&amp;"/*",Закрытые!$I$5:$I$300)+SUMIF(Закрытые!$E$5:$E$300,"*/"&amp;$B30,Закрытые!$H$5:$H$300)+SUMIF(История!$B$5:$B$300,$B30&amp;"/*",История!$F$5:$F$300)+SUMIF(История!$B$5:$B$300,"*/"&amp;$B30,История!$E$5:$E$300),8))</f>
        <v/>
      </c>
      <c r="E30" s="339">
        <f>IF($B30="","",ROUND(C30-D30,8))</f>
        <v/>
      </c>
    </row>
    <row r="31" ht="22" customHeight="1">
      <c r="B31" s="315" t="inlineStr">
        <is>
          <t>HBAR</t>
        </is>
      </c>
      <c r="C31" s="240">
        <f>IF($B31="","",ROUND(SUMIF(Торговля!$E$5:$E$300,$B31&amp;"/*",Торговля!$F$5:$F$300)+SUMIF(Торговля!$E$5:$E$300,"*/"&amp;$B31,Торговля!$K$5:$K$300)+SUMIF(Лэндинг!$E$5:$E$300,$B31&amp;"/*",Лэндинг!$F$5:$F$300)+SUMIF(Лэндинг!$E$5:$E$300,"*/"&amp;$B31,Лэндинг!$K$5:$K$300)+SUMIF(Закрытые!$E$5:$E$300,$B31&amp;"/*",Закрытые!$F$5:$F$300)+SUMIF(Закрытые!$E$5:$E$300,"*/"&amp;$B31,Закрытые!$K$5:$K$300)+SUMIF(История!$B$5:$B$300,$B31&amp;"/*",История!$C$5:$C$300)+SUMIF(История!$B$5:$B$300,"*/"&amp;$B31,История!$H$5:$H$300),8))</f>
        <v/>
      </c>
      <c r="D31" s="240">
        <f>IF($B31="","",ROUND(SUMIF(Торговля!$E$5:$E$300,$B31&amp;"/*",Торговля!$I$5:$I$300)+SUMIF(Торговля!$E$5:$E$300,"*/"&amp;$B31,Торговля!$H$5:$H$300)+SUMIF(Лэндинг!$E$5:$E$300,$B31&amp;"/*",Лэндинг!$I$5:$I$300)+SUMIF(Лэндинг!$E$5:$E$300,"*/"&amp;$B31,Лэндинг!$H$5:$H$300)+SUMIF(Закрытые!$E$5:$E$300,$B31&amp;"/*",Закрытые!$I$5:$I$300)+SUMIF(Закрытые!$E$5:$E$300,"*/"&amp;$B31,Закрытые!$H$5:$H$300)+SUMIF(История!$B$5:$B$300,$B31&amp;"/*",История!$F$5:$F$300)+SUMIF(История!$B$5:$B$300,"*/"&amp;$B31,История!$E$5:$E$300),8))</f>
        <v/>
      </c>
      <c r="E31" s="339">
        <f>IF($B31="","",ROUND(C31-D31,8))</f>
        <v/>
      </c>
    </row>
    <row r="32" ht="22" customHeight="1">
      <c r="B32" s="320" t="inlineStr">
        <is>
          <t>INJ</t>
        </is>
      </c>
      <c r="C32" s="240">
        <f>IF($B32="","",ROUND(SUMIF(Торговля!$E$5:$E$300,$B32&amp;"/*",Торговля!$F$5:$F$300)+SUMIF(Торговля!$E$5:$E$300,"*/"&amp;$B32,Торговля!$K$5:$K$300)+SUMIF(Лэндинг!$E$5:$E$300,$B32&amp;"/*",Лэндинг!$F$5:$F$300)+SUMIF(Лэндинг!$E$5:$E$300,"*/"&amp;$B32,Лэндинг!$K$5:$K$300)+SUMIF(Закрытые!$E$5:$E$300,$B32&amp;"/*",Закрытые!$F$5:$F$300)+SUMIF(Закрытые!$E$5:$E$300,"*/"&amp;$B32,Закрытые!$K$5:$K$300)+SUMIF(История!$B$5:$B$300,$B32&amp;"/*",История!$C$5:$C$300)+SUMIF(История!$B$5:$B$300,"*/"&amp;$B32,История!$H$5:$H$300),8))</f>
        <v/>
      </c>
      <c r="D32" s="240">
        <f>IF($B32="","",ROUND(SUMIF(Торговля!$E$5:$E$300,$B32&amp;"/*",Торговля!$I$5:$I$300)+SUMIF(Торговля!$E$5:$E$300,"*/"&amp;$B32,Торговля!$H$5:$H$300)+SUMIF(Лэндинг!$E$5:$E$300,$B32&amp;"/*",Лэндинг!$I$5:$I$300)+SUMIF(Лэндинг!$E$5:$E$300,"*/"&amp;$B32,Лэндинг!$H$5:$H$300)+SUMIF(Закрытые!$E$5:$E$300,$B32&amp;"/*",Закрытые!$I$5:$I$300)+SUMIF(Закрытые!$E$5:$E$300,"*/"&amp;$B32,Закрытые!$H$5:$H$300)+SUMIF(История!$B$5:$B$300,$B32&amp;"/*",История!$F$5:$F$300)+SUMIF(История!$B$5:$B$300,"*/"&amp;$B32,История!$E$5:$E$300),8))</f>
        <v/>
      </c>
      <c r="E32" s="339">
        <f>IF($B32="","",ROUND(C32-D32,8))</f>
        <v/>
      </c>
    </row>
    <row r="33" ht="22" customHeight="1">
      <c r="B33" s="315" t="inlineStr">
        <is>
          <t>IOTX</t>
        </is>
      </c>
      <c r="C33" s="240">
        <f>IF($B33="","",ROUND(SUMIF(Торговля!$E$5:$E$300,$B33&amp;"/*",Торговля!$F$5:$F$300)+SUMIF(Торговля!$E$5:$E$300,"*/"&amp;$B33,Торговля!$K$5:$K$300)+SUMIF(Лэндинг!$E$5:$E$300,$B33&amp;"/*",Лэндинг!$F$5:$F$300)+SUMIF(Лэндинг!$E$5:$E$300,"*/"&amp;$B33,Лэндинг!$K$5:$K$300)+SUMIF(Закрытые!$E$5:$E$300,$B33&amp;"/*",Закрытые!$F$5:$F$300)+SUMIF(Закрытые!$E$5:$E$300,"*/"&amp;$B33,Закрытые!$K$5:$K$300)+SUMIF(История!$B$5:$B$300,$B33&amp;"/*",История!$C$5:$C$300)+SUMIF(История!$B$5:$B$300,"*/"&amp;$B33,История!$H$5:$H$300),8))</f>
        <v/>
      </c>
      <c r="D33" s="240">
        <f>IF($B33="","",ROUND(SUMIF(Торговля!$E$5:$E$300,$B33&amp;"/*",Торговля!$I$5:$I$300)+SUMIF(Торговля!$E$5:$E$300,"*/"&amp;$B33,Торговля!$H$5:$H$300)+SUMIF(Лэндинг!$E$5:$E$300,$B33&amp;"/*",Лэндинг!$I$5:$I$300)+SUMIF(Лэндинг!$E$5:$E$300,"*/"&amp;$B33,Лэндинг!$H$5:$H$300)+SUMIF(Закрытые!$E$5:$E$300,$B33&amp;"/*",Закрытые!$I$5:$I$300)+SUMIF(Закрытые!$E$5:$E$300,"*/"&amp;$B33,Закрытые!$H$5:$H$300)+SUMIF(История!$B$5:$B$300,$B33&amp;"/*",История!$F$5:$F$300)+SUMIF(История!$B$5:$B$300,"*/"&amp;$B33,История!$E$5:$E$300),8))</f>
        <v/>
      </c>
      <c r="E33" s="339">
        <f>IF($B33="","",ROUND(C33-D33,8))</f>
        <v/>
      </c>
    </row>
    <row r="34" ht="22" customHeight="1">
      <c r="B34" s="320" t="inlineStr">
        <is>
          <t>JUV</t>
        </is>
      </c>
      <c r="C34" s="240">
        <f>IF($B34="","",ROUND(SUMIF(Торговля!$E$5:$E$300,$B34&amp;"/*",Торговля!$F$5:$F$300)+SUMIF(Торговля!$E$5:$E$300,"*/"&amp;$B34,Торговля!$K$5:$K$300)+SUMIF(Лэндинг!$E$5:$E$300,$B34&amp;"/*",Лэндинг!$F$5:$F$300)+SUMIF(Лэндинг!$E$5:$E$300,"*/"&amp;$B34,Лэндинг!$K$5:$K$300)+SUMIF(Закрытые!$E$5:$E$300,$B34&amp;"/*",Закрытые!$F$5:$F$300)+SUMIF(Закрытые!$E$5:$E$300,"*/"&amp;$B34,Закрытые!$K$5:$K$300)+SUMIF(История!$B$5:$B$300,$B34&amp;"/*",История!$C$5:$C$300)+SUMIF(История!$B$5:$B$300,"*/"&amp;$B34,История!$H$5:$H$300),8))</f>
        <v/>
      </c>
      <c r="D34" s="240">
        <f>IF($B34="","",ROUND(SUMIF(Торговля!$E$5:$E$300,$B34&amp;"/*",Торговля!$I$5:$I$300)+SUMIF(Торговля!$E$5:$E$300,"*/"&amp;$B34,Торговля!$H$5:$H$300)+SUMIF(Лэндинг!$E$5:$E$300,$B34&amp;"/*",Лэндинг!$I$5:$I$300)+SUMIF(Лэндинг!$E$5:$E$300,"*/"&amp;$B34,Лэндинг!$H$5:$H$300)+SUMIF(Закрытые!$E$5:$E$300,$B34&amp;"/*",Закрытые!$I$5:$I$300)+SUMIF(Закрытые!$E$5:$E$300,"*/"&amp;$B34,Закрытые!$H$5:$H$300)+SUMIF(История!$B$5:$B$300,$B34&amp;"/*",История!$F$5:$F$300)+SUMIF(История!$B$5:$B$300,"*/"&amp;$B34,История!$E$5:$E$300),8))</f>
        <v/>
      </c>
      <c r="E34" s="339">
        <f>IF($B34="","",ROUND(C34-D34,8))</f>
        <v/>
      </c>
    </row>
    <row r="35" ht="22" customHeight="1">
      <c r="B35" s="315" t="inlineStr">
        <is>
          <t>LEVER</t>
        </is>
      </c>
      <c r="C35" s="240">
        <f>IF($B35="","",ROUND(SUMIF(Торговля!$E$5:$E$300,$B35&amp;"/*",Торговля!$F$5:$F$300)+SUMIF(Торговля!$E$5:$E$300,"*/"&amp;$B35,Торговля!$K$5:$K$300)+SUMIF(Лэндинг!$E$5:$E$300,$B35&amp;"/*",Лэндинг!$F$5:$F$300)+SUMIF(Лэндинг!$E$5:$E$300,"*/"&amp;$B35,Лэндинг!$K$5:$K$300)+SUMIF(Закрытые!$E$5:$E$300,$B35&amp;"/*",Закрытые!$F$5:$F$300)+SUMIF(Закрытые!$E$5:$E$300,"*/"&amp;$B35,Закрытые!$K$5:$K$300)+SUMIF(История!$B$5:$B$300,$B35&amp;"/*",История!$C$5:$C$300)+SUMIF(История!$B$5:$B$300,"*/"&amp;$B35,История!$H$5:$H$300),8))</f>
        <v/>
      </c>
      <c r="D35" s="240">
        <f>IF($B35="","",ROUND(SUMIF(Торговля!$E$5:$E$300,$B35&amp;"/*",Торговля!$I$5:$I$300)+SUMIF(Торговля!$E$5:$E$300,"*/"&amp;$B35,Торговля!$H$5:$H$300)+SUMIF(Лэндинг!$E$5:$E$300,$B35&amp;"/*",Лэндинг!$I$5:$I$300)+SUMIF(Лэндинг!$E$5:$E$300,"*/"&amp;$B35,Лэндинг!$H$5:$H$300)+SUMIF(Закрытые!$E$5:$E$300,$B35&amp;"/*",Закрытые!$I$5:$I$300)+SUMIF(Закрытые!$E$5:$E$300,"*/"&amp;$B35,Закрытые!$H$5:$H$300)+SUMIF(История!$B$5:$B$300,$B35&amp;"/*",История!$F$5:$F$300)+SUMIF(История!$B$5:$B$300,"*/"&amp;$B35,История!$E$5:$E$300),8))</f>
        <v/>
      </c>
      <c r="E35" s="339">
        <f>IF($B35="","",ROUND(C35-D35,8))</f>
        <v/>
      </c>
    </row>
    <row r="36" ht="22" customHeight="1">
      <c r="B36" s="320" t="inlineStr">
        <is>
          <t>LINK</t>
        </is>
      </c>
      <c r="C36" s="240">
        <f>IF($B36="","",ROUND(SUMIF(Торговля!$E$5:$E$300,$B36&amp;"/*",Торговля!$F$5:$F$300)+SUMIF(Торговля!$E$5:$E$300,"*/"&amp;$B36,Торговля!$K$5:$K$300)+SUMIF(Лэндинг!$E$5:$E$300,$B36&amp;"/*",Лэндинг!$F$5:$F$300)+SUMIF(Лэндинг!$E$5:$E$300,"*/"&amp;$B36,Лэндинг!$K$5:$K$300)+SUMIF(Закрытые!$E$5:$E$300,$B36&amp;"/*",Закрытые!$F$5:$F$300)+SUMIF(Закрытые!$E$5:$E$300,"*/"&amp;$B36,Закрытые!$K$5:$K$300)+SUMIF(История!$B$5:$B$300,$B36&amp;"/*",История!$C$5:$C$300)+SUMIF(История!$B$5:$B$300,"*/"&amp;$B36,История!$H$5:$H$300),8))</f>
        <v/>
      </c>
      <c r="D36" s="240">
        <f>IF($B36="","",ROUND(SUMIF(Торговля!$E$5:$E$300,$B36&amp;"/*",Торговля!$I$5:$I$300)+SUMIF(Торговля!$E$5:$E$300,"*/"&amp;$B36,Торговля!$H$5:$H$300)+SUMIF(Лэндинг!$E$5:$E$300,$B36&amp;"/*",Лэндинг!$I$5:$I$300)+SUMIF(Лэндинг!$E$5:$E$300,"*/"&amp;$B36,Лэндинг!$H$5:$H$300)+SUMIF(Закрытые!$E$5:$E$300,$B36&amp;"/*",Закрытые!$I$5:$I$300)+SUMIF(Закрытые!$E$5:$E$300,"*/"&amp;$B36,Закрытые!$H$5:$H$300)+SUMIF(История!$B$5:$B$300,$B36&amp;"/*",История!$F$5:$F$300)+SUMIF(История!$B$5:$B$300,"*/"&amp;$B36,История!$E$5:$E$300),8))</f>
        <v/>
      </c>
      <c r="E36" s="339">
        <f>IF($B36="","",ROUND(C36-D36,8))</f>
        <v/>
      </c>
    </row>
    <row r="37" ht="22" customHeight="1">
      <c r="B37" s="315" t="inlineStr">
        <is>
          <t>LOOM</t>
        </is>
      </c>
      <c r="C37" s="240">
        <f>IF($B37="","",ROUND(SUMIF(Торговля!$E$5:$E$300,$B37&amp;"/*",Торговля!$F$5:$F$300)+SUMIF(Торговля!$E$5:$E$300,"*/"&amp;$B37,Торговля!$K$5:$K$300)+SUMIF(Лэндинг!$E$5:$E$300,$B37&amp;"/*",Лэндинг!$F$5:$F$300)+SUMIF(Лэндинг!$E$5:$E$300,"*/"&amp;$B37,Лэндинг!$K$5:$K$300)+SUMIF(Закрытые!$E$5:$E$300,$B37&amp;"/*",Закрытые!$F$5:$F$300)+SUMIF(Закрытые!$E$5:$E$300,"*/"&amp;$B37,Закрытые!$K$5:$K$300)+SUMIF(История!$B$5:$B$300,$B37&amp;"/*",История!$C$5:$C$300)+SUMIF(История!$B$5:$B$300,"*/"&amp;$B37,История!$H$5:$H$300),8))</f>
        <v/>
      </c>
      <c r="D37" s="240">
        <f>IF($B37="","",ROUND(SUMIF(Торговля!$E$5:$E$300,$B37&amp;"/*",Торговля!$I$5:$I$300)+SUMIF(Торговля!$E$5:$E$300,"*/"&amp;$B37,Торговля!$H$5:$H$300)+SUMIF(Лэндинг!$E$5:$E$300,$B37&amp;"/*",Лэндинг!$I$5:$I$300)+SUMIF(Лэндинг!$E$5:$E$300,"*/"&amp;$B37,Лэндинг!$H$5:$H$300)+SUMIF(Закрытые!$E$5:$E$300,$B37&amp;"/*",Закрытые!$I$5:$I$300)+SUMIF(Закрытые!$E$5:$E$300,"*/"&amp;$B37,Закрытые!$H$5:$H$300)+SUMIF(История!$B$5:$B$300,$B37&amp;"/*",История!$F$5:$F$300)+SUMIF(История!$B$5:$B$300,"*/"&amp;$B37,История!$E$5:$E$300),8))</f>
        <v/>
      </c>
      <c r="E37" s="339">
        <f>IF($B37="","",ROUND(C37-D37,8))</f>
        <v/>
      </c>
    </row>
    <row r="38" ht="22" customHeight="1">
      <c r="B38" s="320" t="inlineStr">
        <is>
          <t>LTC</t>
        </is>
      </c>
      <c r="C38" s="240">
        <f>IF($B38="","",ROUND(SUMIF(Торговля!$E$5:$E$300,$B38&amp;"/*",Торговля!$F$5:$F$300)+SUMIF(Торговля!$E$5:$E$300,"*/"&amp;$B38,Торговля!$K$5:$K$300)+SUMIF(Лэндинг!$E$5:$E$300,$B38&amp;"/*",Лэндинг!$F$5:$F$300)+SUMIF(Лэндинг!$E$5:$E$300,"*/"&amp;$B38,Лэндинг!$K$5:$K$300)+SUMIF(Закрытые!$E$5:$E$300,$B38&amp;"/*",Закрытые!$F$5:$F$300)+SUMIF(Закрытые!$E$5:$E$300,"*/"&amp;$B38,Закрытые!$K$5:$K$300)+SUMIF(История!$B$5:$B$300,$B38&amp;"/*",История!$C$5:$C$300)+SUMIF(История!$B$5:$B$300,"*/"&amp;$B38,История!$H$5:$H$300),8))</f>
        <v/>
      </c>
      <c r="D38" s="240">
        <f>IF($B38="","",ROUND(SUMIF(Торговля!$E$5:$E$300,$B38&amp;"/*",Торговля!$I$5:$I$300)+SUMIF(Торговля!$E$5:$E$300,"*/"&amp;$B38,Торговля!$H$5:$H$300)+SUMIF(Лэндинг!$E$5:$E$300,$B38&amp;"/*",Лэндинг!$I$5:$I$300)+SUMIF(Лэндинг!$E$5:$E$300,"*/"&amp;$B38,Лэндинг!$H$5:$H$300)+SUMIF(Закрытые!$E$5:$E$300,$B38&amp;"/*",Закрытые!$I$5:$I$300)+SUMIF(Закрытые!$E$5:$E$300,"*/"&amp;$B38,Закрытые!$H$5:$H$300)+SUMIF(История!$B$5:$B$300,$B38&amp;"/*",История!$F$5:$F$300)+SUMIF(История!$B$5:$B$300,"*/"&amp;$B38,История!$E$5:$E$300),8))</f>
        <v/>
      </c>
      <c r="E38" s="339">
        <f>IF($B38="","",ROUND(C38-D38,8))</f>
        <v/>
      </c>
    </row>
    <row r="39" ht="22" customHeight="1">
      <c r="B39" s="315" t="inlineStr">
        <is>
          <t>LUNA</t>
        </is>
      </c>
      <c r="C39" s="240">
        <f>IF($B39="","",ROUND(SUMIF(Торговля!$E$5:$E$300,$B39&amp;"/*",Торговля!$F$5:$F$300)+SUMIF(Торговля!$E$5:$E$300,"*/"&amp;$B39,Торговля!$K$5:$K$300)+SUMIF(Лэндинг!$E$5:$E$300,$B39&amp;"/*",Лэндинг!$F$5:$F$300)+SUMIF(Лэндинг!$E$5:$E$300,"*/"&amp;$B39,Лэндинг!$K$5:$K$300)+SUMIF(Закрытые!$E$5:$E$300,$B39&amp;"/*",Закрытые!$F$5:$F$300)+SUMIF(Закрытые!$E$5:$E$300,"*/"&amp;$B39,Закрытые!$K$5:$K$300)+SUMIF(История!$B$5:$B$300,$B39&amp;"/*",История!$C$5:$C$300)+SUMIF(История!$B$5:$B$300,"*/"&amp;$B39,История!$H$5:$H$300),8))</f>
        <v/>
      </c>
      <c r="D39" s="240">
        <f>IF($B39="","",ROUND(SUMIF(Торговля!$E$5:$E$300,$B39&amp;"/*",Торговля!$I$5:$I$300)+SUMIF(Торговля!$E$5:$E$300,"*/"&amp;$B39,Торговля!$H$5:$H$300)+SUMIF(Лэндинг!$E$5:$E$300,$B39&amp;"/*",Лэндинг!$I$5:$I$300)+SUMIF(Лэндинг!$E$5:$E$300,"*/"&amp;$B39,Лэндинг!$H$5:$H$300)+SUMIF(Закрытые!$E$5:$E$300,$B39&amp;"/*",Закрытые!$I$5:$I$300)+SUMIF(Закрытые!$E$5:$E$300,"*/"&amp;$B39,Закрытые!$H$5:$H$300)+SUMIF(История!$B$5:$B$300,$B39&amp;"/*",История!$F$5:$F$300)+SUMIF(История!$B$5:$B$300,"*/"&amp;$B39,История!$E$5:$E$300),8))</f>
        <v/>
      </c>
      <c r="E39" s="339">
        <f>IF($B39="","",ROUND(C39-D39,8))</f>
        <v/>
      </c>
    </row>
    <row r="40" ht="22" customHeight="1">
      <c r="B40" s="320" t="inlineStr">
        <is>
          <t>MAGIC</t>
        </is>
      </c>
      <c r="C40" s="240">
        <f>IF($B40="","",ROUND(SUMIF(Торговля!$E$5:$E$300,$B40&amp;"/*",Торговля!$F$5:$F$300)+SUMIF(Торговля!$E$5:$E$300,"*/"&amp;$B40,Торговля!$K$5:$K$300)+SUMIF(Лэндинг!$E$5:$E$300,$B40&amp;"/*",Лэндинг!$F$5:$F$300)+SUMIF(Лэндинг!$E$5:$E$300,"*/"&amp;$B40,Лэндинг!$K$5:$K$300)+SUMIF(Закрытые!$E$5:$E$300,$B40&amp;"/*",Закрытые!$F$5:$F$300)+SUMIF(Закрытые!$E$5:$E$300,"*/"&amp;$B40,Закрытые!$K$5:$K$300)+SUMIF(История!$B$5:$B$300,$B40&amp;"/*",История!$C$5:$C$300)+SUMIF(История!$B$5:$B$300,"*/"&amp;$B40,История!$H$5:$H$300),8))</f>
        <v/>
      </c>
      <c r="D40" s="240">
        <f>IF($B40="","",ROUND(SUMIF(Торговля!$E$5:$E$300,$B40&amp;"/*",Торговля!$I$5:$I$300)+SUMIF(Торговля!$E$5:$E$300,"*/"&amp;$B40,Торговля!$H$5:$H$300)+SUMIF(Лэндинг!$E$5:$E$300,$B40&amp;"/*",Лэндинг!$I$5:$I$300)+SUMIF(Лэндинг!$E$5:$E$300,"*/"&amp;$B40,Лэндинг!$H$5:$H$300)+SUMIF(Закрытые!$E$5:$E$300,$B40&amp;"/*",Закрытые!$I$5:$I$300)+SUMIF(Закрытые!$E$5:$E$300,"*/"&amp;$B40,Закрытые!$H$5:$H$300)+SUMIF(История!$B$5:$B$300,$B40&amp;"/*",История!$F$5:$F$300)+SUMIF(История!$B$5:$B$300,"*/"&amp;$B40,История!$E$5:$E$300),8))</f>
        <v/>
      </c>
      <c r="E40" s="339">
        <f>IF($B40="","",ROUND(C40-D40,8))</f>
        <v/>
      </c>
    </row>
    <row r="41" ht="22" customHeight="1">
      <c r="B41" s="315" t="inlineStr">
        <is>
          <t>MATIC</t>
        </is>
      </c>
      <c r="C41" s="240">
        <f>IF($B41="","",ROUND(SUMIF(Торговля!$E$5:$E$300,$B41&amp;"/*",Торговля!$F$5:$F$300)+SUMIF(Торговля!$E$5:$E$300,"*/"&amp;$B41,Торговля!$K$5:$K$300)+SUMIF(Лэндинг!$E$5:$E$300,$B41&amp;"/*",Лэндинг!$F$5:$F$300)+SUMIF(Лэндинг!$E$5:$E$300,"*/"&amp;$B41,Лэндинг!$K$5:$K$300)+SUMIF(Закрытые!$E$5:$E$300,$B41&amp;"/*",Закрытые!$F$5:$F$300)+SUMIF(Закрытые!$E$5:$E$300,"*/"&amp;$B41,Закрытые!$K$5:$K$300)+SUMIF(История!$B$5:$B$300,$B41&amp;"/*",История!$C$5:$C$300)+SUMIF(История!$B$5:$B$300,"*/"&amp;$B41,История!$H$5:$H$300),8))</f>
        <v/>
      </c>
      <c r="D41" s="240">
        <f>IF($B41="","",ROUND(SUMIF(Торговля!$E$5:$E$300,$B41&amp;"/*",Торговля!$I$5:$I$300)+SUMIF(Торговля!$E$5:$E$300,"*/"&amp;$B41,Торговля!$H$5:$H$300)+SUMIF(Лэндинг!$E$5:$E$300,$B41&amp;"/*",Лэндинг!$I$5:$I$300)+SUMIF(Лэндинг!$E$5:$E$300,"*/"&amp;$B41,Лэндинг!$H$5:$H$300)+SUMIF(Закрытые!$E$5:$E$300,$B41&amp;"/*",Закрытые!$I$5:$I$300)+SUMIF(Закрытые!$E$5:$E$300,"*/"&amp;$B41,Закрытые!$H$5:$H$300)+SUMIF(История!$B$5:$B$300,$B41&amp;"/*",История!$F$5:$F$300)+SUMIF(История!$B$5:$B$300,"*/"&amp;$B41,История!$E$5:$E$300),8))</f>
        <v/>
      </c>
      <c r="E41" s="339">
        <f>IF($B41="","",ROUND(C41-D41,8))</f>
        <v/>
      </c>
    </row>
    <row r="42" ht="22" customHeight="1">
      <c r="B42" s="320" t="inlineStr">
        <is>
          <t>MNT</t>
        </is>
      </c>
      <c r="C42" s="240">
        <f>IF($B42="","",ROUND(SUMIF(Торговля!$E$5:$E$300,$B42&amp;"/*",Торговля!$F$5:$F$300)+SUMIF(Торговля!$E$5:$E$300,"*/"&amp;$B42,Торговля!$K$5:$K$300)+SUMIF(Лэндинг!$E$5:$E$300,$B42&amp;"/*",Лэндинг!$F$5:$F$300)+SUMIF(Лэндинг!$E$5:$E$300,"*/"&amp;$B42,Лэндинг!$K$5:$K$300)+SUMIF(Закрытые!$E$5:$E$300,$B42&amp;"/*",Закрытые!$F$5:$F$300)+SUMIF(Закрытые!$E$5:$E$300,"*/"&amp;$B42,Закрытые!$K$5:$K$300)+SUMIF(История!$B$5:$B$300,$B42&amp;"/*",История!$C$5:$C$300)+SUMIF(История!$B$5:$B$300,"*/"&amp;$B42,История!$H$5:$H$300),8))</f>
        <v/>
      </c>
      <c r="D42" s="240">
        <f>IF($B42="","",ROUND(SUMIF(Торговля!$E$5:$E$300,$B42&amp;"/*",Торговля!$I$5:$I$300)+SUMIF(Торговля!$E$5:$E$300,"*/"&amp;$B42,Торговля!$H$5:$H$300)+SUMIF(Лэндинг!$E$5:$E$300,$B42&amp;"/*",Лэндинг!$I$5:$I$300)+SUMIF(Лэндинг!$E$5:$E$300,"*/"&amp;$B42,Лэндинг!$H$5:$H$300)+SUMIF(Закрытые!$E$5:$E$300,$B42&amp;"/*",Закрытые!$I$5:$I$300)+SUMIF(Закрытые!$E$5:$E$300,"*/"&amp;$B42,Закрытые!$H$5:$H$300)+SUMIF(История!$B$5:$B$300,$B42&amp;"/*",История!$F$5:$F$300)+SUMIF(История!$B$5:$B$300,"*/"&amp;$B42,История!$E$5:$E$300),8))</f>
        <v/>
      </c>
      <c r="E42" s="339">
        <f>IF($B42="","",ROUND(C42-D42,8))</f>
        <v/>
      </c>
    </row>
    <row r="43" ht="22" customHeight="1">
      <c r="B43" s="315" t="inlineStr">
        <is>
          <t>NEAR</t>
        </is>
      </c>
      <c r="C43" s="240">
        <f>IF($B43="","",ROUND(SUMIF(Торговля!$E$5:$E$300,$B43&amp;"/*",Торговля!$F$5:$F$300)+SUMIF(Торговля!$E$5:$E$300,"*/"&amp;$B43,Торговля!$K$5:$K$300)+SUMIF(Лэндинг!$E$5:$E$300,$B43&amp;"/*",Лэндинг!$F$5:$F$300)+SUMIF(Лэндинг!$E$5:$E$300,"*/"&amp;$B43,Лэндинг!$K$5:$K$300)+SUMIF(Закрытые!$E$5:$E$300,$B43&amp;"/*",Закрытые!$F$5:$F$300)+SUMIF(Закрытые!$E$5:$E$300,"*/"&amp;$B43,Закрытые!$K$5:$K$300)+SUMIF(История!$B$5:$B$300,$B43&amp;"/*",История!$C$5:$C$300)+SUMIF(История!$B$5:$B$300,"*/"&amp;$B43,История!$H$5:$H$300),8))</f>
        <v/>
      </c>
      <c r="D43" s="240">
        <f>IF($B43="","",ROUND(SUMIF(Торговля!$E$5:$E$300,$B43&amp;"/*",Торговля!$I$5:$I$300)+SUMIF(Торговля!$E$5:$E$300,"*/"&amp;$B43,Торговля!$H$5:$H$300)+SUMIF(Лэндинг!$E$5:$E$300,$B43&amp;"/*",Лэндинг!$I$5:$I$300)+SUMIF(Лэндинг!$E$5:$E$300,"*/"&amp;$B43,Лэндинг!$H$5:$H$300)+SUMIF(Закрытые!$E$5:$E$300,$B43&amp;"/*",Закрытые!$I$5:$I$300)+SUMIF(Закрытые!$E$5:$E$300,"*/"&amp;$B43,Закрытые!$H$5:$H$300)+SUMIF(История!$B$5:$B$300,$B43&amp;"/*",История!$F$5:$F$300)+SUMIF(История!$B$5:$B$300,"*/"&amp;$B43,История!$E$5:$E$300),8))</f>
        <v/>
      </c>
      <c r="E43" s="339">
        <f>IF($B43="","",ROUND(C43-D43,8))</f>
        <v/>
      </c>
    </row>
    <row r="44" ht="22" customHeight="1">
      <c r="B44" s="320" t="inlineStr">
        <is>
          <t>NEO</t>
        </is>
      </c>
      <c r="C44" s="240">
        <f>IF($B44="","",ROUND(SUMIF(Торговля!$E$5:$E$300,$B44&amp;"/*",Торговля!$F$5:$F$300)+SUMIF(Торговля!$E$5:$E$300,"*/"&amp;$B44,Торговля!$K$5:$K$300)+SUMIF(Лэндинг!$E$5:$E$300,$B44&amp;"/*",Лэндинг!$F$5:$F$300)+SUMIF(Лэндинг!$E$5:$E$300,"*/"&amp;$B44,Лэндинг!$K$5:$K$300)+SUMIF(Закрытые!$E$5:$E$300,$B44&amp;"/*",Закрытые!$F$5:$F$300)+SUMIF(Закрытые!$E$5:$E$300,"*/"&amp;$B44,Закрытые!$K$5:$K$300)+SUMIF(История!$B$5:$B$300,$B44&amp;"/*",История!$C$5:$C$300)+SUMIF(История!$B$5:$B$300,"*/"&amp;$B44,История!$H$5:$H$300),8))</f>
        <v/>
      </c>
      <c r="D44" s="240">
        <f>IF($B44="","",ROUND(SUMIF(Торговля!$E$5:$E$300,$B44&amp;"/*",Торговля!$I$5:$I$300)+SUMIF(Торговля!$E$5:$E$300,"*/"&amp;$B44,Торговля!$H$5:$H$300)+SUMIF(Лэндинг!$E$5:$E$300,$B44&amp;"/*",Лэндинг!$I$5:$I$300)+SUMIF(Лэндинг!$E$5:$E$300,"*/"&amp;$B44,Лэндинг!$H$5:$H$300)+SUMIF(Закрытые!$E$5:$E$300,$B44&amp;"/*",Закрытые!$I$5:$I$300)+SUMIF(Закрытые!$E$5:$E$300,"*/"&amp;$B44,Закрытые!$H$5:$H$300)+SUMIF(История!$B$5:$B$300,$B44&amp;"/*",История!$F$5:$F$300)+SUMIF(История!$B$5:$B$300,"*/"&amp;$B44,История!$E$5:$E$300),8))</f>
        <v/>
      </c>
      <c r="E44" s="339">
        <f>IF($B44="","",ROUND(C44-D44,8))</f>
        <v/>
      </c>
    </row>
    <row r="45" ht="22" customHeight="1">
      <c r="B45" s="315" t="inlineStr">
        <is>
          <t>NFT</t>
        </is>
      </c>
      <c r="C45" s="240">
        <f>IF($B45="","",ROUND(SUMIF(Торговля!$E$5:$E$300,$B45&amp;"/*",Торговля!$F$5:$F$300)+SUMIF(Торговля!$E$5:$E$300,"*/"&amp;$B45,Торговля!$K$5:$K$300)+SUMIF(Лэндинг!$E$5:$E$300,$B45&amp;"/*",Лэндинг!$F$5:$F$300)+SUMIF(Лэндинг!$E$5:$E$300,"*/"&amp;$B45,Лэндинг!$K$5:$K$300)+SUMIF(Закрытые!$E$5:$E$300,$B45&amp;"/*",Закрытые!$F$5:$F$300)+SUMIF(Закрытые!$E$5:$E$300,"*/"&amp;$B45,Закрытые!$K$5:$K$300)+SUMIF(История!$B$5:$B$300,$B45&amp;"/*",История!$C$5:$C$300)+SUMIF(История!$B$5:$B$300,"*/"&amp;$B45,История!$H$5:$H$300),8))</f>
        <v/>
      </c>
      <c r="D45" s="240">
        <f>IF($B45="","",ROUND(SUMIF(Торговля!$E$5:$E$300,$B45&amp;"/*",Торговля!$I$5:$I$300)+SUMIF(Торговля!$E$5:$E$300,"*/"&amp;$B45,Торговля!$H$5:$H$300)+SUMIF(Лэндинг!$E$5:$E$300,$B45&amp;"/*",Лэндинг!$I$5:$I$300)+SUMIF(Лэндинг!$E$5:$E$300,"*/"&amp;$B45,Лэндинг!$H$5:$H$300)+SUMIF(Закрытые!$E$5:$E$300,$B45&amp;"/*",Закрытые!$I$5:$I$300)+SUMIF(Закрытые!$E$5:$E$300,"*/"&amp;$B45,Закрытые!$H$5:$H$300)+SUMIF(История!$B$5:$B$300,$B45&amp;"/*",История!$F$5:$F$300)+SUMIF(История!$B$5:$B$300,"*/"&amp;$B45,История!$E$5:$E$300),8))</f>
        <v/>
      </c>
      <c r="E45" s="339">
        <f>IF($B45="","",ROUND(C45-D45,8))</f>
        <v/>
      </c>
    </row>
    <row r="46" ht="22" customHeight="1">
      <c r="B46" s="320" t="inlineStr">
        <is>
          <t>PAXG</t>
        </is>
      </c>
      <c r="C46" s="240">
        <f>IF($B46="","",ROUND(SUMIF(Торговля!$E$5:$E$300,$B46&amp;"/*",Торговля!$F$5:$F$300)+SUMIF(Торговля!$E$5:$E$300,"*/"&amp;$B46,Торговля!$K$5:$K$300)+SUMIF(Лэндинг!$E$5:$E$300,$B46&amp;"/*",Лэндинг!$F$5:$F$300)+SUMIF(Лэндинг!$E$5:$E$300,"*/"&amp;$B46,Лэндинг!$K$5:$K$300)+SUMIF(Закрытые!$E$5:$E$300,$B46&amp;"/*",Закрытые!$F$5:$F$300)+SUMIF(Закрытые!$E$5:$E$300,"*/"&amp;$B46,Закрытые!$K$5:$K$300)+SUMIF(История!$B$5:$B$300,$B46&amp;"/*",История!$C$5:$C$300)+SUMIF(История!$B$5:$B$300,"*/"&amp;$B46,История!$H$5:$H$300),8))</f>
        <v/>
      </c>
      <c r="D46" s="240">
        <f>IF($B46="","",ROUND(SUMIF(Торговля!$E$5:$E$300,$B46&amp;"/*",Торговля!$I$5:$I$300)+SUMIF(Торговля!$E$5:$E$300,"*/"&amp;$B46,Торговля!$H$5:$H$300)+SUMIF(Лэндинг!$E$5:$E$300,$B46&amp;"/*",Лэндинг!$I$5:$I$300)+SUMIF(Лэндинг!$E$5:$E$300,"*/"&amp;$B46,Лэндинг!$H$5:$H$300)+SUMIF(Закрытые!$E$5:$E$300,$B46&amp;"/*",Закрытые!$I$5:$I$300)+SUMIF(Закрытые!$E$5:$E$300,"*/"&amp;$B46,Закрытые!$H$5:$H$300)+SUMIF(История!$B$5:$B$300,$B46&amp;"/*",История!$F$5:$F$300)+SUMIF(История!$B$5:$B$300,"*/"&amp;$B46,История!$E$5:$E$300),8))</f>
        <v/>
      </c>
      <c r="E46" s="339">
        <f>IF($B46="","",ROUND(C46-D46,8))</f>
        <v/>
      </c>
    </row>
    <row r="47" ht="22" customHeight="1">
      <c r="B47" s="315" t="inlineStr">
        <is>
          <t>PHA</t>
        </is>
      </c>
      <c r="C47" s="240">
        <f>IF($B47="","",ROUND(SUMIF(Торговля!$E$5:$E$300,$B47&amp;"/*",Торговля!$F$5:$F$300)+SUMIF(Торговля!$E$5:$E$300,"*/"&amp;$B47,Торговля!$K$5:$K$300)+SUMIF(Лэндинг!$E$5:$E$300,$B47&amp;"/*",Лэндинг!$F$5:$F$300)+SUMIF(Лэндинг!$E$5:$E$300,"*/"&amp;$B47,Лэндинг!$K$5:$K$300)+SUMIF(Закрытые!$E$5:$E$300,$B47&amp;"/*",Закрытые!$F$5:$F$300)+SUMIF(Закрытые!$E$5:$E$300,"*/"&amp;$B47,Закрытые!$K$5:$K$300)+SUMIF(История!$B$5:$B$300,$B47&amp;"/*",История!$C$5:$C$300)+SUMIF(История!$B$5:$B$300,"*/"&amp;$B47,История!$H$5:$H$300),8))</f>
        <v/>
      </c>
      <c r="D47" s="240">
        <f>IF($B47="","",ROUND(SUMIF(Торговля!$E$5:$E$300,$B47&amp;"/*",Торговля!$I$5:$I$300)+SUMIF(Торговля!$E$5:$E$300,"*/"&amp;$B47,Торговля!$H$5:$H$300)+SUMIF(Лэндинг!$E$5:$E$300,$B47&amp;"/*",Лэндинг!$I$5:$I$300)+SUMIF(Лэндинг!$E$5:$E$300,"*/"&amp;$B47,Лэндинг!$H$5:$H$300)+SUMIF(Закрытые!$E$5:$E$300,$B47&amp;"/*",Закрытые!$I$5:$I$300)+SUMIF(Закрытые!$E$5:$E$300,"*/"&amp;$B47,Закрытые!$H$5:$H$300)+SUMIF(История!$B$5:$B$300,$B47&amp;"/*",История!$F$5:$F$300)+SUMIF(История!$B$5:$B$300,"*/"&amp;$B47,История!$E$5:$E$300),8))</f>
        <v/>
      </c>
      <c r="E47" s="339">
        <f>IF($B47="","",ROUND(C47-D47,8))</f>
        <v/>
      </c>
    </row>
    <row r="48" ht="22" customHeight="1">
      <c r="B48" s="320" t="inlineStr">
        <is>
          <t>PYTH</t>
        </is>
      </c>
      <c r="C48" s="240">
        <f>IF($B48="","",ROUND(SUMIF(Торговля!$E$5:$E$300,$B48&amp;"/*",Торговля!$F$5:$F$300)+SUMIF(Торговля!$E$5:$E$300,"*/"&amp;$B48,Торговля!$K$5:$K$300)+SUMIF(Лэндинг!$E$5:$E$300,$B48&amp;"/*",Лэндинг!$F$5:$F$300)+SUMIF(Лэндинг!$E$5:$E$300,"*/"&amp;$B48,Лэндинг!$K$5:$K$300)+SUMIF(Закрытые!$E$5:$E$300,$B48&amp;"/*",Закрытые!$F$5:$F$300)+SUMIF(Закрытые!$E$5:$E$300,"*/"&amp;$B48,Закрытые!$K$5:$K$300)+SUMIF(История!$B$5:$B$300,$B48&amp;"/*",История!$C$5:$C$300)+SUMIF(История!$B$5:$B$300,"*/"&amp;$B48,История!$H$5:$H$300),8))</f>
        <v/>
      </c>
      <c r="D48" s="240">
        <f>IF($B48="","",ROUND(SUMIF(Торговля!$E$5:$E$300,$B48&amp;"/*",Торговля!$I$5:$I$300)+SUMIF(Торговля!$E$5:$E$300,"*/"&amp;$B48,Торговля!$H$5:$H$300)+SUMIF(Лэндинг!$E$5:$E$300,$B48&amp;"/*",Лэндинг!$I$5:$I$300)+SUMIF(Лэндинг!$E$5:$E$300,"*/"&amp;$B48,Лэндинг!$H$5:$H$300)+SUMIF(Закрытые!$E$5:$E$300,$B48&amp;"/*",Закрытые!$I$5:$I$300)+SUMIF(Закрытые!$E$5:$E$300,"*/"&amp;$B48,Закрытые!$H$5:$H$300)+SUMIF(История!$B$5:$B$300,$B48&amp;"/*",История!$F$5:$F$300)+SUMIF(История!$B$5:$B$300,"*/"&amp;$B48,История!$E$5:$E$300),8))</f>
        <v/>
      </c>
      <c r="E48" s="339">
        <f>IF($B48="","",ROUND(C48-D48,8))</f>
        <v/>
      </c>
    </row>
    <row r="49" ht="22" customHeight="1">
      <c r="B49" s="315" t="inlineStr">
        <is>
          <t>SAND</t>
        </is>
      </c>
      <c r="C49" s="240">
        <f>IF($B49="","",ROUND(SUMIF(Торговля!$E$5:$E$300,$B49&amp;"/*",Торговля!$F$5:$F$300)+SUMIF(Торговля!$E$5:$E$300,"*/"&amp;$B49,Торговля!$K$5:$K$300)+SUMIF(Лэндинг!$E$5:$E$300,$B49&amp;"/*",Лэндинг!$F$5:$F$300)+SUMIF(Лэндинг!$E$5:$E$300,"*/"&amp;$B49,Лэндинг!$K$5:$K$300)+SUMIF(Закрытые!$E$5:$E$300,$B49&amp;"/*",Закрытые!$F$5:$F$300)+SUMIF(Закрытые!$E$5:$E$300,"*/"&amp;$B49,Закрытые!$K$5:$K$300)+SUMIF(История!$B$5:$B$300,$B49&amp;"/*",История!$C$5:$C$300)+SUMIF(История!$B$5:$B$300,"*/"&amp;$B49,История!$H$5:$H$300),8))</f>
        <v/>
      </c>
      <c r="D49" s="240">
        <f>IF($B49="","",ROUND(SUMIF(Торговля!$E$5:$E$300,$B49&amp;"/*",Торговля!$I$5:$I$300)+SUMIF(Торговля!$E$5:$E$300,"*/"&amp;$B49,Торговля!$H$5:$H$300)+SUMIF(Лэндинг!$E$5:$E$300,$B49&amp;"/*",Лэндинг!$I$5:$I$300)+SUMIF(Лэндинг!$E$5:$E$300,"*/"&amp;$B49,Лэндинг!$H$5:$H$300)+SUMIF(Закрытые!$E$5:$E$300,$B49&amp;"/*",Закрытые!$I$5:$I$300)+SUMIF(Закрытые!$E$5:$E$300,"*/"&amp;$B49,Закрытые!$H$5:$H$300)+SUMIF(История!$B$5:$B$300,$B49&amp;"/*",История!$F$5:$F$300)+SUMIF(История!$B$5:$B$300,"*/"&amp;$B49,История!$E$5:$E$300),8))</f>
        <v/>
      </c>
      <c r="E49" s="339">
        <f>IF($B49="","",ROUND(C49-D49,8))</f>
        <v/>
      </c>
    </row>
    <row r="50" ht="22" customHeight="1">
      <c r="B50" s="320" t="inlineStr">
        <is>
          <t>SC</t>
        </is>
      </c>
      <c r="C50" s="240">
        <f>IF($B50="","",ROUND(SUMIF(Торговля!$E$5:$E$300,$B50&amp;"/*",Торговля!$F$5:$F$300)+SUMIF(Торговля!$E$5:$E$300,"*/"&amp;$B50,Торговля!$K$5:$K$300)+SUMIF(Лэндинг!$E$5:$E$300,$B50&amp;"/*",Лэндинг!$F$5:$F$300)+SUMIF(Лэндинг!$E$5:$E$300,"*/"&amp;$B50,Лэндинг!$K$5:$K$300)+SUMIF(Закрытые!$E$5:$E$300,$B50&amp;"/*",Закрытые!$F$5:$F$300)+SUMIF(Закрытые!$E$5:$E$300,"*/"&amp;$B50,Закрытые!$K$5:$K$300)+SUMIF(История!$B$5:$B$300,$B50&amp;"/*",История!$C$5:$C$300)+SUMIF(История!$B$5:$B$300,"*/"&amp;$B50,История!$H$5:$H$300),8))</f>
        <v/>
      </c>
      <c r="D50" s="240">
        <f>IF($B50="","",ROUND(SUMIF(Торговля!$E$5:$E$300,$B50&amp;"/*",Торговля!$I$5:$I$300)+SUMIF(Торговля!$E$5:$E$300,"*/"&amp;$B50,Торговля!$H$5:$H$300)+SUMIF(Лэндинг!$E$5:$E$300,$B50&amp;"/*",Лэндинг!$I$5:$I$300)+SUMIF(Лэндинг!$E$5:$E$300,"*/"&amp;$B50,Лэндинг!$H$5:$H$300)+SUMIF(Закрытые!$E$5:$E$300,$B50&amp;"/*",Закрытые!$I$5:$I$300)+SUMIF(Закрытые!$E$5:$E$300,"*/"&amp;$B50,Закрытые!$H$5:$H$300)+SUMIF(История!$B$5:$B$300,$B50&amp;"/*",История!$F$5:$F$300)+SUMIF(История!$B$5:$B$300,"*/"&amp;$B50,История!$E$5:$E$300),8))</f>
        <v/>
      </c>
      <c r="E50" s="339">
        <f>IF($B50="","",ROUND(C50-D50,8))</f>
        <v/>
      </c>
    </row>
    <row r="51" ht="22" customHeight="1">
      <c r="B51" s="315" t="inlineStr">
        <is>
          <t>SHIB</t>
        </is>
      </c>
      <c r="C51" s="240">
        <f>IF($B51="","",ROUND(SUMIF(Торговля!$E$5:$E$300,$B51&amp;"/*",Торговля!$F$5:$F$300)+SUMIF(Торговля!$E$5:$E$300,"*/"&amp;$B51,Торговля!$K$5:$K$300)+SUMIF(Лэндинг!$E$5:$E$300,$B51&amp;"/*",Лэндинг!$F$5:$F$300)+SUMIF(Лэндинг!$E$5:$E$300,"*/"&amp;$B51,Лэндинг!$K$5:$K$300)+SUMIF(Закрытые!$E$5:$E$300,$B51&amp;"/*",Закрытые!$F$5:$F$300)+SUMIF(Закрытые!$E$5:$E$300,"*/"&amp;$B51,Закрытые!$K$5:$K$300)+SUMIF(История!$B$5:$B$300,$B51&amp;"/*",История!$C$5:$C$300)+SUMIF(История!$B$5:$B$300,"*/"&amp;$B51,История!$H$5:$H$300),8))</f>
        <v/>
      </c>
      <c r="D51" s="240">
        <f>IF($B51="","",ROUND(SUMIF(Торговля!$E$5:$E$300,$B51&amp;"/*",Торговля!$I$5:$I$300)+SUMIF(Торговля!$E$5:$E$300,"*/"&amp;$B51,Торговля!$H$5:$H$300)+SUMIF(Лэндинг!$E$5:$E$300,$B51&amp;"/*",Лэндинг!$I$5:$I$300)+SUMIF(Лэндинг!$E$5:$E$300,"*/"&amp;$B51,Лэндинг!$H$5:$H$300)+SUMIF(Закрытые!$E$5:$E$300,$B51&amp;"/*",Закрытые!$I$5:$I$300)+SUMIF(Закрытые!$E$5:$E$300,"*/"&amp;$B51,Закрытые!$H$5:$H$300)+SUMIF(История!$B$5:$B$300,$B51&amp;"/*",История!$F$5:$F$300)+SUMIF(История!$B$5:$B$300,"*/"&amp;$B51,История!$E$5:$E$300),8))</f>
        <v/>
      </c>
      <c r="E51" s="339">
        <f>IF($B51="","",ROUND(C51-D51,8))</f>
        <v/>
      </c>
    </row>
    <row r="52" ht="22" customHeight="1">
      <c r="B52" s="320" t="inlineStr">
        <is>
          <t>SOL</t>
        </is>
      </c>
      <c r="C52" s="240">
        <f>IF($B52="","",ROUND(SUMIF(Торговля!$E$5:$E$300,$B52&amp;"/*",Торговля!$F$5:$F$300)+SUMIF(Торговля!$E$5:$E$300,"*/"&amp;$B52,Торговля!$K$5:$K$300)+SUMIF(Лэндинг!$E$5:$E$300,$B52&amp;"/*",Лэндинг!$F$5:$F$300)+SUMIF(Лэндинг!$E$5:$E$300,"*/"&amp;$B52,Лэндинг!$K$5:$K$300)+SUMIF(Закрытые!$E$5:$E$300,$B52&amp;"/*",Закрытые!$F$5:$F$300)+SUMIF(Закрытые!$E$5:$E$300,"*/"&amp;$B52,Закрытые!$K$5:$K$300)+SUMIF(История!$B$5:$B$300,$B52&amp;"/*",История!$C$5:$C$300)+SUMIF(История!$B$5:$B$300,"*/"&amp;$B52,История!$H$5:$H$300),8))</f>
        <v/>
      </c>
      <c r="D52" s="240">
        <f>IF($B52="","",ROUND(SUMIF(Торговля!$E$5:$E$300,$B52&amp;"/*",Торговля!$I$5:$I$300)+SUMIF(Торговля!$E$5:$E$300,"*/"&amp;$B52,Торговля!$H$5:$H$300)+SUMIF(Лэндинг!$E$5:$E$300,$B52&amp;"/*",Лэндинг!$I$5:$I$300)+SUMIF(Лэндинг!$E$5:$E$300,"*/"&amp;$B52,Лэндинг!$H$5:$H$300)+SUMIF(Закрытые!$E$5:$E$300,$B52&amp;"/*",Закрытые!$I$5:$I$300)+SUMIF(Закрытые!$E$5:$E$300,"*/"&amp;$B52,Закрытые!$H$5:$H$300)+SUMIF(История!$B$5:$B$300,$B52&amp;"/*",История!$F$5:$F$300)+SUMIF(История!$B$5:$B$300,"*/"&amp;$B52,История!$E$5:$E$300),8))</f>
        <v/>
      </c>
      <c r="E52" s="339">
        <f>IF($B52="","",ROUND(C52-D52,8))</f>
        <v/>
      </c>
    </row>
    <row r="53" ht="22" customHeight="1">
      <c r="B53" s="315" t="inlineStr">
        <is>
          <t>STRAX</t>
        </is>
      </c>
      <c r="C53" s="240">
        <f>IF($B53="","",ROUND(SUMIF(Торговля!$E$5:$E$300,$B53&amp;"/*",Торговля!$F$5:$F$300)+SUMIF(Торговля!$E$5:$E$300,"*/"&amp;$B53,Торговля!$K$5:$K$300)+SUMIF(Лэндинг!$E$5:$E$300,$B53&amp;"/*",Лэндинг!$F$5:$F$300)+SUMIF(Лэндинг!$E$5:$E$300,"*/"&amp;$B53,Лэндинг!$K$5:$K$300)+SUMIF(Закрытые!$E$5:$E$300,$B53&amp;"/*",Закрытые!$F$5:$F$300)+SUMIF(Закрытые!$E$5:$E$300,"*/"&amp;$B53,Закрытые!$K$5:$K$300)+SUMIF(История!$B$5:$B$300,$B53&amp;"/*",История!$C$5:$C$300)+SUMIF(История!$B$5:$B$300,"*/"&amp;$B53,История!$H$5:$H$300),8))</f>
        <v/>
      </c>
      <c r="D53" s="240">
        <f>IF($B53="","",ROUND(SUMIF(Торговля!$E$5:$E$300,$B53&amp;"/*",Торговля!$I$5:$I$300)+SUMIF(Торговля!$E$5:$E$300,"*/"&amp;$B53,Торговля!$H$5:$H$300)+SUMIF(Лэндинг!$E$5:$E$300,$B53&amp;"/*",Лэндинг!$I$5:$I$300)+SUMIF(Лэндинг!$E$5:$E$300,"*/"&amp;$B53,Лэндинг!$H$5:$H$300)+SUMIF(Закрытые!$E$5:$E$300,$B53&amp;"/*",Закрытые!$I$5:$I$300)+SUMIF(Закрытые!$E$5:$E$300,"*/"&amp;$B53,Закрытые!$H$5:$H$300)+SUMIF(История!$B$5:$B$300,$B53&amp;"/*",История!$F$5:$F$300)+SUMIF(История!$B$5:$B$300,"*/"&amp;$B53,История!$E$5:$E$300),8))</f>
        <v/>
      </c>
      <c r="E53" s="339">
        <f>IF($B53="","",ROUND(C53-D53,8))</f>
        <v/>
      </c>
    </row>
    <row r="54" ht="22" customHeight="1">
      <c r="B54" s="320" t="inlineStr">
        <is>
          <t>STX</t>
        </is>
      </c>
      <c r="C54" s="240">
        <f>IF($B54="","",ROUND(SUMIF(Торговля!$E$5:$E$300,$B54&amp;"/*",Торговля!$F$5:$F$300)+SUMIF(Торговля!$E$5:$E$300,"*/"&amp;$B54,Торговля!$K$5:$K$300)+SUMIF(Лэндинг!$E$5:$E$300,$B54&amp;"/*",Лэндинг!$F$5:$F$300)+SUMIF(Лэндинг!$E$5:$E$300,"*/"&amp;$B54,Лэндинг!$K$5:$K$300)+SUMIF(Закрытые!$E$5:$E$300,$B54&amp;"/*",Закрытые!$F$5:$F$300)+SUMIF(Закрытые!$E$5:$E$300,"*/"&amp;$B54,Закрытые!$K$5:$K$300)+SUMIF(История!$B$5:$B$300,$B54&amp;"/*",История!$C$5:$C$300)+SUMIF(История!$B$5:$B$300,"*/"&amp;$B54,История!$H$5:$H$300),8))</f>
        <v/>
      </c>
      <c r="D54" s="240">
        <f>IF($B54="","",ROUND(SUMIF(Торговля!$E$5:$E$300,$B54&amp;"/*",Торговля!$I$5:$I$300)+SUMIF(Торговля!$E$5:$E$300,"*/"&amp;$B54,Торговля!$H$5:$H$300)+SUMIF(Лэндинг!$E$5:$E$300,$B54&amp;"/*",Лэндинг!$I$5:$I$300)+SUMIF(Лэндинг!$E$5:$E$300,"*/"&amp;$B54,Лэндинг!$H$5:$H$300)+SUMIF(Закрытые!$E$5:$E$300,$B54&amp;"/*",Закрытые!$I$5:$I$300)+SUMIF(Закрытые!$E$5:$E$300,"*/"&amp;$B54,Закрытые!$H$5:$H$300)+SUMIF(История!$B$5:$B$300,$B54&amp;"/*",История!$F$5:$F$300)+SUMIF(История!$B$5:$B$300,"*/"&amp;$B54,История!$E$5:$E$300),8))</f>
        <v/>
      </c>
      <c r="E54" s="339">
        <f>IF($B54="","",ROUND(C54-D54,8))</f>
        <v/>
      </c>
    </row>
    <row r="55" ht="22" customHeight="1">
      <c r="B55" s="315" t="inlineStr">
        <is>
          <t>SUI</t>
        </is>
      </c>
      <c r="C55" s="240">
        <f>IF($B55="","",ROUND(SUMIF(Торговля!$E$5:$E$300,$B55&amp;"/*",Торговля!$F$5:$F$300)+SUMIF(Торговля!$E$5:$E$300,"*/"&amp;$B55,Торговля!$K$5:$K$300)+SUMIF(Лэндинг!$E$5:$E$300,$B55&amp;"/*",Лэндинг!$F$5:$F$300)+SUMIF(Лэндинг!$E$5:$E$300,"*/"&amp;$B55,Лэндинг!$K$5:$K$300)+SUMIF(Закрытые!$E$5:$E$300,$B55&amp;"/*",Закрытые!$F$5:$F$300)+SUMIF(Закрытые!$E$5:$E$300,"*/"&amp;$B55,Закрытые!$K$5:$K$300)+SUMIF(История!$B$5:$B$300,$B55&amp;"/*",История!$C$5:$C$300)+SUMIF(История!$B$5:$B$300,"*/"&amp;$B55,История!$H$5:$H$300),8))</f>
        <v/>
      </c>
      <c r="D55" s="240">
        <f>IF($B55="","",ROUND(SUMIF(Торговля!$E$5:$E$300,$B55&amp;"/*",Торговля!$I$5:$I$300)+SUMIF(Торговля!$E$5:$E$300,"*/"&amp;$B55,Торговля!$H$5:$H$300)+SUMIF(Лэндинг!$E$5:$E$300,$B55&amp;"/*",Лэндинг!$I$5:$I$300)+SUMIF(Лэндинг!$E$5:$E$300,"*/"&amp;$B55,Лэндинг!$H$5:$H$300)+SUMIF(Закрытые!$E$5:$E$300,$B55&amp;"/*",Закрытые!$I$5:$I$300)+SUMIF(Закрытые!$E$5:$E$300,"*/"&amp;$B55,Закрытые!$H$5:$H$300)+SUMIF(История!$B$5:$B$300,$B55&amp;"/*",История!$F$5:$F$300)+SUMIF(История!$B$5:$B$300,"*/"&amp;$B55,История!$E$5:$E$300),8))</f>
        <v/>
      </c>
      <c r="E55" s="339">
        <f>IF($B55="","",ROUND(C55-D55,8))</f>
        <v/>
      </c>
    </row>
    <row r="56" ht="22" customHeight="1">
      <c r="B56" s="320" t="inlineStr">
        <is>
          <t>TON</t>
        </is>
      </c>
      <c r="C56" s="240">
        <f>IF($B56="","",ROUND(SUMIF(Торговля!$E$5:$E$300,$B56&amp;"/*",Торговля!$F$5:$F$300)+SUMIF(Торговля!$E$5:$E$300,"*/"&amp;$B56,Торговля!$K$5:$K$300)+SUMIF(Лэндинг!$E$5:$E$300,$B56&amp;"/*",Лэндинг!$F$5:$F$300)+SUMIF(Лэндинг!$E$5:$E$300,"*/"&amp;$B56,Лэндинг!$K$5:$K$300)+SUMIF(Закрытые!$E$5:$E$300,$B56&amp;"/*",Закрытые!$F$5:$F$300)+SUMIF(Закрытые!$E$5:$E$300,"*/"&amp;$B56,Закрытые!$K$5:$K$300)+SUMIF(История!$B$5:$B$300,$B56&amp;"/*",История!$C$5:$C$300)+SUMIF(История!$B$5:$B$300,"*/"&amp;$B56,История!$H$5:$H$300),8))</f>
        <v/>
      </c>
      <c r="D56" s="240">
        <f>IF($B56="","",ROUND(SUMIF(Торговля!$E$5:$E$300,$B56&amp;"/*",Торговля!$I$5:$I$300)+SUMIF(Торговля!$E$5:$E$300,"*/"&amp;$B56,Торговля!$H$5:$H$300)+SUMIF(Лэндинг!$E$5:$E$300,$B56&amp;"/*",Лэндинг!$I$5:$I$300)+SUMIF(Лэндинг!$E$5:$E$300,"*/"&amp;$B56,Лэндинг!$H$5:$H$300)+SUMIF(Закрытые!$E$5:$E$300,$B56&amp;"/*",Закрытые!$I$5:$I$300)+SUMIF(Закрытые!$E$5:$E$300,"*/"&amp;$B56,Закрытые!$H$5:$H$300)+SUMIF(История!$B$5:$B$300,$B56&amp;"/*",История!$F$5:$F$300)+SUMIF(История!$B$5:$B$300,"*/"&amp;$B56,История!$E$5:$E$300),8))</f>
        <v/>
      </c>
      <c r="E56" s="339">
        <f>IF($B56="","",ROUND(C56-D56,8))</f>
        <v/>
      </c>
    </row>
    <row r="57" ht="22" customHeight="1">
      <c r="B57" s="315" t="inlineStr">
        <is>
          <t>TRX</t>
        </is>
      </c>
      <c r="C57" s="240">
        <f>IF($B57="","",ROUND(SUMIF(Торговля!$E$5:$E$300,$B57&amp;"/*",Торговля!$F$5:$F$300)+SUMIF(Торговля!$E$5:$E$300,"*/"&amp;$B57,Торговля!$K$5:$K$300)+SUMIF(Лэндинг!$E$5:$E$300,$B57&amp;"/*",Лэндинг!$F$5:$F$300)+SUMIF(Лэндинг!$E$5:$E$300,"*/"&amp;$B57,Лэндинг!$K$5:$K$300)+SUMIF(Закрытые!$E$5:$E$300,$B57&amp;"/*",Закрытые!$F$5:$F$300)+SUMIF(Закрытые!$E$5:$E$300,"*/"&amp;$B57,Закрытые!$K$5:$K$300)+SUMIF(История!$B$5:$B$300,$B57&amp;"/*",История!$C$5:$C$300)+SUMIF(История!$B$5:$B$300,"*/"&amp;$B57,История!$H$5:$H$300),8))</f>
        <v/>
      </c>
      <c r="D57" s="240">
        <f>IF($B57="","",ROUND(SUMIF(Торговля!$E$5:$E$300,$B57&amp;"/*",Торговля!$I$5:$I$300)+SUMIF(Торговля!$E$5:$E$300,"*/"&amp;$B57,Торговля!$H$5:$H$300)+SUMIF(Лэндинг!$E$5:$E$300,$B57&amp;"/*",Лэндинг!$I$5:$I$300)+SUMIF(Лэндинг!$E$5:$E$300,"*/"&amp;$B57,Лэндинг!$H$5:$H$300)+SUMIF(Закрытые!$E$5:$E$300,$B57&amp;"/*",Закрытые!$I$5:$I$300)+SUMIF(Закрытые!$E$5:$E$300,"*/"&amp;$B57,Закрытые!$H$5:$H$300)+SUMIF(История!$B$5:$B$300,$B57&amp;"/*",История!$F$5:$F$300)+SUMIF(История!$B$5:$B$300,"*/"&amp;$B57,История!$E$5:$E$300),8))</f>
        <v/>
      </c>
      <c r="E57" s="339">
        <f>IF($B57="","",ROUND(C57-D57,8))</f>
        <v/>
      </c>
    </row>
    <row r="58" ht="22" customHeight="1">
      <c r="B58" s="320" t="inlineStr">
        <is>
          <t>UNI</t>
        </is>
      </c>
      <c r="C58" s="240">
        <f>IF($B58="","",ROUND(SUMIF(Торговля!$E$5:$E$300,$B58&amp;"/*",Торговля!$F$5:$F$300)+SUMIF(Торговля!$E$5:$E$300,"*/"&amp;$B58,Торговля!$K$5:$K$300)+SUMIF(Лэндинг!$E$5:$E$300,$B58&amp;"/*",Лэндинг!$F$5:$F$300)+SUMIF(Лэндинг!$E$5:$E$300,"*/"&amp;$B58,Лэндинг!$K$5:$K$300)+SUMIF(Закрытые!$E$5:$E$300,$B58&amp;"/*",Закрытые!$F$5:$F$300)+SUMIF(Закрытые!$E$5:$E$300,"*/"&amp;$B58,Закрытые!$K$5:$K$300)+SUMIF(История!$B$5:$B$300,$B58&amp;"/*",История!$C$5:$C$300)+SUMIF(История!$B$5:$B$300,"*/"&amp;$B58,История!$H$5:$H$300),8))</f>
        <v/>
      </c>
      <c r="D58" s="240">
        <f>IF($B58="","",ROUND(SUMIF(Торговля!$E$5:$E$300,$B58&amp;"/*",Торговля!$I$5:$I$300)+SUMIF(Торговля!$E$5:$E$300,"*/"&amp;$B58,Торговля!$H$5:$H$300)+SUMIF(Лэндинг!$E$5:$E$300,$B58&amp;"/*",Лэндинг!$I$5:$I$300)+SUMIF(Лэндинг!$E$5:$E$300,"*/"&amp;$B58,Лэндинг!$H$5:$H$300)+SUMIF(Закрытые!$E$5:$E$300,$B58&amp;"/*",Закрытые!$I$5:$I$300)+SUMIF(Закрытые!$E$5:$E$300,"*/"&amp;$B58,Закрытые!$H$5:$H$300)+SUMIF(История!$B$5:$B$300,$B58&amp;"/*",История!$F$5:$F$300)+SUMIF(История!$B$5:$B$300,"*/"&amp;$B58,История!$E$5:$E$300),8))</f>
        <v/>
      </c>
      <c r="E58" s="339">
        <f>IF($B58="","",ROUND(C58-D58,8))</f>
        <v/>
      </c>
    </row>
    <row r="59" ht="22" customHeight="1">
      <c r="B59" s="315" t="inlineStr">
        <is>
          <t>USD</t>
        </is>
      </c>
      <c r="C59" s="240">
        <f>IF($B59="","",ROUND(SUMIF(Торговля!$E$5:$E$300,$B59&amp;"/*",Торговля!$F$5:$F$300)+SUMIF(Торговля!$E$5:$E$300,"*/"&amp;$B59,Торговля!$K$5:$K$300)+SUMIF(Лэндинг!$E$5:$E$300,$B59&amp;"/*",Лэндинг!$F$5:$F$300)+SUMIF(Лэндинг!$E$5:$E$300,"*/"&amp;$B59,Лэндинг!$K$5:$K$300)+SUMIF(Закрытые!$E$5:$E$300,$B59&amp;"/*",Закрытые!$F$5:$F$300)+SUMIF(Закрытые!$E$5:$E$300,"*/"&amp;$B59,Закрытые!$K$5:$K$300)+SUMIF(История!$B$5:$B$300,$B59&amp;"/*",История!$C$5:$C$300)+SUMIF(История!$B$5:$B$300,"*/"&amp;$B59,История!$H$5:$H$300),8))</f>
        <v/>
      </c>
      <c r="D59" s="240">
        <f>IF($B59="","",ROUND(SUMIF(Торговля!$E$5:$E$300,$B59&amp;"/*",Торговля!$I$5:$I$300)+SUMIF(Торговля!$E$5:$E$300,"*/"&amp;$B59,Торговля!$H$5:$H$300)+SUMIF(Лэндинг!$E$5:$E$300,$B59&amp;"/*",Лэндинг!$I$5:$I$300)+SUMIF(Лэндинг!$E$5:$E$300,"*/"&amp;$B59,Лэндинг!$H$5:$H$300)+SUMIF(Закрытые!$E$5:$E$300,$B59&amp;"/*",Закрытые!$I$5:$I$300)+SUMIF(Закрытые!$E$5:$E$300,"*/"&amp;$B59,Закрытые!$H$5:$H$300)+SUMIF(История!$B$5:$B$300,$B59&amp;"/*",История!$F$5:$F$300)+SUMIF(История!$B$5:$B$300,"*/"&amp;$B59,История!$E$5:$E$300),8))</f>
        <v/>
      </c>
      <c r="E59" s="339">
        <f>IF($B59="","",ROUND(C59-D59,8))</f>
        <v/>
      </c>
    </row>
    <row r="60" ht="22" customHeight="1">
      <c r="B60" s="320" t="inlineStr">
        <is>
          <t>USDT</t>
        </is>
      </c>
      <c r="C60" s="240">
        <f>IF($B60="","",ROUND(SUMIF(Торговля!$E$5:$E$300,$B60&amp;"/*",Торговля!$F$5:$F$300)+SUMIF(Торговля!$E$5:$E$300,"*/"&amp;$B60,Торговля!$K$5:$K$300)+SUMIF(Лэндинг!$E$5:$E$300,$B60&amp;"/*",Лэндинг!$F$5:$F$300)+SUMIF(Лэндинг!$E$5:$E$300,"*/"&amp;$B60,Лэндинг!$K$5:$K$300)+SUMIF(Закрытые!$E$5:$E$300,$B60&amp;"/*",Закрытые!$F$5:$F$300)+SUMIF(Закрытые!$E$5:$E$300,"*/"&amp;$B60,Закрытые!$K$5:$K$300)+SUMIF(История!$B$5:$B$300,$B60&amp;"/*",История!$C$5:$C$300)+SUMIF(История!$B$5:$B$300,"*/"&amp;$B60,История!$H$5:$H$300),8))</f>
        <v/>
      </c>
      <c r="D60" s="240">
        <f>IF($B60="","",ROUND(SUMIF(Торговля!$E$5:$E$300,$B60&amp;"/*",Торговля!$I$5:$I$300)+SUMIF(Торговля!$E$5:$E$300,"*/"&amp;$B60,Торговля!$H$5:$H$300)+SUMIF(Лэндинг!$E$5:$E$300,$B60&amp;"/*",Лэндинг!$I$5:$I$300)+SUMIF(Лэндинг!$E$5:$E$300,"*/"&amp;$B60,Лэндинг!$H$5:$H$300)+SUMIF(Закрытые!$E$5:$E$300,$B60&amp;"/*",Закрытые!$I$5:$I$300)+SUMIF(Закрытые!$E$5:$E$300,"*/"&amp;$B60,Закрытые!$H$5:$H$300)+SUMIF(История!$B$5:$B$300,$B60&amp;"/*",История!$F$5:$F$300)+SUMIF(История!$B$5:$B$300,"*/"&amp;$B60,История!$E$5:$E$300),8))</f>
        <v/>
      </c>
      <c r="E60" s="339">
        <f>IF($B60="","",ROUND(C60-D60,8))</f>
        <v/>
      </c>
    </row>
    <row r="61" ht="22" customHeight="1">
      <c r="B61" s="315" t="inlineStr">
        <is>
          <t>WAVES</t>
        </is>
      </c>
      <c r="C61" s="240">
        <f>IF($B61="","",ROUND(SUMIF(Торговля!$E$5:$E$300,$B61&amp;"/*",Торговля!$F$5:$F$300)+SUMIF(Торговля!$E$5:$E$300,"*/"&amp;$B61,Торговля!$K$5:$K$300)+SUMIF(Лэндинг!$E$5:$E$300,$B61&amp;"/*",Лэндинг!$F$5:$F$300)+SUMIF(Лэндинг!$E$5:$E$300,"*/"&amp;$B61,Лэндинг!$K$5:$K$300)+SUMIF(Закрытые!$E$5:$E$300,$B61&amp;"/*",Закрытые!$F$5:$F$300)+SUMIF(Закрытые!$E$5:$E$300,"*/"&amp;$B61,Закрытые!$K$5:$K$300)+SUMIF(История!$B$5:$B$300,$B61&amp;"/*",История!$C$5:$C$300)+SUMIF(История!$B$5:$B$300,"*/"&amp;$B61,История!$H$5:$H$300),8))</f>
        <v/>
      </c>
      <c r="D61" s="240">
        <f>IF($B61="","",ROUND(SUMIF(Торговля!$E$5:$E$300,$B61&amp;"/*",Торговля!$I$5:$I$300)+SUMIF(Торговля!$E$5:$E$300,"*/"&amp;$B61,Торговля!$H$5:$H$300)+SUMIF(Лэндинг!$E$5:$E$300,$B61&amp;"/*",Лэндинг!$I$5:$I$300)+SUMIF(Лэндинг!$E$5:$E$300,"*/"&amp;$B61,Лэндинг!$H$5:$H$300)+SUMIF(Закрытые!$E$5:$E$300,$B61&amp;"/*",Закрытые!$I$5:$I$300)+SUMIF(Закрытые!$E$5:$E$300,"*/"&amp;$B61,Закрытые!$H$5:$H$300)+SUMIF(История!$B$5:$B$300,$B61&amp;"/*",История!$F$5:$F$300)+SUMIF(История!$B$5:$B$300,"*/"&amp;$B61,История!$E$5:$E$300),8))</f>
        <v/>
      </c>
      <c r="E61" s="339">
        <f>IF($B61="","",ROUND(C61-D61,8))</f>
        <v/>
      </c>
    </row>
    <row r="62" ht="22" customHeight="1">
      <c r="B62" s="320" t="inlineStr">
        <is>
          <t>XEM</t>
        </is>
      </c>
      <c r="C62" s="240">
        <f>IF($B62="","",ROUND(SUMIF(Торговля!$E$5:$E$300,$B62&amp;"/*",Торговля!$F$5:$F$300)+SUMIF(Торговля!$E$5:$E$300,"*/"&amp;$B62,Торговля!$K$5:$K$300)+SUMIF(Лэндинг!$E$5:$E$300,$B62&amp;"/*",Лэндинг!$F$5:$F$300)+SUMIF(Лэндинг!$E$5:$E$300,"*/"&amp;$B62,Лэндинг!$K$5:$K$300)+SUMIF(Закрытые!$E$5:$E$300,$B62&amp;"/*",Закрытые!$F$5:$F$300)+SUMIF(Закрытые!$E$5:$E$300,"*/"&amp;$B62,Закрытые!$K$5:$K$300)+SUMIF(История!$B$5:$B$300,$B62&amp;"/*",История!$C$5:$C$300)+SUMIF(История!$B$5:$B$300,"*/"&amp;$B62,История!$H$5:$H$300),8))</f>
        <v/>
      </c>
      <c r="D62" s="240">
        <f>IF($B62="","",ROUND(SUMIF(Торговля!$E$5:$E$300,$B62&amp;"/*",Торговля!$I$5:$I$300)+SUMIF(Торговля!$E$5:$E$300,"*/"&amp;$B62,Торговля!$H$5:$H$300)+SUMIF(Лэндинг!$E$5:$E$300,$B62&amp;"/*",Лэндинг!$I$5:$I$300)+SUMIF(Лэндинг!$E$5:$E$300,"*/"&amp;$B62,Лэндинг!$H$5:$H$300)+SUMIF(Закрытые!$E$5:$E$300,$B62&amp;"/*",Закрытые!$I$5:$I$300)+SUMIF(Закрытые!$E$5:$E$300,"*/"&amp;$B62,Закрытые!$H$5:$H$300)+SUMIF(История!$B$5:$B$300,$B62&amp;"/*",История!$F$5:$F$300)+SUMIF(История!$B$5:$B$300,"*/"&amp;$B62,История!$E$5:$E$300),8))</f>
        <v/>
      </c>
      <c r="E62" s="339">
        <f>IF($B62="","",ROUND(C62-D62,8))</f>
        <v/>
      </c>
    </row>
    <row r="63" ht="22" customHeight="1">
      <c r="B63" s="315" t="inlineStr">
        <is>
          <t>XLM</t>
        </is>
      </c>
      <c r="C63" s="240">
        <f>IF($B63="","",ROUND(SUMIF(Торговля!$E$5:$E$300,$B63&amp;"/*",Торговля!$F$5:$F$300)+SUMIF(Торговля!$E$5:$E$300,"*/"&amp;$B63,Торговля!$K$5:$K$300)+SUMIF(Лэндинг!$E$5:$E$300,$B63&amp;"/*",Лэндинг!$F$5:$F$300)+SUMIF(Лэндинг!$E$5:$E$300,"*/"&amp;$B63,Лэндинг!$K$5:$K$300)+SUMIF(Закрытые!$E$5:$E$300,$B63&amp;"/*",Закрытые!$F$5:$F$300)+SUMIF(Закрытые!$E$5:$E$300,"*/"&amp;$B63,Закрытые!$K$5:$K$300)+SUMIF(История!$B$5:$B$300,$B63&amp;"/*",История!$C$5:$C$300)+SUMIF(История!$B$5:$B$300,"*/"&amp;$B63,История!$H$5:$H$300),8))</f>
        <v/>
      </c>
      <c r="D63" s="240">
        <f>IF($B63="","",ROUND(SUMIF(Торговля!$E$5:$E$300,$B63&amp;"/*",Торговля!$I$5:$I$300)+SUMIF(Торговля!$E$5:$E$300,"*/"&amp;$B63,Торговля!$H$5:$H$300)+SUMIF(Лэндинг!$E$5:$E$300,$B63&amp;"/*",Лэндинг!$I$5:$I$300)+SUMIF(Лэндинг!$E$5:$E$300,"*/"&amp;$B63,Лэндинг!$H$5:$H$300)+SUMIF(Закрытые!$E$5:$E$300,$B63&amp;"/*",Закрытые!$I$5:$I$300)+SUMIF(Закрытые!$E$5:$E$300,"*/"&amp;$B63,Закрытые!$H$5:$H$300)+SUMIF(История!$B$5:$B$300,$B63&amp;"/*",История!$F$5:$F$300)+SUMIF(История!$B$5:$B$300,"*/"&amp;$B63,История!$E$5:$E$300),8))</f>
        <v/>
      </c>
      <c r="E63" s="339">
        <f>IF($B63="","",ROUND(C63-D63,8))</f>
        <v/>
      </c>
    </row>
    <row r="64" ht="22" customHeight="1">
      <c r="B64" s="320" t="inlineStr">
        <is>
          <t>XMR</t>
        </is>
      </c>
      <c r="C64" s="240">
        <f>IF($B64="","",ROUND(SUMIF(Торговля!$E$5:$E$300,$B64&amp;"/*",Торговля!$F$5:$F$300)+SUMIF(Торговля!$E$5:$E$300,"*/"&amp;$B64,Торговля!$K$5:$K$300)+SUMIF(Лэндинг!$E$5:$E$300,$B64&amp;"/*",Лэндинг!$F$5:$F$300)+SUMIF(Лэндинг!$E$5:$E$300,"*/"&amp;$B64,Лэндинг!$K$5:$K$300)+SUMIF(Закрытые!$E$5:$E$300,$B64&amp;"/*",Закрытые!$F$5:$F$300)+SUMIF(Закрытые!$E$5:$E$300,"*/"&amp;$B64,Закрытые!$K$5:$K$300)+SUMIF(История!$B$5:$B$300,$B64&amp;"/*",История!$C$5:$C$300)+SUMIF(История!$B$5:$B$300,"*/"&amp;$B64,История!$H$5:$H$300),8))</f>
        <v/>
      </c>
      <c r="D64" s="240">
        <f>IF($B64="","",ROUND(SUMIF(Торговля!$E$5:$E$300,$B64&amp;"/*",Торговля!$I$5:$I$300)+SUMIF(Торговля!$E$5:$E$300,"*/"&amp;$B64,Торговля!$H$5:$H$300)+SUMIF(Лэндинг!$E$5:$E$300,$B64&amp;"/*",Лэндинг!$I$5:$I$300)+SUMIF(Лэндинг!$E$5:$E$300,"*/"&amp;$B64,Лэндинг!$H$5:$H$300)+SUMIF(Закрытые!$E$5:$E$300,$B64&amp;"/*",Закрытые!$I$5:$I$300)+SUMIF(Закрытые!$E$5:$E$300,"*/"&amp;$B64,Закрытые!$H$5:$H$300)+SUMIF(История!$B$5:$B$300,$B64&amp;"/*",История!$F$5:$F$300)+SUMIF(История!$B$5:$B$300,"*/"&amp;$B64,История!$E$5:$E$300),8))</f>
        <v/>
      </c>
      <c r="E64" s="339">
        <f>IF($B64="","",ROUND(C64-D64,8))</f>
        <v/>
      </c>
    </row>
    <row r="65" ht="22" customHeight="1">
      <c r="B65" s="315" t="inlineStr">
        <is>
          <t>XRP</t>
        </is>
      </c>
      <c r="C65" s="240">
        <f>IF($B65="","",ROUND(SUMIF(Торговля!$E$5:$E$300,$B65&amp;"/*",Торговля!$F$5:$F$300)+SUMIF(Торговля!$E$5:$E$300,"*/"&amp;$B65,Торговля!$K$5:$K$300)+SUMIF(Лэндинг!$E$5:$E$300,$B65&amp;"/*",Лэндинг!$F$5:$F$300)+SUMIF(Лэндинг!$E$5:$E$300,"*/"&amp;$B65,Лэндинг!$K$5:$K$300)+SUMIF(Закрытые!$E$5:$E$300,$B65&amp;"/*",Закрытые!$F$5:$F$300)+SUMIF(Закрытые!$E$5:$E$300,"*/"&amp;$B65,Закрытые!$K$5:$K$300)+SUMIF(История!$B$5:$B$300,$B65&amp;"/*",История!$C$5:$C$300)+SUMIF(История!$B$5:$B$300,"*/"&amp;$B65,История!$H$5:$H$300),8))</f>
        <v/>
      </c>
      <c r="D65" s="240">
        <f>IF($B65="","",ROUND(SUMIF(Торговля!$E$5:$E$300,$B65&amp;"/*",Торговля!$I$5:$I$300)+SUMIF(Торговля!$E$5:$E$300,"*/"&amp;$B65,Торговля!$H$5:$H$300)+SUMIF(Лэндинг!$E$5:$E$300,$B65&amp;"/*",Лэндинг!$I$5:$I$300)+SUMIF(Лэндинг!$E$5:$E$300,"*/"&amp;$B65,Лэндинг!$H$5:$H$300)+SUMIF(Закрытые!$E$5:$E$300,$B65&amp;"/*",Закрытые!$I$5:$I$300)+SUMIF(Закрытые!$E$5:$E$300,"*/"&amp;$B65,Закрытые!$H$5:$H$300)+SUMIF(История!$B$5:$B$300,$B65&amp;"/*",История!$F$5:$F$300)+SUMIF(История!$B$5:$B$300,"*/"&amp;$B65,История!$E$5:$E$300),8))</f>
        <v/>
      </c>
      <c r="E65" s="339">
        <f>IF($B65="","",ROUND(C65-D65,8))</f>
        <v/>
      </c>
    </row>
    <row r="66" ht="22" customHeight="1">
      <c r="B66" s="320" t="inlineStr">
        <is>
          <t>XTZ</t>
        </is>
      </c>
      <c r="C66" s="240">
        <f>IF($B66="","",ROUND(SUMIF(Торговля!$E$5:$E$300,$B66&amp;"/*",Торговля!$F$5:$F$300)+SUMIF(Торговля!$E$5:$E$300,"*/"&amp;$B66,Торговля!$K$5:$K$300)+SUMIF(Лэндинг!$E$5:$E$300,$B66&amp;"/*",Лэндинг!$F$5:$F$300)+SUMIF(Лэндинг!$E$5:$E$300,"*/"&amp;$B66,Лэндинг!$K$5:$K$300)+SUMIF(Закрытые!$E$5:$E$300,$B66&amp;"/*",Закрытые!$F$5:$F$300)+SUMIF(Закрытые!$E$5:$E$300,"*/"&amp;$B66,Закрытые!$K$5:$K$300)+SUMIF(История!$B$5:$B$300,$B66&amp;"/*",История!$C$5:$C$300)+SUMIF(История!$B$5:$B$300,"*/"&amp;$B66,История!$H$5:$H$300),8))</f>
        <v/>
      </c>
      <c r="D66" s="240">
        <f>IF($B66="","",ROUND(SUMIF(Торговля!$E$5:$E$300,$B66&amp;"/*",Торговля!$I$5:$I$300)+SUMIF(Торговля!$E$5:$E$300,"*/"&amp;$B66,Торговля!$H$5:$H$300)+SUMIF(Лэндинг!$E$5:$E$300,$B66&amp;"/*",Лэндинг!$I$5:$I$300)+SUMIF(Лэндинг!$E$5:$E$300,"*/"&amp;$B66,Лэндинг!$H$5:$H$300)+SUMIF(Закрытые!$E$5:$E$300,$B66&amp;"/*",Закрытые!$I$5:$I$300)+SUMIF(Закрытые!$E$5:$E$300,"*/"&amp;$B66,Закрытые!$H$5:$H$300)+SUMIF(История!$B$5:$B$300,$B66&amp;"/*",История!$F$5:$F$300)+SUMIF(История!$B$5:$B$300,"*/"&amp;$B66,История!$E$5:$E$300),8))</f>
        <v/>
      </c>
      <c r="E66" s="339">
        <f>IF($B66="","",ROUND(C66-D66,8))</f>
        <v/>
      </c>
    </row>
    <row r="67" ht="22" customHeight="1">
      <c r="B67" s="315" t="inlineStr">
        <is>
          <t>ZEC</t>
        </is>
      </c>
      <c r="C67" s="240">
        <f>IF($B67="","",ROUND(SUMIF(Торговля!$E$5:$E$300,$B67&amp;"/*",Торговля!$F$5:$F$300)+SUMIF(Торговля!$E$5:$E$300,"*/"&amp;$B67,Торговля!$K$5:$K$300)+SUMIF(Лэндинг!$E$5:$E$300,$B67&amp;"/*",Лэндинг!$F$5:$F$300)+SUMIF(Лэндинг!$E$5:$E$300,"*/"&amp;$B67,Лэндинг!$K$5:$K$300)+SUMIF(Закрытые!$E$5:$E$300,$B67&amp;"/*",Закрытые!$F$5:$F$300)+SUMIF(Закрытые!$E$5:$E$300,"*/"&amp;$B67,Закрытые!$K$5:$K$300)+SUMIF(История!$B$5:$B$300,$B67&amp;"/*",История!$C$5:$C$300)+SUMIF(История!$B$5:$B$300,"*/"&amp;$B67,История!$H$5:$H$300),8))</f>
        <v/>
      </c>
      <c r="D67" s="240">
        <f>IF($B67="","",ROUND(SUMIF(Торговля!$E$5:$E$300,$B67&amp;"/*",Торговля!$I$5:$I$300)+SUMIF(Торговля!$E$5:$E$300,"*/"&amp;$B67,Торговля!$H$5:$H$300)+SUMIF(Лэндинг!$E$5:$E$300,$B67&amp;"/*",Лэндинг!$I$5:$I$300)+SUMIF(Лэндинг!$E$5:$E$300,"*/"&amp;$B67,Лэндинг!$H$5:$H$300)+SUMIF(Закрытые!$E$5:$E$300,$B67&amp;"/*",Закрытые!$I$5:$I$300)+SUMIF(Закрытые!$E$5:$E$300,"*/"&amp;$B67,Закрытые!$H$5:$H$300)+SUMIF(История!$B$5:$B$300,$B67&amp;"/*",История!$F$5:$F$300)+SUMIF(История!$B$5:$B$300,"*/"&amp;$B67,История!$E$5:$E$300),8))</f>
        <v/>
      </c>
      <c r="E67" s="339">
        <f>IF($B67="","",ROUND(C67-D67,8))</f>
        <v/>
      </c>
    </row>
    <row r="68" ht="22" customHeight="1">
      <c r="B68" s="320" t="inlineStr">
        <is>
          <t>ZRX</t>
        </is>
      </c>
      <c r="C68" s="240">
        <f>IF($B68="","",ROUND(SUMIF(Торговля!$E$5:$E$300,$B68&amp;"/*",Торговля!$F$5:$F$300)+SUMIF(Торговля!$E$5:$E$300,"*/"&amp;$B68,Торговля!$K$5:$K$300)+SUMIF(Лэндинг!$E$5:$E$300,$B68&amp;"/*",Лэндинг!$F$5:$F$300)+SUMIF(Лэндинг!$E$5:$E$300,"*/"&amp;$B68,Лэндинг!$K$5:$K$300)+SUMIF(Закрытые!$E$5:$E$300,$B68&amp;"/*",Закрытые!$F$5:$F$300)+SUMIF(Закрытые!$E$5:$E$300,"*/"&amp;$B68,Закрытые!$K$5:$K$300)+SUMIF(История!$B$5:$B$300,$B68&amp;"/*",История!$C$5:$C$300)+SUMIF(История!$B$5:$B$300,"*/"&amp;$B68,История!$H$5:$H$300),8))</f>
        <v/>
      </c>
      <c r="D68" s="240">
        <f>IF($B68="","",ROUND(SUMIF(Торговля!$E$5:$E$300,$B68&amp;"/*",Торговля!$I$5:$I$300)+SUMIF(Торговля!$E$5:$E$300,"*/"&amp;$B68,Торговля!$H$5:$H$300)+SUMIF(Лэндинг!$E$5:$E$300,$B68&amp;"/*",Лэндинг!$I$5:$I$300)+SUMIF(Лэндинг!$E$5:$E$300,"*/"&amp;$B68,Лэндинг!$H$5:$H$300)+SUMIF(Закрытые!$E$5:$E$300,$B68&amp;"/*",Закрытые!$I$5:$I$300)+SUMIF(Закрытые!$E$5:$E$300,"*/"&amp;$B68,Закрытые!$H$5:$H$300)+SUMIF(История!$B$5:$B$300,$B68&amp;"/*",История!$F$5:$F$300)+SUMIF(История!$B$5:$B$300,"*/"&amp;$B68,История!$E$5:$E$300),8))</f>
        <v/>
      </c>
      <c r="E68" s="339">
        <f>IF($B68="","",ROUND(C68-D68,8))</f>
        <v/>
      </c>
    </row>
    <row r="69" ht="22" customHeight="1">
      <c r="B69" s="315" t="n"/>
      <c r="C69" s="240">
        <f>IF($B69="","",ROUND(SUMIF(Торговля!$E$5:$E$300,$B69&amp;"/*",Торговля!$F$5:$F$300)+SUMIF(Торговля!$E$5:$E$300,"*/"&amp;$B69,Торговля!$K$5:$K$300)+SUMIF(Лэндинг!$E$5:$E$300,$B69&amp;"/*",Лэндинг!$F$5:$F$300)+SUMIF(Лэндинг!$E$5:$E$300,"*/"&amp;$B69,Лэндинг!$K$5:$K$300)+SUMIF(Закрытые!$E$5:$E$300,$B69&amp;"/*",Закрытые!$F$5:$F$300)+SUMIF(Закрытые!$E$5:$E$300,"*/"&amp;$B69,Закрытые!$K$5:$K$300)+SUMIF(История!$B$5:$B$300,$B69&amp;"/*",История!$C$5:$C$300)+SUMIF(История!$B$5:$B$300,"*/"&amp;$B69,История!$H$5:$H$300),8))</f>
        <v/>
      </c>
      <c r="D69" s="240">
        <f>IF($B69="","",ROUND(SUMIF(Торговля!$E$5:$E$300,$B69&amp;"/*",Торговля!$I$5:$I$300)+SUMIF(Торговля!$E$5:$E$300,"*/"&amp;$B69,Торговля!$H$5:$H$300)+SUMIF(Лэндинг!$E$5:$E$300,$B69&amp;"/*",Лэндинг!$I$5:$I$300)+SUMIF(Лэндинг!$E$5:$E$300,"*/"&amp;$B69,Лэндинг!$H$5:$H$300)+SUMIF(Закрытые!$E$5:$E$300,$B69&amp;"/*",Закрытые!$I$5:$I$300)+SUMIF(Закрытые!$E$5:$E$300,"*/"&amp;$B69,Закрытые!$H$5:$H$300)+SUMIF(История!$B$5:$B$300,$B69&amp;"/*",История!$F$5:$F$300)+SUMIF(История!$B$5:$B$300,"*/"&amp;$B69,История!$E$5:$E$300),8))</f>
        <v/>
      </c>
      <c r="E69" s="339">
        <f>IF($B69="","",ROUND(C69-D69,8))</f>
        <v/>
      </c>
    </row>
    <row r="70" ht="22" customHeight="1">
      <c r="B70" s="320" t="n"/>
      <c r="C70" s="240">
        <f>IF($B70="","",ROUND(SUMIF(Торговля!$E$5:$E$300,$B70&amp;"/*",Торговля!$F$5:$F$300)+SUMIF(Торговля!$E$5:$E$300,"*/"&amp;$B70,Торговля!$K$5:$K$300)+SUMIF(Лэндинг!$E$5:$E$300,$B70&amp;"/*",Лэндинг!$F$5:$F$300)+SUMIF(Лэндинг!$E$5:$E$300,"*/"&amp;$B70,Лэндинг!$K$5:$K$300)+SUMIF(Закрытые!$E$5:$E$300,$B70&amp;"/*",Закрытые!$F$5:$F$300)+SUMIF(Закрытые!$E$5:$E$300,"*/"&amp;$B70,Закрытые!$K$5:$K$300)+SUMIF(История!$B$5:$B$300,$B70&amp;"/*",История!$C$5:$C$300)+SUMIF(История!$B$5:$B$300,"*/"&amp;$B70,История!$H$5:$H$300),8))</f>
        <v/>
      </c>
      <c r="D70" s="240">
        <f>IF($B70="","",ROUND(SUMIF(Торговля!$E$5:$E$300,$B70&amp;"/*",Торговля!$I$5:$I$300)+SUMIF(Торговля!$E$5:$E$300,"*/"&amp;$B70,Торговля!$H$5:$H$300)+SUMIF(Лэндинг!$E$5:$E$300,$B70&amp;"/*",Лэндинг!$I$5:$I$300)+SUMIF(Лэндинг!$E$5:$E$300,"*/"&amp;$B70,Лэндинг!$H$5:$H$300)+SUMIF(Закрытые!$E$5:$E$300,$B70&amp;"/*",Закрытые!$I$5:$I$300)+SUMIF(Закрытые!$E$5:$E$300,"*/"&amp;$B70,Закрытые!$H$5:$H$300)+SUMIF(История!$B$5:$B$300,$B70&amp;"/*",История!$F$5:$F$300)+SUMIF(История!$B$5:$B$300,"*/"&amp;$B70,История!$E$5:$E$300),8))</f>
        <v/>
      </c>
      <c r="E70" s="339">
        <f>IF($B70="","",ROUND(C70-D70,8))</f>
        <v/>
      </c>
    </row>
    <row r="71" ht="22" customHeight="1">
      <c r="B71" s="315" t="n"/>
      <c r="C71" s="240">
        <f>IF($B71="","",ROUND(SUMIF(Торговля!$E$5:$E$300,$B71&amp;"/*",Торговля!$F$5:$F$300)+SUMIF(Торговля!$E$5:$E$300,"*/"&amp;$B71,Торговля!$K$5:$K$300)+SUMIF(Лэндинг!$E$5:$E$300,$B71&amp;"/*",Лэндинг!$F$5:$F$300)+SUMIF(Лэндинг!$E$5:$E$300,"*/"&amp;$B71,Лэндинг!$K$5:$K$300)+SUMIF(Закрытые!$E$5:$E$300,$B71&amp;"/*",Закрытые!$F$5:$F$300)+SUMIF(Закрытые!$E$5:$E$300,"*/"&amp;$B71,Закрытые!$K$5:$K$300)+SUMIF(История!$B$5:$B$300,$B71&amp;"/*",История!$C$5:$C$300)+SUMIF(История!$B$5:$B$300,"*/"&amp;$B71,История!$H$5:$H$300),8))</f>
        <v/>
      </c>
      <c r="D71" s="240">
        <f>IF($B71="","",ROUND(SUMIF(Торговля!$E$5:$E$300,$B71&amp;"/*",Торговля!$I$5:$I$300)+SUMIF(Торговля!$E$5:$E$300,"*/"&amp;$B71,Торговля!$H$5:$H$300)+SUMIF(Лэндинг!$E$5:$E$300,$B71&amp;"/*",Лэндинг!$I$5:$I$300)+SUMIF(Лэндинг!$E$5:$E$300,"*/"&amp;$B71,Лэндинг!$H$5:$H$300)+SUMIF(Закрытые!$E$5:$E$300,$B71&amp;"/*",Закрытые!$I$5:$I$300)+SUMIF(Закрытые!$E$5:$E$300,"*/"&amp;$B71,Закрытые!$H$5:$H$300)+SUMIF(История!$B$5:$B$300,$B71&amp;"/*",История!$F$5:$F$300)+SUMIF(История!$B$5:$B$300,"*/"&amp;$B71,История!$E$5:$E$300),8))</f>
        <v/>
      </c>
      <c r="E71" s="339">
        <f>IF($B71="","",ROUND(C71-D71,8))</f>
        <v/>
      </c>
    </row>
    <row r="72" ht="22" customHeight="1">
      <c r="B72" s="320" t="n"/>
      <c r="C72" s="240">
        <f>IF($B72="","",ROUND(SUMIF(Торговля!$E$5:$E$300,$B72&amp;"/*",Торговля!$F$5:$F$300)+SUMIF(Торговля!$E$5:$E$300,"*/"&amp;$B72,Торговля!$K$5:$K$300)+SUMIF(Лэндинг!$E$5:$E$300,$B72&amp;"/*",Лэндинг!$F$5:$F$300)+SUMIF(Лэндинг!$E$5:$E$300,"*/"&amp;$B72,Лэндинг!$K$5:$K$300)+SUMIF(Закрытые!$E$5:$E$300,$B72&amp;"/*",Закрытые!$F$5:$F$300)+SUMIF(Закрытые!$E$5:$E$300,"*/"&amp;$B72,Закрытые!$K$5:$K$300)+SUMIF(История!$B$5:$B$300,$B72&amp;"/*",История!$C$5:$C$300)+SUMIF(История!$B$5:$B$300,"*/"&amp;$B72,История!$H$5:$H$300),8))</f>
        <v/>
      </c>
      <c r="D72" s="240">
        <f>IF($B72="","",ROUND(SUMIF(Торговля!$E$5:$E$300,$B72&amp;"/*",Торговля!$I$5:$I$300)+SUMIF(Торговля!$E$5:$E$300,"*/"&amp;$B72,Торговля!$H$5:$H$300)+SUMIF(Лэндинг!$E$5:$E$300,$B72&amp;"/*",Лэндинг!$I$5:$I$300)+SUMIF(Лэндинг!$E$5:$E$300,"*/"&amp;$B72,Лэндинг!$H$5:$H$300)+SUMIF(Закрытые!$E$5:$E$300,$B72&amp;"/*",Закрытые!$I$5:$I$300)+SUMIF(Закрытые!$E$5:$E$300,"*/"&amp;$B72,Закрытые!$H$5:$H$300)+SUMIF(История!$B$5:$B$300,$B72&amp;"/*",История!$F$5:$F$300)+SUMIF(История!$B$5:$B$300,"*/"&amp;$B72,История!$E$5:$E$300),8))</f>
        <v/>
      </c>
      <c r="E72" s="339">
        <f>IF($B72="","",ROUND(C72-D72,8))</f>
        <v/>
      </c>
    </row>
    <row r="73" ht="22" customHeight="1">
      <c r="B73" s="315" t="n"/>
      <c r="C73" s="240">
        <f>IF($B73="","",ROUND(SUMIF(Торговля!$E$5:$E$300,$B73&amp;"/*",Торговля!$F$5:$F$300)+SUMIF(Торговля!$E$5:$E$300,"*/"&amp;$B73,Торговля!$K$5:$K$300)+SUMIF(Лэндинг!$E$5:$E$300,$B73&amp;"/*",Лэндинг!$F$5:$F$300)+SUMIF(Лэндинг!$E$5:$E$300,"*/"&amp;$B73,Лэндинг!$K$5:$K$300)+SUMIF(Закрытые!$E$5:$E$300,$B73&amp;"/*",Закрытые!$F$5:$F$300)+SUMIF(Закрытые!$E$5:$E$300,"*/"&amp;$B73,Закрытые!$K$5:$K$300)+SUMIF(История!$B$5:$B$300,$B73&amp;"/*",История!$C$5:$C$300)+SUMIF(История!$B$5:$B$300,"*/"&amp;$B73,История!$H$5:$H$300),8))</f>
        <v/>
      </c>
      <c r="D73" s="240">
        <f>IF($B73="","",ROUND(SUMIF(Торговля!$E$5:$E$300,$B73&amp;"/*",Торговля!$I$5:$I$300)+SUMIF(Торговля!$E$5:$E$300,"*/"&amp;$B73,Торговля!$H$5:$H$300)+SUMIF(Лэндинг!$E$5:$E$300,$B73&amp;"/*",Лэндинг!$I$5:$I$300)+SUMIF(Лэндинг!$E$5:$E$300,"*/"&amp;$B73,Лэндинг!$H$5:$H$300)+SUMIF(Закрытые!$E$5:$E$300,$B73&amp;"/*",Закрытые!$I$5:$I$300)+SUMIF(Закрытые!$E$5:$E$300,"*/"&amp;$B73,Закрытые!$H$5:$H$300)+SUMIF(История!$B$5:$B$300,$B73&amp;"/*",История!$F$5:$F$300)+SUMIF(История!$B$5:$B$300,"*/"&amp;$B73,История!$E$5:$E$300),8))</f>
        <v/>
      </c>
      <c r="E73" s="339">
        <f>IF($B73="","",ROUND(C73-D73,8))</f>
        <v/>
      </c>
    </row>
    <row r="74" ht="22" customHeight="1">
      <c r="B74" s="320" t="n"/>
      <c r="C74" s="240">
        <f>IF($B74="","",ROUND(SUMIF(Торговля!$E$5:$E$300,$B74&amp;"/*",Торговля!$F$5:$F$300)+SUMIF(Торговля!$E$5:$E$300,"*/"&amp;$B74,Торговля!$K$5:$K$300)+SUMIF(Лэндинг!$E$5:$E$300,$B74&amp;"/*",Лэндинг!$F$5:$F$300)+SUMIF(Лэндинг!$E$5:$E$300,"*/"&amp;$B74,Лэндинг!$K$5:$K$300)+SUMIF(Закрытые!$E$5:$E$300,$B74&amp;"/*",Закрытые!$F$5:$F$300)+SUMIF(Закрытые!$E$5:$E$300,"*/"&amp;$B74,Закрытые!$K$5:$K$300)+SUMIF(История!$B$5:$B$300,$B74&amp;"/*",История!$C$5:$C$300)+SUMIF(История!$B$5:$B$300,"*/"&amp;$B74,История!$H$5:$H$300),8))</f>
        <v/>
      </c>
      <c r="D74" s="240">
        <f>IF($B74="","",ROUND(SUMIF(Торговля!$E$5:$E$300,$B74&amp;"/*",Торговля!$I$5:$I$300)+SUMIF(Торговля!$E$5:$E$300,"*/"&amp;$B74,Торговля!$H$5:$H$300)+SUMIF(Лэндинг!$E$5:$E$300,$B74&amp;"/*",Лэндинг!$I$5:$I$300)+SUMIF(Лэндинг!$E$5:$E$300,"*/"&amp;$B74,Лэндинг!$H$5:$H$300)+SUMIF(Закрытые!$E$5:$E$300,$B74&amp;"/*",Закрытые!$I$5:$I$300)+SUMIF(Закрытые!$E$5:$E$300,"*/"&amp;$B74,Закрытые!$H$5:$H$300)+SUMIF(История!$B$5:$B$300,$B74&amp;"/*",История!$F$5:$F$300)+SUMIF(История!$B$5:$B$300,"*/"&amp;$B74,История!$E$5:$E$300),8))</f>
        <v/>
      </c>
      <c r="E74" s="339">
        <f>IF($B74="","",ROUND(C74-D74,8))</f>
        <v/>
      </c>
    </row>
    <row r="75" ht="22" customHeight="1">
      <c r="B75" s="315" t="n"/>
      <c r="C75" s="240">
        <f>IF($B75="","",ROUND(SUMIF(Торговля!$E$5:$E$300,$B75&amp;"/*",Торговля!$F$5:$F$300)+SUMIF(Торговля!$E$5:$E$300,"*/"&amp;$B75,Торговля!$K$5:$K$300)+SUMIF(Лэндинг!$E$5:$E$300,$B75&amp;"/*",Лэндинг!$F$5:$F$300)+SUMIF(Лэндинг!$E$5:$E$300,"*/"&amp;$B75,Лэндинг!$K$5:$K$300)+SUMIF(Закрытые!$E$5:$E$300,$B75&amp;"/*",Закрытые!$F$5:$F$300)+SUMIF(Закрытые!$E$5:$E$300,"*/"&amp;$B75,Закрытые!$K$5:$K$300)+SUMIF(История!$B$5:$B$300,$B75&amp;"/*",История!$C$5:$C$300)+SUMIF(История!$B$5:$B$300,"*/"&amp;$B75,История!$H$5:$H$300),8))</f>
        <v/>
      </c>
      <c r="D75" s="240">
        <f>IF($B75="","",ROUND(SUMIF(Торговля!$E$5:$E$300,$B75&amp;"/*",Торговля!$I$5:$I$300)+SUMIF(Торговля!$E$5:$E$300,"*/"&amp;$B75,Торговля!$H$5:$H$300)+SUMIF(Лэндинг!$E$5:$E$300,$B75&amp;"/*",Лэндинг!$I$5:$I$300)+SUMIF(Лэндинг!$E$5:$E$300,"*/"&amp;$B75,Лэндинг!$H$5:$H$300)+SUMIF(Закрытые!$E$5:$E$300,$B75&amp;"/*",Закрытые!$I$5:$I$300)+SUMIF(Закрытые!$E$5:$E$300,"*/"&amp;$B75,Закрытые!$H$5:$H$300)+SUMIF(История!$B$5:$B$300,$B75&amp;"/*",История!$F$5:$F$300)+SUMIF(История!$B$5:$B$300,"*/"&amp;$B75,История!$E$5:$E$300),8))</f>
        <v/>
      </c>
      <c r="E75" s="339">
        <f>IF($B75="","",ROUND(C75-D75,8))</f>
        <v/>
      </c>
    </row>
    <row r="76" ht="22" customHeight="1">
      <c r="B76" s="320" t="n"/>
      <c r="C76" s="240">
        <f>IF($B76="","",ROUND(SUMIF(Торговля!$E$5:$E$300,$B76&amp;"/*",Торговля!$F$5:$F$300)+SUMIF(Торговля!$E$5:$E$300,"*/"&amp;$B76,Торговля!$K$5:$K$300)+SUMIF(Лэндинг!$E$5:$E$300,$B76&amp;"/*",Лэндинг!$F$5:$F$300)+SUMIF(Лэндинг!$E$5:$E$300,"*/"&amp;$B76,Лэндинг!$K$5:$K$300)+SUMIF(Закрытые!$E$5:$E$300,$B76&amp;"/*",Закрытые!$F$5:$F$300)+SUMIF(Закрытые!$E$5:$E$300,"*/"&amp;$B76,Закрытые!$K$5:$K$300)+SUMIF(История!$B$5:$B$300,$B76&amp;"/*",История!$C$5:$C$300)+SUMIF(История!$B$5:$B$300,"*/"&amp;$B76,История!$H$5:$H$300),8))</f>
        <v/>
      </c>
      <c r="D76" s="240">
        <f>IF($B76="","",ROUND(SUMIF(Торговля!$E$5:$E$300,$B76&amp;"/*",Торговля!$I$5:$I$300)+SUMIF(Торговля!$E$5:$E$300,"*/"&amp;$B76,Торговля!$H$5:$H$300)+SUMIF(Лэндинг!$E$5:$E$300,$B76&amp;"/*",Лэндинг!$I$5:$I$300)+SUMIF(Лэндинг!$E$5:$E$300,"*/"&amp;$B76,Лэндинг!$H$5:$H$300)+SUMIF(Закрытые!$E$5:$E$300,$B76&amp;"/*",Закрытые!$I$5:$I$300)+SUMIF(Закрытые!$E$5:$E$300,"*/"&amp;$B76,Закрытые!$H$5:$H$300)+SUMIF(История!$B$5:$B$300,$B76&amp;"/*",История!$F$5:$F$300)+SUMIF(История!$B$5:$B$300,"*/"&amp;$B76,История!$E$5:$E$300),8))</f>
        <v/>
      </c>
      <c r="E76" s="339">
        <f>IF($B76="","",ROUND(C76-D76,8))</f>
        <v/>
      </c>
    </row>
    <row r="77" ht="22" customHeight="1">
      <c r="B77" s="315" t="n"/>
      <c r="C77" s="240">
        <f>IF($B77="","",ROUND(SUMIF(Торговля!$E$5:$E$300,$B77&amp;"/*",Торговля!$F$5:$F$300)+SUMIF(Торговля!$E$5:$E$300,"*/"&amp;$B77,Торговля!$K$5:$K$300)+SUMIF(Лэндинг!$E$5:$E$300,$B77&amp;"/*",Лэндинг!$F$5:$F$300)+SUMIF(Лэндинг!$E$5:$E$300,"*/"&amp;$B77,Лэндинг!$K$5:$K$300)+SUMIF(Закрытые!$E$5:$E$300,$B77&amp;"/*",Закрытые!$F$5:$F$300)+SUMIF(Закрытые!$E$5:$E$300,"*/"&amp;$B77,Закрытые!$K$5:$K$300)+SUMIF(История!$B$5:$B$300,$B77&amp;"/*",История!$C$5:$C$300)+SUMIF(История!$B$5:$B$300,"*/"&amp;$B77,История!$H$5:$H$300),8))</f>
        <v/>
      </c>
      <c r="D77" s="240">
        <f>IF($B77="","",ROUND(SUMIF(Торговля!$E$5:$E$300,$B77&amp;"/*",Торговля!$I$5:$I$300)+SUMIF(Торговля!$E$5:$E$300,"*/"&amp;$B77,Торговля!$H$5:$H$300)+SUMIF(Лэндинг!$E$5:$E$300,$B77&amp;"/*",Лэндинг!$I$5:$I$300)+SUMIF(Лэндинг!$E$5:$E$300,"*/"&amp;$B77,Лэндинг!$H$5:$H$300)+SUMIF(Закрытые!$E$5:$E$300,$B77&amp;"/*",Закрытые!$I$5:$I$300)+SUMIF(Закрытые!$E$5:$E$300,"*/"&amp;$B77,Закрытые!$H$5:$H$300)+SUMIF(История!$B$5:$B$300,$B77&amp;"/*",История!$F$5:$F$300)+SUMIF(История!$B$5:$B$300,"*/"&amp;$B77,История!$E$5:$E$300),8))</f>
        <v/>
      </c>
      <c r="E77" s="339">
        <f>IF($B77="","",ROUND(C77-D77,8))</f>
        <v/>
      </c>
    </row>
    <row r="78" ht="22" customHeight="1">
      <c r="B78" s="320" t="n"/>
      <c r="C78" s="240">
        <f>IF($B78="","",ROUND(SUMIF(Торговля!$E$5:$E$300,$B78&amp;"/*",Торговля!$F$5:$F$300)+SUMIF(Торговля!$E$5:$E$300,"*/"&amp;$B78,Торговля!$K$5:$K$300)+SUMIF(Лэндинг!$E$5:$E$300,$B78&amp;"/*",Лэндинг!$F$5:$F$300)+SUMIF(Лэндинг!$E$5:$E$300,"*/"&amp;$B78,Лэндинг!$K$5:$K$300)+SUMIF(Закрытые!$E$5:$E$300,$B78&amp;"/*",Закрытые!$F$5:$F$300)+SUMIF(Закрытые!$E$5:$E$300,"*/"&amp;$B78,Закрытые!$K$5:$K$300)+SUMIF(История!$B$5:$B$300,$B78&amp;"/*",История!$C$5:$C$300)+SUMIF(История!$B$5:$B$300,"*/"&amp;$B78,История!$H$5:$H$300),8))</f>
        <v/>
      </c>
      <c r="D78" s="240">
        <f>IF($B78="","",ROUND(SUMIF(Торговля!$E$5:$E$300,$B78&amp;"/*",Торговля!$I$5:$I$300)+SUMIF(Торговля!$E$5:$E$300,"*/"&amp;$B78,Торговля!$H$5:$H$300)+SUMIF(Лэндинг!$E$5:$E$300,$B78&amp;"/*",Лэндинг!$I$5:$I$300)+SUMIF(Лэндинг!$E$5:$E$300,"*/"&amp;$B78,Лэндинг!$H$5:$H$300)+SUMIF(Закрытые!$E$5:$E$300,$B78&amp;"/*",Закрытые!$I$5:$I$300)+SUMIF(Закрытые!$E$5:$E$300,"*/"&amp;$B78,Закрытые!$H$5:$H$300)+SUMIF(История!$B$5:$B$300,$B78&amp;"/*",История!$F$5:$F$300)+SUMIF(История!$B$5:$B$300,"*/"&amp;$B78,История!$E$5:$E$300),8))</f>
        <v/>
      </c>
      <c r="E78" s="339">
        <f>IF($B78="","",ROUND(C78-D78,8))</f>
        <v/>
      </c>
    </row>
    <row r="79" ht="22" customHeight="1">
      <c r="B79" s="315" t="n"/>
      <c r="C79" s="240">
        <f>IF($B79="","",ROUND(SUMIF(Торговля!$E$5:$E$300,$B79&amp;"/*",Торговля!$F$5:$F$300)+SUMIF(Торговля!$E$5:$E$300,"*/"&amp;$B79,Торговля!$K$5:$K$300)+SUMIF(Лэндинг!$E$5:$E$300,$B79&amp;"/*",Лэндинг!$F$5:$F$300)+SUMIF(Лэндинг!$E$5:$E$300,"*/"&amp;$B79,Лэндинг!$K$5:$K$300)+SUMIF(Закрытые!$E$5:$E$300,$B79&amp;"/*",Закрытые!$F$5:$F$300)+SUMIF(Закрытые!$E$5:$E$300,"*/"&amp;$B79,Закрытые!$K$5:$K$300)+SUMIF(История!$B$5:$B$300,$B79&amp;"/*",История!$C$5:$C$300)+SUMIF(История!$B$5:$B$300,"*/"&amp;$B79,История!$H$5:$H$300),8))</f>
        <v/>
      </c>
      <c r="D79" s="240">
        <f>IF($B79="","",ROUND(SUMIF(Торговля!$E$5:$E$300,$B79&amp;"/*",Торговля!$I$5:$I$300)+SUMIF(Торговля!$E$5:$E$300,"*/"&amp;$B79,Торговля!$H$5:$H$300)+SUMIF(Лэндинг!$E$5:$E$300,$B79&amp;"/*",Лэндинг!$I$5:$I$300)+SUMIF(Лэндинг!$E$5:$E$300,"*/"&amp;$B79,Лэндинг!$H$5:$H$300)+SUMIF(Закрытые!$E$5:$E$300,$B79&amp;"/*",Закрытые!$I$5:$I$300)+SUMIF(Закрытые!$E$5:$E$300,"*/"&amp;$B79,Закрытые!$H$5:$H$300)+SUMIF(История!$B$5:$B$300,$B79&amp;"/*",История!$F$5:$F$300)+SUMIF(История!$B$5:$B$300,"*/"&amp;$B79,История!$E$5:$E$300),8))</f>
        <v/>
      </c>
      <c r="E79" s="339">
        <f>IF($B79="","",ROUND(C79-D79,8))</f>
        <v/>
      </c>
    </row>
    <row r="80" ht="22" customHeight="1">
      <c r="B80" s="320" t="n"/>
      <c r="C80" s="240">
        <f>IF($B80="","",ROUND(SUMIF(Торговля!$E$5:$E$300,$B80&amp;"/*",Торговля!$F$5:$F$300)+SUMIF(Торговля!$E$5:$E$300,"*/"&amp;$B80,Торговля!$K$5:$K$300)+SUMIF(Лэндинг!$E$5:$E$300,$B80&amp;"/*",Лэндинг!$F$5:$F$300)+SUMIF(Лэндинг!$E$5:$E$300,"*/"&amp;$B80,Лэндинг!$K$5:$K$300)+SUMIF(Закрытые!$E$5:$E$300,$B80&amp;"/*",Закрытые!$F$5:$F$300)+SUMIF(Закрытые!$E$5:$E$300,"*/"&amp;$B80,Закрытые!$K$5:$K$300)+SUMIF(История!$B$5:$B$300,$B80&amp;"/*",История!$C$5:$C$300)+SUMIF(История!$B$5:$B$300,"*/"&amp;$B80,История!$H$5:$H$300),8))</f>
        <v/>
      </c>
      <c r="D80" s="240">
        <f>IF($B80="","",ROUND(SUMIF(Торговля!$E$5:$E$300,$B80&amp;"/*",Торговля!$I$5:$I$300)+SUMIF(Торговля!$E$5:$E$300,"*/"&amp;$B80,Торговля!$H$5:$H$300)+SUMIF(Лэндинг!$E$5:$E$300,$B80&amp;"/*",Лэндинг!$I$5:$I$300)+SUMIF(Лэндинг!$E$5:$E$300,"*/"&amp;$B80,Лэндинг!$H$5:$H$300)+SUMIF(Закрытые!$E$5:$E$300,$B80&amp;"/*",Закрытые!$I$5:$I$300)+SUMIF(Закрытые!$E$5:$E$300,"*/"&amp;$B80,Закрытые!$H$5:$H$300)+SUMIF(История!$B$5:$B$300,$B80&amp;"/*",История!$F$5:$F$300)+SUMIF(История!$B$5:$B$300,"*/"&amp;$B80,История!$E$5:$E$300),8))</f>
        <v/>
      </c>
      <c r="E80" s="339">
        <f>IF($B80="","",ROUND(C80-D80,8))</f>
        <v/>
      </c>
    </row>
    <row r="81" ht="22" customHeight="1">
      <c r="B81" s="315" t="n"/>
      <c r="C81" s="240">
        <f>IF($B81="","",ROUND(SUMIF(Торговля!$E$5:$E$300,$B81&amp;"/*",Торговля!$F$5:$F$300)+SUMIF(Торговля!$E$5:$E$300,"*/"&amp;$B81,Торговля!$K$5:$K$300)+SUMIF(Лэндинг!$E$5:$E$300,$B81&amp;"/*",Лэндинг!$F$5:$F$300)+SUMIF(Лэндинг!$E$5:$E$300,"*/"&amp;$B81,Лэндинг!$K$5:$K$300)+SUMIF(Закрытые!$E$5:$E$300,$B81&amp;"/*",Закрытые!$F$5:$F$300)+SUMIF(Закрытые!$E$5:$E$300,"*/"&amp;$B81,Закрытые!$K$5:$K$300)+SUMIF(История!$B$5:$B$300,$B81&amp;"/*",История!$C$5:$C$300)+SUMIF(История!$B$5:$B$300,"*/"&amp;$B81,История!$H$5:$H$300),8))</f>
        <v/>
      </c>
      <c r="D81" s="240">
        <f>IF($B81="","",ROUND(SUMIF(Торговля!$E$5:$E$300,$B81&amp;"/*",Торговля!$I$5:$I$300)+SUMIF(Торговля!$E$5:$E$300,"*/"&amp;$B81,Торговля!$H$5:$H$300)+SUMIF(Лэндинг!$E$5:$E$300,$B81&amp;"/*",Лэндинг!$I$5:$I$300)+SUMIF(Лэндинг!$E$5:$E$300,"*/"&amp;$B81,Лэндинг!$H$5:$H$300)+SUMIF(Закрытые!$E$5:$E$300,$B81&amp;"/*",Закрытые!$I$5:$I$300)+SUMIF(Закрытые!$E$5:$E$300,"*/"&amp;$B81,Закрытые!$H$5:$H$300)+SUMIF(История!$B$5:$B$300,$B81&amp;"/*",История!$F$5:$F$300)+SUMIF(История!$B$5:$B$300,"*/"&amp;$B81,История!$E$5:$E$300),8))</f>
        <v/>
      </c>
      <c r="E81" s="339">
        <f>IF($B81="","",ROUND(C81-D81,8))</f>
        <v/>
      </c>
    </row>
    <row r="82" ht="22" customHeight="1">
      <c r="B82" s="320" t="n"/>
      <c r="C82" s="240">
        <f>IF($B82="","",ROUND(SUMIF(Торговля!$E$5:$E$300,$B82&amp;"/*",Торговля!$F$5:$F$300)+SUMIF(Торговля!$E$5:$E$300,"*/"&amp;$B82,Торговля!$K$5:$K$300)+SUMIF(Лэндинг!$E$5:$E$300,$B82&amp;"/*",Лэндинг!$F$5:$F$300)+SUMIF(Лэндинг!$E$5:$E$300,"*/"&amp;$B82,Лэндинг!$K$5:$K$300)+SUMIF(Закрытые!$E$5:$E$300,$B82&amp;"/*",Закрытые!$F$5:$F$300)+SUMIF(Закрытые!$E$5:$E$300,"*/"&amp;$B82,Закрытые!$K$5:$K$300)+SUMIF(История!$B$5:$B$300,$B82&amp;"/*",История!$C$5:$C$300)+SUMIF(История!$B$5:$B$300,"*/"&amp;$B82,История!$H$5:$H$300),8))</f>
        <v/>
      </c>
      <c r="D82" s="240">
        <f>IF($B82="","",ROUND(SUMIF(Торговля!$E$5:$E$300,$B82&amp;"/*",Торговля!$I$5:$I$300)+SUMIF(Торговля!$E$5:$E$300,"*/"&amp;$B82,Торговля!$H$5:$H$300)+SUMIF(Лэндинг!$E$5:$E$300,$B82&amp;"/*",Лэндинг!$I$5:$I$300)+SUMIF(Лэндинг!$E$5:$E$300,"*/"&amp;$B82,Лэндинг!$H$5:$H$300)+SUMIF(Закрытые!$E$5:$E$300,$B82&amp;"/*",Закрытые!$I$5:$I$300)+SUMIF(Закрытые!$E$5:$E$300,"*/"&amp;$B82,Закрытые!$H$5:$H$300)+SUMIF(История!$B$5:$B$300,$B82&amp;"/*",История!$F$5:$F$300)+SUMIF(История!$B$5:$B$300,"*/"&amp;$B82,История!$E$5:$E$300),8))</f>
        <v/>
      </c>
      <c r="E82" s="339">
        <f>IF($B82="","",ROUND(C82-D82,8))</f>
        <v/>
      </c>
    </row>
    <row r="83" ht="22" customHeight="1">
      <c r="B83" s="315" t="n"/>
      <c r="C83" s="240">
        <f>IF($B83="","",ROUND(SUMIF(Торговля!$E$5:$E$300,$B83&amp;"/*",Торговля!$F$5:$F$300)+SUMIF(Торговля!$E$5:$E$300,"*/"&amp;$B83,Торговля!$K$5:$K$300)+SUMIF(Лэндинг!$E$5:$E$300,$B83&amp;"/*",Лэндинг!$F$5:$F$300)+SUMIF(Лэндинг!$E$5:$E$300,"*/"&amp;$B83,Лэндинг!$K$5:$K$300)+SUMIF(Закрытые!$E$5:$E$300,$B83&amp;"/*",Закрытые!$F$5:$F$300)+SUMIF(Закрытые!$E$5:$E$300,"*/"&amp;$B83,Закрытые!$K$5:$K$300)+SUMIF(История!$B$5:$B$300,$B83&amp;"/*",История!$C$5:$C$300)+SUMIF(История!$B$5:$B$300,"*/"&amp;$B83,История!$H$5:$H$300),8))</f>
        <v/>
      </c>
      <c r="D83" s="240">
        <f>IF($B83="","",ROUND(SUMIF(Торговля!$E$5:$E$300,$B83&amp;"/*",Торговля!$I$5:$I$300)+SUMIF(Торговля!$E$5:$E$300,"*/"&amp;$B83,Торговля!$H$5:$H$300)+SUMIF(Лэндинг!$E$5:$E$300,$B83&amp;"/*",Лэндинг!$I$5:$I$300)+SUMIF(Лэндинг!$E$5:$E$300,"*/"&amp;$B83,Лэндинг!$H$5:$H$300)+SUMIF(Закрытые!$E$5:$E$300,$B83&amp;"/*",Закрытые!$I$5:$I$300)+SUMIF(Закрытые!$E$5:$E$300,"*/"&amp;$B83,Закрытые!$H$5:$H$300)+SUMIF(История!$B$5:$B$300,$B83&amp;"/*",История!$F$5:$F$300)+SUMIF(История!$B$5:$B$300,"*/"&amp;$B83,История!$E$5:$E$300),8))</f>
        <v/>
      </c>
      <c r="E83" s="339">
        <f>IF($B83="","",ROUND(C83-D83,8))</f>
        <v/>
      </c>
    </row>
    <row r="84" ht="22" customHeight="1">
      <c r="B84" s="320" t="n"/>
      <c r="C84" s="240">
        <f>IF($B84="","",ROUND(SUMIF(Торговля!$E$5:$E$300,$B84&amp;"/*",Торговля!$F$5:$F$300)+SUMIF(Торговля!$E$5:$E$300,"*/"&amp;$B84,Торговля!$K$5:$K$300)+SUMIF(Лэндинг!$E$5:$E$300,$B84&amp;"/*",Лэндинг!$F$5:$F$300)+SUMIF(Лэндинг!$E$5:$E$300,"*/"&amp;$B84,Лэндинг!$K$5:$K$300)+SUMIF(Закрытые!$E$5:$E$300,$B84&amp;"/*",Закрытые!$F$5:$F$300)+SUMIF(Закрытые!$E$5:$E$300,"*/"&amp;$B84,Закрытые!$K$5:$K$300)+SUMIF(История!$B$5:$B$300,$B84&amp;"/*",История!$C$5:$C$300)+SUMIF(История!$B$5:$B$300,"*/"&amp;$B84,История!$H$5:$H$300),8))</f>
        <v/>
      </c>
      <c r="D84" s="240">
        <f>IF($B84="","",ROUND(SUMIF(Торговля!$E$5:$E$300,$B84&amp;"/*",Торговля!$I$5:$I$300)+SUMIF(Торговля!$E$5:$E$300,"*/"&amp;$B84,Торговля!$H$5:$H$300)+SUMIF(Лэндинг!$E$5:$E$300,$B84&amp;"/*",Лэндинг!$I$5:$I$300)+SUMIF(Лэндинг!$E$5:$E$300,"*/"&amp;$B84,Лэндинг!$H$5:$H$300)+SUMIF(Закрытые!$E$5:$E$300,$B84&amp;"/*",Закрытые!$I$5:$I$300)+SUMIF(Закрытые!$E$5:$E$300,"*/"&amp;$B84,Закрытые!$H$5:$H$300)+SUMIF(История!$B$5:$B$300,$B84&amp;"/*",История!$F$5:$F$300)+SUMIF(История!$B$5:$B$300,"*/"&amp;$B84,История!$E$5:$E$300),8))</f>
        <v/>
      </c>
      <c r="E84" s="339">
        <f>IF($B84="","",ROUND(C84-D84,8))</f>
        <v/>
      </c>
    </row>
    <row r="85" ht="22" customHeight="1">
      <c r="B85" s="315" t="n"/>
      <c r="C85" s="240">
        <f>IF($B85="","",ROUND(SUMIF(Торговля!$E$5:$E$300,$B85&amp;"/*",Торговля!$F$5:$F$300)+SUMIF(Торговля!$E$5:$E$300,"*/"&amp;$B85,Торговля!$K$5:$K$300)+SUMIF(Лэндинг!$E$5:$E$300,$B85&amp;"/*",Лэндинг!$F$5:$F$300)+SUMIF(Лэндинг!$E$5:$E$300,"*/"&amp;$B85,Лэндинг!$K$5:$K$300)+SUMIF(Закрытые!$E$5:$E$300,$B85&amp;"/*",Закрытые!$F$5:$F$300)+SUMIF(Закрытые!$E$5:$E$300,"*/"&amp;$B85,Закрытые!$K$5:$K$300)+SUMIF(История!$B$5:$B$300,$B85&amp;"/*",История!$C$5:$C$300)+SUMIF(История!$B$5:$B$300,"*/"&amp;$B85,История!$H$5:$H$300),8))</f>
        <v/>
      </c>
      <c r="D85" s="240">
        <f>IF($B85="","",ROUND(SUMIF(Торговля!$E$5:$E$300,$B85&amp;"/*",Торговля!$I$5:$I$300)+SUMIF(Торговля!$E$5:$E$300,"*/"&amp;$B85,Торговля!$H$5:$H$300)+SUMIF(Лэндинг!$E$5:$E$300,$B85&amp;"/*",Лэндинг!$I$5:$I$300)+SUMIF(Лэндинг!$E$5:$E$300,"*/"&amp;$B85,Лэндинг!$H$5:$H$300)+SUMIF(Закрытые!$E$5:$E$300,$B85&amp;"/*",Закрытые!$I$5:$I$300)+SUMIF(Закрытые!$E$5:$E$300,"*/"&amp;$B85,Закрытые!$H$5:$H$300)+SUMIF(История!$B$5:$B$300,$B85&amp;"/*",История!$F$5:$F$300)+SUMIF(История!$B$5:$B$300,"*/"&amp;$B85,История!$E$5:$E$300),8))</f>
        <v/>
      </c>
      <c r="E85" s="339">
        <f>IF($B85="","",ROUND(C85-D85,8))</f>
        <v/>
      </c>
    </row>
    <row r="86" ht="22" customHeight="1">
      <c r="B86" s="320" t="n"/>
      <c r="C86" s="240">
        <f>IF($B86="","",ROUND(SUMIF(Торговля!$E$5:$E$300,$B86&amp;"/*",Торговля!$F$5:$F$300)+SUMIF(Торговля!$E$5:$E$300,"*/"&amp;$B86,Торговля!$K$5:$K$300)+SUMIF(Лэндинг!$E$5:$E$300,$B86&amp;"/*",Лэндинг!$F$5:$F$300)+SUMIF(Лэндинг!$E$5:$E$300,"*/"&amp;$B86,Лэндинг!$K$5:$K$300)+SUMIF(Закрытые!$E$5:$E$300,$B86&amp;"/*",Закрытые!$F$5:$F$300)+SUMIF(Закрытые!$E$5:$E$300,"*/"&amp;$B86,Закрытые!$K$5:$K$300)+SUMIF(История!$B$5:$B$300,$B86&amp;"/*",История!$C$5:$C$300)+SUMIF(История!$B$5:$B$300,"*/"&amp;$B86,История!$H$5:$H$300),8))</f>
        <v/>
      </c>
      <c r="D86" s="240">
        <f>IF($B86="","",ROUND(SUMIF(Торговля!$E$5:$E$300,$B86&amp;"/*",Торговля!$I$5:$I$300)+SUMIF(Торговля!$E$5:$E$300,"*/"&amp;$B86,Торговля!$H$5:$H$300)+SUMIF(Лэндинг!$E$5:$E$300,$B86&amp;"/*",Лэндинг!$I$5:$I$300)+SUMIF(Лэндинг!$E$5:$E$300,"*/"&amp;$B86,Лэндинг!$H$5:$H$300)+SUMIF(Закрытые!$E$5:$E$300,$B86&amp;"/*",Закрытые!$I$5:$I$300)+SUMIF(Закрытые!$E$5:$E$300,"*/"&amp;$B86,Закрытые!$H$5:$H$300)+SUMIF(История!$B$5:$B$300,$B86&amp;"/*",История!$F$5:$F$300)+SUMIF(История!$B$5:$B$300,"*/"&amp;$B86,История!$E$5:$E$300),8))</f>
        <v/>
      </c>
      <c r="E86" s="339">
        <f>IF($B86="","",ROUND(C86-D86,8))</f>
        <v/>
      </c>
    </row>
    <row r="87" ht="22" customHeight="1">
      <c r="B87" s="315" t="n"/>
      <c r="C87" s="240">
        <f>IF($B87="","",ROUND(SUMIF(Торговля!$E$5:$E$300,$B87&amp;"/*",Торговля!$F$5:$F$300)+SUMIF(Торговля!$E$5:$E$300,"*/"&amp;$B87,Торговля!$K$5:$K$300)+SUMIF(Лэндинг!$E$5:$E$300,$B87&amp;"/*",Лэндинг!$F$5:$F$300)+SUMIF(Лэндинг!$E$5:$E$300,"*/"&amp;$B87,Лэндинг!$K$5:$K$300)+SUMIF(Закрытые!$E$5:$E$300,$B87&amp;"/*",Закрытые!$F$5:$F$300)+SUMIF(Закрытые!$E$5:$E$300,"*/"&amp;$B87,Закрытые!$K$5:$K$300)+SUMIF(История!$B$5:$B$300,$B87&amp;"/*",История!$C$5:$C$300)+SUMIF(История!$B$5:$B$300,"*/"&amp;$B87,История!$H$5:$H$300),8))</f>
        <v/>
      </c>
      <c r="D87" s="240">
        <f>IF($B87="","",ROUND(SUMIF(Торговля!$E$5:$E$300,$B87&amp;"/*",Торговля!$I$5:$I$300)+SUMIF(Торговля!$E$5:$E$300,"*/"&amp;$B87,Торговля!$H$5:$H$300)+SUMIF(Лэндинг!$E$5:$E$300,$B87&amp;"/*",Лэндинг!$I$5:$I$300)+SUMIF(Лэндинг!$E$5:$E$300,"*/"&amp;$B87,Лэндинг!$H$5:$H$300)+SUMIF(Закрытые!$E$5:$E$300,$B87&amp;"/*",Закрытые!$I$5:$I$300)+SUMIF(Закрытые!$E$5:$E$300,"*/"&amp;$B87,Закрытые!$H$5:$H$300)+SUMIF(История!$B$5:$B$300,$B87&amp;"/*",История!$F$5:$F$300)+SUMIF(История!$B$5:$B$300,"*/"&amp;$B87,История!$E$5:$E$300),8))</f>
        <v/>
      </c>
      <c r="E87" s="339">
        <f>IF($B87="","",ROUND(C87-D87,8))</f>
        <v/>
      </c>
    </row>
    <row r="88" ht="22" customHeight="1">
      <c r="B88" s="320" t="n"/>
      <c r="C88" s="240">
        <f>IF($B88="","",ROUND(SUMIF(Торговля!$E$5:$E$300,$B88&amp;"/*",Торговля!$F$5:$F$300)+SUMIF(Торговля!$E$5:$E$300,"*/"&amp;$B88,Торговля!$K$5:$K$300)+SUMIF(Лэндинг!$E$5:$E$300,$B88&amp;"/*",Лэндинг!$F$5:$F$300)+SUMIF(Лэндинг!$E$5:$E$300,"*/"&amp;$B88,Лэндинг!$K$5:$K$300)+SUMIF(Закрытые!$E$5:$E$300,$B88&amp;"/*",Закрытые!$F$5:$F$300)+SUMIF(Закрытые!$E$5:$E$300,"*/"&amp;$B88,Закрытые!$K$5:$K$300)+SUMIF(История!$B$5:$B$300,$B88&amp;"/*",История!$C$5:$C$300)+SUMIF(История!$B$5:$B$300,"*/"&amp;$B88,История!$H$5:$H$300),8))</f>
        <v/>
      </c>
      <c r="D88" s="240">
        <f>IF($B88="","",ROUND(SUMIF(Торговля!$E$5:$E$300,$B88&amp;"/*",Торговля!$I$5:$I$300)+SUMIF(Торговля!$E$5:$E$300,"*/"&amp;$B88,Торговля!$H$5:$H$300)+SUMIF(Лэндинг!$E$5:$E$300,$B88&amp;"/*",Лэндинг!$I$5:$I$300)+SUMIF(Лэндинг!$E$5:$E$300,"*/"&amp;$B88,Лэндинг!$H$5:$H$300)+SUMIF(Закрытые!$E$5:$E$300,$B88&amp;"/*",Закрытые!$I$5:$I$300)+SUMIF(Закрытые!$E$5:$E$300,"*/"&amp;$B88,Закрытые!$H$5:$H$300)+SUMIF(История!$B$5:$B$300,$B88&amp;"/*",История!$F$5:$F$300)+SUMIF(История!$B$5:$B$300,"*/"&amp;$B88,История!$E$5:$E$300),8))</f>
        <v/>
      </c>
      <c r="E88" s="339">
        <f>IF($B88="","",ROUND(C88-D88,8))</f>
        <v/>
      </c>
    </row>
    <row r="89" ht="22" customHeight="1">
      <c r="B89" s="315" t="n"/>
      <c r="C89" s="240">
        <f>IF($B89="","",ROUND(SUMIF(Торговля!$E$5:$E$300,$B89&amp;"/*",Торговля!$F$5:$F$300)+SUMIF(Торговля!$E$5:$E$300,"*/"&amp;$B89,Торговля!$K$5:$K$300)+SUMIF(Лэндинг!$E$5:$E$300,$B89&amp;"/*",Лэндинг!$F$5:$F$300)+SUMIF(Лэндинг!$E$5:$E$300,"*/"&amp;$B89,Лэндинг!$K$5:$K$300)+SUMIF(Закрытые!$E$5:$E$300,$B89&amp;"/*",Закрытые!$F$5:$F$300)+SUMIF(Закрытые!$E$5:$E$300,"*/"&amp;$B89,Закрытые!$K$5:$K$300)+SUMIF(История!$B$5:$B$300,$B89&amp;"/*",История!$C$5:$C$300)+SUMIF(История!$B$5:$B$300,"*/"&amp;$B89,История!$H$5:$H$300),8))</f>
        <v/>
      </c>
      <c r="D89" s="240">
        <f>IF($B89="","",ROUND(SUMIF(Торговля!$E$5:$E$300,$B89&amp;"/*",Торговля!$I$5:$I$300)+SUMIF(Торговля!$E$5:$E$300,"*/"&amp;$B89,Торговля!$H$5:$H$300)+SUMIF(Лэндинг!$E$5:$E$300,$B89&amp;"/*",Лэндинг!$I$5:$I$300)+SUMIF(Лэндинг!$E$5:$E$300,"*/"&amp;$B89,Лэндинг!$H$5:$H$300)+SUMIF(Закрытые!$E$5:$E$300,$B89&amp;"/*",Закрытые!$I$5:$I$300)+SUMIF(Закрытые!$E$5:$E$300,"*/"&amp;$B89,Закрытые!$H$5:$H$300)+SUMIF(История!$B$5:$B$300,$B89&amp;"/*",История!$F$5:$F$300)+SUMIF(История!$B$5:$B$300,"*/"&amp;$B89,История!$E$5:$E$300),8))</f>
        <v/>
      </c>
      <c r="E89" s="339">
        <f>IF($B89="","",ROUND(C89-D89,8))</f>
        <v/>
      </c>
    </row>
    <row r="90" ht="22" customHeight="1">
      <c r="B90" s="320" t="n"/>
      <c r="C90" s="240">
        <f>IF($B90="","",ROUND(SUMIF(Торговля!$E$5:$E$300,$B90&amp;"/*",Торговля!$F$5:$F$300)+SUMIF(Торговля!$E$5:$E$300,"*/"&amp;$B90,Торговля!$K$5:$K$300)+SUMIF(Лэндинг!$E$5:$E$300,$B90&amp;"/*",Лэндинг!$F$5:$F$300)+SUMIF(Лэндинг!$E$5:$E$300,"*/"&amp;$B90,Лэндинг!$K$5:$K$300)+SUMIF(Закрытые!$E$5:$E$300,$B90&amp;"/*",Закрытые!$F$5:$F$300)+SUMIF(Закрытые!$E$5:$E$300,"*/"&amp;$B90,Закрытые!$K$5:$K$300)+SUMIF(История!$B$5:$B$300,$B90&amp;"/*",История!$C$5:$C$300)+SUMIF(История!$B$5:$B$300,"*/"&amp;$B90,История!$H$5:$H$300),8))</f>
        <v/>
      </c>
      <c r="D90" s="240">
        <f>IF($B90="","",ROUND(SUMIF(Торговля!$E$5:$E$300,$B90&amp;"/*",Торговля!$I$5:$I$300)+SUMIF(Торговля!$E$5:$E$300,"*/"&amp;$B90,Торговля!$H$5:$H$300)+SUMIF(Лэндинг!$E$5:$E$300,$B90&amp;"/*",Лэндинг!$I$5:$I$300)+SUMIF(Лэндинг!$E$5:$E$300,"*/"&amp;$B90,Лэндинг!$H$5:$H$300)+SUMIF(Закрытые!$E$5:$E$300,$B90&amp;"/*",Закрытые!$I$5:$I$300)+SUMIF(Закрытые!$E$5:$E$300,"*/"&amp;$B90,Закрытые!$H$5:$H$300)+SUMIF(История!$B$5:$B$300,$B90&amp;"/*",История!$F$5:$F$300)+SUMIF(История!$B$5:$B$300,"*/"&amp;$B90,История!$E$5:$E$300),8))</f>
        <v/>
      </c>
      <c r="E90" s="339">
        <f>IF($B90="","",ROUND(C90-D90,8))</f>
        <v/>
      </c>
    </row>
    <row r="91" ht="22" customHeight="1">
      <c r="B91" s="315" t="n"/>
      <c r="C91" s="240">
        <f>IF($B91="","",ROUND(SUMIF(Торговля!$E$5:$E$300,$B91&amp;"/*",Торговля!$F$5:$F$300)+SUMIF(Торговля!$E$5:$E$300,"*/"&amp;$B91,Торговля!$K$5:$K$300)+SUMIF(Лэндинг!$E$5:$E$300,$B91&amp;"/*",Лэндинг!$F$5:$F$300)+SUMIF(Лэндинг!$E$5:$E$300,"*/"&amp;$B91,Лэндинг!$K$5:$K$300)+SUMIF(Закрытые!$E$5:$E$300,$B91&amp;"/*",Закрытые!$F$5:$F$300)+SUMIF(Закрытые!$E$5:$E$300,"*/"&amp;$B91,Закрытые!$K$5:$K$300)+SUMIF(История!$B$5:$B$300,$B91&amp;"/*",История!$C$5:$C$300)+SUMIF(История!$B$5:$B$300,"*/"&amp;$B91,История!$H$5:$H$300),8))</f>
        <v/>
      </c>
      <c r="D91" s="240">
        <f>IF($B91="","",ROUND(SUMIF(Торговля!$E$5:$E$300,$B91&amp;"/*",Торговля!$I$5:$I$300)+SUMIF(Торговля!$E$5:$E$300,"*/"&amp;$B91,Торговля!$H$5:$H$300)+SUMIF(Лэндинг!$E$5:$E$300,$B91&amp;"/*",Лэндинг!$I$5:$I$300)+SUMIF(Лэндинг!$E$5:$E$300,"*/"&amp;$B91,Лэндинг!$H$5:$H$300)+SUMIF(Закрытые!$E$5:$E$300,$B91&amp;"/*",Закрытые!$I$5:$I$300)+SUMIF(Закрытые!$E$5:$E$300,"*/"&amp;$B91,Закрытые!$H$5:$H$300)+SUMIF(История!$B$5:$B$300,$B91&amp;"/*",История!$F$5:$F$300)+SUMIF(История!$B$5:$B$300,"*/"&amp;$B91,История!$E$5:$E$300),8))</f>
        <v/>
      </c>
      <c r="E91" s="339">
        <f>IF($B91="","",ROUND(C91-D91,8))</f>
        <v/>
      </c>
    </row>
    <row r="92" ht="22" customHeight="1">
      <c r="B92" s="320" t="n"/>
      <c r="C92" s="240">
        <f>IF($B92="","",ROUND(SUMIF(Торговля!$E$5:$E$300,$B92&amp;"/*",Торговля!$F$5:$F$300)+SUMIF(Торговля!$E$5:$E$300,"*/"&amp;$B92,Торговля!$K$5:$K$300)+SUMIF(Лэндинг!$E$5:$E$300,$B92&amp;"/*",Лэндинг!$F$5:$F$300)+SUMIF(Лэндинг!$E$5:$E$300,"*/"&amp;$B92,Лэндинг!$K$5:$K$300)+SUMIF(Закрытые!$E$5:$E$300,$B92&amp;"/*",Закрытые!$F$5:$F$300)+SUMIF(Закрытые!$E$5:$E$300,"*/"&amp;$B92,Закрытые!$K$5:$K$300)+SUMIF(История!$B$5:$B$300,$B92&amp;"/*",История!$C$5:$C$300)+SUMIF(История!$B$5:$B$300,"*/"&amp;$B92,История!$H$5:$H$300),8))</f>
        <v/>
      </c>
      <c r="D92" s="240">
        <f>IF($B92="","",ROUND(SUMIF(Торговля!$E$5:$E$300,$B92&amp;"/*",Торговля!$I$5:$I$300)+SUMIF(Торговля!$E$5:$E$300,"*/"&amp;$B92,Торговля!$H$5:$H$300)+SUMIF(Лэндинг!$E$5:$E$300,$B92&amp;"/*",Лэндинг!$I$5:$I$300)+SUMIF(Лэндинг!$E$5:$E$300,"*/"&amp;$B92,Лэндинг!$H$5:$H$300)+SUMIF(Закрытые!$E$5:$E$300,$B92&amp;"/*",Закрытые!$I$5:$I$300)+SUMIF(Закрытые!$E$5:$E$300,"*/"&amp;$B92,Закрытые!$H$5:$H$300)+SUMIF(История!$B$5:$B$300,$B92&amp;"/*",История!$F$5:$F$300)+SUMIF(История!$B$5:$B$300,"*/"&amp;$B92,История!$E$5:$E$300),8))</f>
        <v/>
      </c>
      <c r="E92" s="339">
        <f>IF($B92="","",ROUND(C92-D92,8))</f>
        <v/>
      </c>
    </row>
    <row r="93" ht="22" customHeight="1">
      <c r="B93" s="315" t="n"/>
      <c r="C93" s="240">
        <f>IF($B93="","",ROUND(SUMIF(Торговля!$E$5:$E$300,$B93&amp;"/*",Торговля!$F$5:$F$300)+SUMIF(Торговля!$E$5:$E$300,"*/"&amp;$B93,Торговля!$K$5:$K$300)+SUMIF(Лэндинг!$E$5:$E$300,$B93&amp;"/*",Лэндинг!$F$5:$F$300)+SUMIF(Лэндинг!$E$5:$E$300,"*/"&amp;$B93,Лэндинг!$K$5:$K$300)+SUMIF(Закрытые!$E$5:$E$300,$B93&amp;"/*",Закрытые!$F$5:$F$300)+SUMIF(Закрытые!$E$5:$E$300,"*/"&amp;$B93,Закрытые!$K$5:$K$300)+SUMIF(История!$B$5:$B$300,$B93&amp;"/*",История!$C$5:$C$300)+SUMIF(История!$B$5:$B$300,"*/"&amp;$B93,История!$H$5:$H$300),8))</f>
        <v/>
      </c>
      <c r="D93" s="240">
        <f>IF($B93="","",ROUND(SUMIF(Торговля!$E$5:$E$300,$B93&amp;"/*",Торговля!$I$5:$I$300)+SUMIF(Торговля!$E$5:$E$300,"*/"&amp;$B93,Торговля!$H$5:$H$300)+SUMIF(Лэндинг!$E$5:$E$300,$B93&amp;"/*",Лэндинг!$I$5:$I$300)+SUMIF(Лэндинг!$E$5:$E$300,"*/"&amp;$B93,Лэндинг!$H$5:$H$300)+SUMIF(Закрытые!$E$5:$E$300,$B93&amp;"/*",Закрытые!$I$5:$I$300)+SUMIF(Закрытые!$E$5:$E$300,"*/"&amp;$B93,Закрытые!$H$5:$H$300)+SUMIF(История!$B$5:$B$300,$B93&amp;"/*",История!$F$5:$F$300)+SUMIF(История!$B$5:$B$300,"*/"&amp;$B93,История!$E$5:$E$300),8))</f>
        <v/>
      </c>
      <c r="E93" s="339">
        <f>IF($B93="","",ROUND(C93-D93,8))</f>
        <v/>
      </c>
    </row>
    <row r="94" ht="22" customHeight="1">
      <c r="B94" s="320" t="n"/>
      <c r="C94" s="240">
        <f>IF($B94="","",ROUND(SUMIF(Торговля!$E$5:$E$300,$B94&amp;"/*",Торговля!$F$5:$F$300)+SUMIF(Торговля!$E$5:$E$300,"*/"&amp;$B94,Торговля!$K$5:$K$300)+SUMIF(Лэндинг!$E$5:$E$300,$B94&amp;"/*",Лэндинг!$F$5:$F$300)+SUMIF(Лэндинг!$E$5:$E$300,"*/"&amp;$B94,Лэндинг!$K$5:$K$300)+SUMIF(Закрытые!$E$5:$E$300,$B94&amp;"/*",Закрытые!$F$5:$F$300)+SUMIF(Закрытые!$E$5:$E$300,"*/"&amp;$B94,Закрытые!$K$5:$K$300)+SUMIF(История!$B$5:$B$300,$B94&amp;"/*",История!$C$5:$C$300)+SUMIF(История!$B$5:$B$300,"*/"&amp;$B94,История!$H$5:$H$300),8))</f>
        <v/>
      </c>
      <c r="D94" s="240">
        <f>IF($B94="","",ROUND(SUMIF(Торговля!$E$5:$E$300,$B94&amp;"/*",Торговля!$I$5:$I$300)+SUMIF(Торговля!$E$5:$E$300,"*/"&amp;$B94,Торговля!$H$5:$H$300)+SUMIF(Лэндинг!$E$5:$E$300,$B94&amp;"/*",Лэндинг!$I$5:$I$300)+SUMIF(Лэндинг!$E$5:$E$300,"*/"&amp;$B94,Лэндинг!$H$5:$H$300)+SUMIF(Закрытые!$E$5:$E$300,$B94&amp;"/*",Закрытые!$I$5:$I$300)+SUMIF(Закрытые!$E$5:$E$300,"*/"&amp;$B94,Закрытые!$H$5:$H$300)+SUMIF(История!$B$5:$B$300,$B94&amp;"/*",История!$F$5:$F$300)+SUMIF(История!$B$5:$B$300,"*/"&amp;$B94,История!$E$5:$E$300),8))</f>
        <v/>
      </c>
      <c r="E94" s="339">
        <f>IF($B94="","",ROUND(C94-D94,8))</f>
        <v/>
      </c>
    </row>
    <row r="95" ht="22" customHeight="1">
      <c r="B95" s="315" t="n"/>
      <c r="C95" s="240">
        <f>IF($B95="","",ROUND(SUMIF(Торговля!$E$5:$E$300,$B95&amp;"/*",Торговля!$F$5:$F$300)+SUMIF(Торговля!$E$5:$E$300,"*/"&amp;$B95,Торговля!$K$5:$K$300)+SUMIF(Лэндинг!$E$5:$E$300,$B95&amp;"/*",Лэндинг!$F$5:$F$300)+SUMIF(Лэндинг!$E$5:$E$300,"*/"&amp;$B95,Лэндинг!$K$5:$K$300)+SUMIF(Закрытые!$E$5:$E$300,$B95&amp;"/*",Закрытые!$F$5:$F$300)+SUMIF(Закрытые!$E$5:$E$300,"*/"&amp;$B95,Закрытые!$K$5:$K$300)+SUMIF(История!$B$5:$B$300,$B95&amp;"/*",История!$C$5:$C$300)+SUMIF(История!$B$5:$B$300,"*/"&amp;$B95,История!$H$5:$H$300),8))</f>
        <v/>
      </c>
      <c r="D95" s="240">
        <f>IF($B95="","",ROUND(SUMIF(Торговля!$E$5:$E$300,$B95&amp;"/*",Торговля!$I$5:$I$300)+SUMIF(Торговля!$E$5:$E$300,"*/"&amp;$B95,Торговля!$H$5:$H$300)+SUMIF(Лэндинг!$E$5:$E$300,$B95&amp;"/*",Лэндинг!$I$5:$I$300)+SUMIF(Лэндинг!$E$5:$E$300,"*/"&amp;$B95,Лэндинг!$H$5:$H$300)+SUMIF(Закрытые!$E$5:$E$300,$B95&amp;"/*",Закрытые!$I$5:$I$300)+SUMIF(Закрытые!$E$5:$E$300,"*/"&amp;$B95,Закрытые!$H$5:$H$300)+SUMIF(История!$B$5:$B$300,$B95&amp;"/*",История!$F$5:$F$300)+SUMIF(История!$B$5:$B$300,"*/"&amp;$B95,История!$E$5:$E$300),8))</f>
        <v/>
      </c>
      <c r="E95" s="339">
        <f>IF($B95="","",ROUND(C95-D95,8))</f>
        <v/>
      </c>
    </row>
    <row r="96" ht="22" customHeight="1">
      <c r="B96" s="320" t="n"/>
      <c r="C96" s="240">
        <f>IF($B96="","",ROUND(SUMIF(Торговля!$E$5:$E$300,$B96&amp;"/*",Торговля!$F$5:$F$300)+SUMIF(Торговля!$E$5:$E$300,"*/"&amp;$B96,Торговля!$K$5:$K$300)+SUMIF(Лэндинг!$E$5:$E$300,$B96&amp;"/*",Лэндинг!$F$5:$F$300)+SUMIF(Лэндинг!$E$5:$E$300,"*/"&amp;$B96,Лэндинг!$K$5:$K$300)+SUMIF(Закрытые!$E$5:$E$300,$B96&amp;"/*",Закрытые!$F$5:$F$300)+SUMIF(Закрытые!$E$5:$E$300,"*/"&amp;$B96,Закрытые!$K$5:$K$300)+SUMIF(История!$B$5:$B$300,$B96&amp;"/*",История!$C$5:$C$300)+SUMIF(История!$B$5:$B$300,"*/"&amp;$B96,История!$H$5:$H$300),8))</f>
        <v/>
      </c>
      <c r="D96" s="240">
        <f>IF($B96="","",ROUND(SUMIF(Торговля!$E$5:$E$300,$B96&amp;"/*",Торговля!$I$5:$I$300)+SUMIF(Торговля!$E$5:$E$300,"*/"&amp;$B96,Торговля!$H$5:$H$300)+SUMIF(Лэндинг!$E$5:$E$300,$B96&amp;"/*",Лэндинг!$I$5:$I$300)+SUMIF(Лэндинг!$E$5:$E$300,"*/"&amp;$B96,Лэндинг!$H$5:$H$300)+SUMIF(Закрытые!$E$5:$E$300,$B96&amp;"/*",Закрытые!$I$5:$I$300)+SUMIF(Закрытые!$E$5:$E$300,"*/"&amp;$B96,Закрытые!$H$5:$H$300)+SUMIF(История!$B$5:$B$300,$B96&amp;"/*",История!$F$5:$F$300)+SUMIF(История!$B$5:$B$300,"*/"&amp;$B96,История!$E$5:$E$300),8))</f>
        <v/>
      </c>
      <c r="E96" s="339">
        <f>IF($B96="","",ROUND(C96-D96,8))</f>
        <v/>
      </c>
    </row>
    <row r="97" ht="22" customHeight="1">
      <c r="B97" s="315" t="n"/>
      <c r="C97" s="240">
        <f>IF($B97="","",ROUND(SUMIF(Торговля!$E$5:$E$300,$B97&amp;"/*",Торговля!$F$5:$F$300)+SUMIF(Торговля!$E$5:$E$300,"*/"&amp;$B97,Торговля!$K$5:$K$300)+SUMIF(Лэндинг!$E$5:$E$300,$B97&amp;"/*",Лэндинг!$F$5:$F$300)+SUMIF(Лэндинг!$E$5:$E$300,"*/"&amp;$B97,Лэндинг!$K$5:$K$300)+SUMIF(Закрытые!$E$5:$E$300,$B97&amp;"/*",Закрытые!$F$5:$F$300)+SUMIF(Закрытые!$E$5:$E$300,"*/"&amp;$B97,Закрытые!$K$5:$K$300)+SUMIF(История!$B$5:$B$300,$B97&amp;"/*",История!$C$5:$C$300)+SUMIF(История!$B$5:$B$300,"*/"&amp;$B97,История!$H$5:$H$300),8))</f>
        <v/>
      </c>
      <c r="D97" s="240">
        <f>IF($B97="","",ROUND(SUMIF(Торговля!$E$5:$E$300,$B97&amp;"/*",Торговля!$I$5:$I$300)+SUMIF(Торговля!$E$5:$E$300,"*/"&amp;$B97,Торговля!$H$5:$H$300)+SUMIF(Лэндинг!$E$5:$E$300,$B97&amp;"/*",Лэндинг!$I$5:$I$300)+SUMIF(Лэндинг!$E$5:$E$300,"*/"&amp;$B97,Лэндинг!$H$5:$H$300)+SUMIF(Закрытые!$E$5:$E$300,$B97&amp;"/*",Закрытые!$I$5:$I$300)+SUMIF(Закрытые!$E$5:$E$300,"*/"&amp;$B97,Закрытые!$H$5:$H$300)+SUMIF(История!$B$5:$B$300,$B97&amp;"/*",История!$F$5:$F$300)+SUMIF(История!$B$5:$B$300,"*/"&amp;$B97,История!$E$5:$E$300),8))</f>
        <v/>
      </c>
      <c r="E97" s="339">
        <f>IF($B97="","",ROUND(C97-D97,8))</f>
        <v/>
      </c>
    </row>
    <row r="98" ht="22" customHeight="1">
      <c r="B98" s="320" t="n"/>
      <c r="C98" s="240">
        <f>IF($B98="","",ROUND(SUMIF(Торговля!$E$5:$E$300,$B98&amp;"/*",Торговля!$F$5:$F$300)+SUMIF(Торговля!$E$5:$E$300,"*/"&amp;$B98,Торговля!$K$5:$K$300)+SUMIF(Лэндинг!$E$5:$E$300,$B98&amp;"/*",Лэндинг!$F$5:$F$300)+SUMIF(Лэндинг!$E$5:$E$300,"*/"&amp;$B98,Лэндинг!$K$5:$K$300)+SUMIF(Закрытые!$E$5:$E$300,$B98&amp;"/*",Закрытые!$F$5:$F$300)+SUMIF(Закрытые!$E$5:$E$300,"*/"&amp;$B98,Закрытые!$K$5:$K$300)+SUMIF(История!$B$5:$B$300,$B98&amp;"/*",История!$C$5:$C$300)+SUMIF(История!$B$5:$B$300,"*/"&amp;$B98,История!$H$5:$H$300),8))</f>
        <v/>
      </c>
      <c r="D98" s="240">
        <f>IF($B98="","",ROUND(SUMIF(Торговля!$E$5:$E$300,$B98&amp;"/*",Торговля!$I$5:$I$300)+SUMIF(Торговля!$E$5:$E$300,"*/"&amp;$B98,Торговля!$H$5:$H$300)+SUMIF(Лэндинг!$E$5:$E$300,$B98&amp;"/*",Лэндинг!$I$5:$I$300)+SUMIF(Лэндинг!$E$5:$E$300,"*/"&amp;$B98,Лэндинг!$H$5:$H$300)+SUMIF(Закрытые!$E$5:$E$300,$B98&amp;"/*",Закрытые!$I$5:$I$300)+SUMIF(Закрытые!$E$5:$E$300,"*/"&amp;$B98,Закрытые!$H$5:$H$300)+SUMIF(История!$B$5:$B$300,$B98&amp;"/*",История!$F$5:$F$300)+SUMIF(История!$B$5:$B$300,"*/"&amp;$B98,История!$E$5:$E$300),8))</f>
        <v/>
      </c>
      <c r="E98" s="339">
        <f>IF($B98="","",ROUND(C98-D98,8))</f>
        <v/>
      </c>
    </row>
    <row r="99" ht="22" customHeight="1">
      <c r="B99" s="315" t="n"/>
      <c r="C99" s="240">
        <f>IF($B99="","",ROUND(SUMIF(Торговля!$E$5:$E$300,$B99&amp;"/*",Торговля!$F$5:$F$300)+SUMIF(Торговля!$E$5:$E$300,"*/"&amp;$B99,Торговля!$K$5:$K$300)+SUMIF(Лэндинг!$E$5:$E$300,$B99&amp;"/*",Лэндинг!$F$5:$F$300)+SUMIF(Лэндинг!$E$5:$E$300,"*/"&amp;$B99,Лэндинг!$K$5:$K$300)+SUMIF(Закрытые!$E$5:$E$300,$B99&amp;"/*",Закрытые!$F$5:$F$300)+SUMIF(Закрытые!$E$5:$E$300,"*/"&amp;$B99,Закрытые!$K$5:$K$300)+SUMIF(История!$B$5:$B$300,$B99&amp;"/*",История!$C$5:$C$300)+SUMIF(История!$B$5:$B$300,"*/"&amp;$B99,История!$H$5:$H$300),8))</f>
        <v/>
      </c>
      <c r="D99" s="240">
        <f>IF($B99="","",ROUND(SUMIF(Торговля!$E$5:$E$300,$B99&amp;"/*",Торговля!$I$5:$I$300)+SUMIF(Торговля!$E$5:$E$300,"*/"&amp;$B99,Торговля!$H$5:$H$300)+SUMIF(Лэндинг!$E$5:$E$300,$B99&amp;"/*",Лэндинг!$I$5:$I$300)+SUMIF(Лэндинг!$E$5:$E$300,"*/"&amp;$B99,Лэндинг!$H$5:$H$300)+SUMIF(Закрытые!$E$5:$E$300,$B99&amp;"/*",Закрытые!$I$5:$I$300)+SUMIF(Закрытые!$E$5:$E$300,"*/"&amp;$B99,Закрытые!$H$5:$H$300)+SUMIF(История!$B$5:$B$300,$B99&amp;"/*",История!$F$5:$F$300)+SUMIF(История!$B$5:$B$300,"*/"&amp;$B99,История!$E$5:$E$300),8))</f>
        <v/>
      </c>
      <c r="E99" s="339">
        <f>IF($B99="","",ROUND(C99-D99,8))</f>
        <v/>
      </c>
    </row>
    <row r="100" ht="22" customHeight="1">
      <c r="B100" s="320" t="n"/>
      <c r="C100" s="240">
        <f>IF($B100="","",ROUND(SUMIF(Торговля!$E$5:$E$300,$B100&amp;"/*",Торговля!$F$5:$F$300)+SUMIF(Торговля!$E$5:$E$300,"*/"&amp;$B100,Торговля!$K$5:$K$300)+SUMIF(Лэндинг!$E$5:$E$300,$B100&amp;"/*",Лэндинг!$F$5:$F$300)+SUMIF(Лэндинг!$E$5:$E$300,"*/"&amp;$B100,Лэндинг!$K$5:$K$300)+SUMIF(Закрытые!$E$5:$E$300,$B100&amp;"/*",Закрытые!$F$5:$F$300)+SUMIF(Закрытые!$E$5:$E$300,"*/"&amp;$B100,Закрытые!$K$5:$K$300)+SUMIF(История!$B$5:$B$300,$B100&amp;"/*",История!$C$5:$C$300)+SUMIF(История!$B$5:$B$300,"*/"&amp;$B100,История!$H$5:$H$300),8))</f>
        <v/>
      </c>
      <c r="D100" s="240">
        <f>IF($B100="","",ROUND(SUMIF(Торговля!$E$5:$E$300,$B100&amp;"/*",Торговля!$I$5:$I$300)+SUMIF(Торговля!$E$5:$E$300,"*/"&amp;$B100,Торговля!$H$5:$H$300)+SUMIF(Лэндинг!$E$5:$E$300,$B100&amp;"/*",Лэндинг!$I$5:$I$300)+SUMIF(Лэндинг!$E$5:$E$300,"*/"&amp;$B100,Лэндинг!$H$5:$H$300)+SUMIF(Закрытые!$E$5:$E$300,$B100&amp;"/*",Закрытые!$I$5:$I$300)+SUMIF(Закрытые!$E$5:$E$300,"*/"&amp;$B100,Закрытые!$H$5:$H$300)+SUMIF(История!$B$5:$B$300,$B100&amp;"/*",История!$F$5:$F$300)+SUMIF(История!$B$5:$B$300,"*/"&amp;$B100,История!$E$5:$E$300),8))</f>
        <v/>
      </c>
      <c r="E100" s="339">
        <f>IF($B100="","",ROUND(C100-D100,8))</f>
        <v/>
      </c>
    </row>
    <row r="101" ht="22" customHeight="1">
      <c r="B101" s="315" t="n"/>
      <c r="C101" s="240">
        <f>IF($B101="","",ROUND(SUMIF(Торговля!$E$5:$E$300,$B101&amp;"/*",Торговля!$F$5:$F$300)+SUMIF(Торговля!$E$5:$E$300,"*/"&amp;$B101,Торговля!$K$5:$K$300)+SUMIF(Лэндинг!$E$5:$E$300,$B101&amp;"/*",Лэндинг!$F$5:$F$300)+SUMIF(Лэндинг!$E$5:$E$300,"*/"&amp;$B101,Лэндинг!$K$5:$K$300)+SUMIF(Закрытые!$E$5:$E$300,$B101&amp;"/*",Закрытые!$F$5:$F$300)+SUMIF(Закрытые!$E$5:$E$300,"*/"&amp;$B101,Закрытые!$K$5:$K$300)+SUMIF(История!$B$5:$B$300,$B101&amp;"/*",История!$C$5:$C$300)+SUMIF(История!$B$5:$B$300,"*/"&amp;$B101,История!$H$5:$H$300),8))</f>
        <v/>
      </c>
      <c r="D101" s="240">
        <f>IF($B101="","",ROUND(SUMIF(Торговля!$E$5:$E$300,$B101&amp;"/*",Торговля!$I$5:$I$300)+SUMIF(Торговля!$E$5:$E$300,"*/"&amp;$B101,Торговля!$H$5:$H$300)+SUMIF(Лэндинг!$E$5:$E$300,$B101&amp;"/*",Лэндинг!$I$5:$I$300)+SUMIF(Лэндинг!$E$5:$E$300,"*/"&amp;$B101,Лэндинг!$H$5:$H$300)+SUMIF(Закрытые!$E$5:$E$300,$B101&amp;"/*",Закрытые!$I$5:$I$300)+SUMIF(Закрытые!$E$5:$E$300,"*/"&amp;$B101,Закрытые!$H$5:$H$300)+SUMIF(История!$B$5:$B$300,$B101&amp;"/*",История!$F$5:$F$300)+SUMIF(История!$B$5:$B$300,"*/"&amp;$B101,История!$E$5:$E$300),8))</f>
        <v/>
      </c>
      <c r="E101" s="339">
        <f>IF($B101="","",ROUND(C101-D101,8))</f>
        <v/>
      </c>
    </row>
    <row r="102" ht="22" customHeight="1">
      <c r="B102" s="320" t="n"/>
      <c r="C102" s="240">
        <f>IF($B102="","",ROUND(SUMIF(Торговля!$E$5:$E$300,$B102&amp;"/*",Торговля!$F$5:$F$300)+SUMIF(Торговля!$E$5:$E$300,"*/"&amp;$B102,Торговля!$K$5:$K$300)+SUMIF(Лэндинг!$E$5:$E$300,$B102&amp;"/*",Лэндинг!$F$5:$F$300)+SUMIF(Лэндинг!$E$5:$E$300,"*/"&amp;$B102,Лэндинг!$K$5:$K$300)+SUMIF(Закрытые!$E$5:$E$300,$B102&amp;"/*",Закрытые!$F$5:$F$300)+SUMIF(Закрытые!$E$5:$E$300,"*/"&amp;$B102,Закрытые!$K$5:$K$300)+SUMIF(История!$B$5:$B$300,$B102&amp;"/*",История!$C$5:$C$300)+SUMIF(История!$B$5:$B$300,"*/"&amp;$B102,История!$H$5:$H$300),8))</f>
        <v/>
      </c>
      <c r="D102" s="240">
        <f>IF($B102="","",ROUND(SUMIF(Торговля!$E$5:$E$300,$B102&amp;"/*",Торговля!$I$5:$I$300)+SUMIF(Торговля!$E$5:$E$300,"*/"&amp;$B102,Торговля!$H$5:$H$300)+SUMIF(Лэндинг!$E$5:$E$300,$B102&amp;"/*",Лэндинг!$I$5:$I$300)+SUMIF(Лэндинг!$E$5:$E$300,"*/"&amp;$B102,Лэндинг!$H$5:$H$300)+SUMIF(Закрытые!$E$5:$E$300,$B102&amp;"/*",Закрытые!$I$5:$I$300)+SUMIF(Закрытые!$E$5:$E$300,"*/"&amp;$B102,Закрытые!$H$5:$H$300)+SUMIF(История!$B$5:$B$300,$B102&amp;"/*",История!$F$5:$F$300)+SUMIF(История!$B$5:$B$300,"*/"&amp;$B102,История!$E$5:$E$300),8))</f>
        <v/>
      </c>
      <c r="E102" s="339">
        <f>IF($B102="","",ROUND(C102-D102,8))</f>
        <v/>
      </c>
    </row>
    <row r="103" ht="22" customHeight="1">
      <c r="B103" s="315" t="n"/>
      <c r="C103" s="240">
        <f>IF($B103="","",ROUND(SUMIF(Торговля!$E$5:$E$300,$B103&amp;"/*",Торговля!$F$5:$F$300)+SUMIF(Торговля!$E$5:$E$300,"*/"&amp;$B103,Торговля!$K$5:$K$300)+SUMIF(Лэндинг!$E$5:$E$300,$B103&amp;"/*",Лэндинг!$F$5:$F$300)+SUMIF(Лэндинг!$E$5:$E$300,"*/"&amp;$B103,Лэндинг!$K$5:$K$300)+SUMIF(Закрытые!$E$5:$E$300,$B103&amp;"/*",Закрытые!$F$5:$F$300)+SUMIF(Закрытые!$E$5:$E$300,"*/"&amp;$B103,Закрытые!$K$5:$K$300)+SUMIF(История!$B$5:$B$300,$B103&amp;"/*",История!$C$5:$C$300)+SUMIF(История!$B$5:$B$300,"*/"&amp;$B103,История!$H$5:$H$300),8))</f>
        <v/>
      </c>
      <c r="D103" s="240">
        <f>IF($B103="","",ROUND(SUMIF(Торговля!$E$5:$E$300,$B103&amp;"/*",Торговля!$I$5:$I$300)+SUMIF(Торговля!$E$5:$E$300,"*/"&amp;$B103,Торговля!$H$5:$H$300)+SUMIF(Лэндинг!$E$5:$E$300,$B103&amp;"/*",Лэндинг!$I$5:$I$300)+SUMIF(Лэндинг!$E$5:$E$300,"*/"&amp;$B103,Лэндинг!$H$5:$H$300)+SUMIF(Закрытые!$E$5:$E$300,$B103&amp;"/*",Закрытые!$I$5:$I$300)+SUMIF(Закрытые!$E$5:$E$300,"*/"&amp;$B103,Закрытые!$H$5:$H$300)+SUMIF(История!$B$5:$B$300,$B103&amp;"/*",История!$F$5:$F$300)+SUMIF(История!$B$5:$B$300,"*/"&amp;$B103,История!$E$5:$E$300),8))</f>
        <v/>
      </c>
      <c r="E103" s="339">
        <f>IF($B103="","",ROUND(C103-D103,8))</f>
        <v/>
      </c>
    </row>
    <row r="104" ht="22" customHeight="1">
      <c r="B104" s="320" t="n"/>
      <c r="C104" s="240">
        <f>IF($B104="","",ROUND(SUMIF(Торговля!$E$5:$E$300,$B104&amp;"/*",Торговля!$F$5:$F$300)+SUMIF(Торговля!$E$5:$E$300,"*/"&amp;$B104,Торговля!$K$5:$K$300)+SUMIF(Лэндинг!$E$5:$E$300,$B104&amp;"/*",Лэндинг!$F$5:$F$300)+SUMIF(Лэндинг!$E$5:$E$300,"*/"&amp;$B104,Лэндинг!$K$5:$K$300)+SUMIF(Закрытые!$E$5:$E$300,$B104&amp;"/*",Закрытые!$F$5:$F$300)+SUMIF(Закрытые!$E$5:$E$300,"*/"&amp;$B104,Закрытые!$K$5:$K$300)+SUMIF(История!$B$5:$B$300,$B104&amp;"/*",История!$C$5:$C$300)+SUMIF(История!$B$5:$B$300,"*/"&amp;$B104,История!$H$5:$H$300),8))</f>
        <v/>
      </c>
      <c r="D104" s="240">
        <f>IF($B104="","",ROUND(SUMIF(Торговля!$E$5:$E$300,$B104&amp;"/*",Торговля!$I$5:$I$300)+SUMIF(Торговля!$E$5:$E$300,"*/"&amp;$B104,Торговля!$H$5:$H$300)+SUMIF(Лэндинг!$E$5:$E$300,$B104&amp;"/*",Лэндинг!$I$5:$I$300)+SUMIF(Лэндинг!$E$5:$E$300,"*/"&amp;$B104,Лэндинг!$H$5:$H$300)+SUMIF(Закрытые!$E$5:$E$300,$B104&amp;"/*",Закрытые!$I$5:$I$300)+SUMIF(Закрытые!$E$5:$E$300,"*/"&amp;$B104,Закрытые!$H$5:$H$300)+SUMIF(История!$B$5:$B$300,$B104&amp;"/*",История!$F$5:$F$300)+SUMIF(История!$B$5:$B$300,"*/"&amp;$B104,История!$E$5:$E$300),8))</f>
        <v/>
      </c>
      <c r="E104" s="339">
        <f>IF($B104="","",ROUND(C104-D104,8))</f>
        <v/>
      </c>
    </row>
    <row r="105" ht="22" customHeight="1">
      <c r="B105" s="315" t="n"/>
      <c r="C105" s="240">
        <f>IF($B105="","",ROUND(SUMIF(Торговля!$E$5:$E$300,$B105&amp;"/*",Торговля!$F$5:$F$300)+SUMIF(Торговля!$E$5:$E$300,"*/"&amp;$B105,Торговля!$K$5:$K$300)+SUMIF(Лэндинг!$E$5:$E$300,$B105&amp;"/*",Лэндинг!$F$5:$F$300)+SUMIF(Лэндинг!$E$5:$E$300,"*/"&amp;$B105,Лэндинг!$K$5:$K$300)+SUMIF(Закрытые!$E$5:$E$300,$B105&amp;"/*",Закрытые!$F$5:$F$300)+SUMIF(Закрытые!$E$5:$E$300,"*/"&amp;$B105,Закрытые!$K$5:$K$300)+SUMIF(История!$B$5:$B$300,$B105&amp;"/*",История!$C$5:$C$300)+SUMIF(История!$B$5:$B$300,"*/"&amp;$B105,История!$H$5:$H$300),8))</f>
        <v/>
      </c>
      <c r="D105" s="240">
        <f>IF($B105="","",ROUND(SUMIF(Торговля!$E$5:$E$300,$B105&amp;"/*",Торговля!$I$5:$I$300)+SUMIF(Торговля!$E$5:$E$300,"*/"&amp;$B105,Торговля!$H$5:$H$300)+SUMIF(Лэндинг!$E$5:$E$300,$B105&amp;"/*",Лэндинг!$I$5:$I$300)+SUMIF(Лэндинг!$E$5:$E$300,"*/"&amp;$B105,Лэндинг!$H$5:$H$300)+SUMIF(Закрытые!$E$5:$E$300,$B105&amp;"/*",Закрытые!$I$5:$I$300)+SUMIF(Закрытые!$E$5:$E$300,"*/"&amp;$B105,Закрытые!$H$5:$H$300)+SUMIF(История!$B$5:$B$300,$B105&amp;"/*",История!$F$5:$F$300)+SUMIF(История!$B$5:$B$300,"*/"&amp;$B105,История!$E$5:$E$300),8))</f>
        <v/>
      </c>
      <c r="E105" s="339">
        <f>IF($B105="","",ROUND(C105-D105,8))</f>
        <v/>
      </c>
    </row>
    <row r="106" ht="22" customHeight="1">
      <c r="B106" s="320" t="n"/>
      <c r="C106" s="240">
        <f>IF($B106="","",ROUND(SUMIF(Торговля!$E$5:$E$300,$B106&amp;"/*",Торговля!$F$5:$F$300)+SUMIF(Торговля!$E$5:$E$300,"*/"&amp;$B106,Торговля!$K$5:$K$300)+SUMIF(Лэндинг!$E$5:$E$300,$B106&amp;"/*",Лэндинг!$F$5:$F$300)+SUMIF(Лэндинг!$E$5:$E$300,"*/"&amp;$B106,Лэндинг!$K$5:$K$300)+SUMIF(Закрытые!$E$5:$E$300,$B106&amp;"/*",Закрытые!$F$5:$F$300)+SUMIF(Закрытые!$E$5:$E$300,"*/"&amp;$B106,Закрытые!$K$5:$K$300)+SUMIF(История!$B$5:$B$300,$B106&amp;"/*",История!$C$5:$C$300)+SUMIF(История!$B$5:$B$300,"*/"&amp;$B106,История!$H$5:$H$300),8))</f>
        <v/>
      </c>
      <c r="D106" s="240">
        <f>IF($B106="","",ROUND(SUMIF(Торговля!$E$5:$E$300,$B106&amp;"/*",Торговля!$I$5:$I$300)+SUMIF(Торговля!$E$5:$E$300,"*/"&amp;$B106,Торговля!$H$5:$H$300)+SUMIF(Лэндинг!$E$5:$E$300,$B106&amp;"/*",Лэндинг!$I$5:$I$300)+SUMIF(Лэндинг!$E$5:$E$300,"*/"&amp;$B106,Лэндинг!$H$5:$H$300)+SUMIF(Закрытые!$E$5:$E$300,$B106&amp;"/*",Закрытые!$I$5:$I$300)+SUMIF(Закрытые!$E$5:$E$300,"*/"&amp;$B106,Закрытые!$H$5:$H$300)+SUMIF(История!$B$5:$B$300,$B106&amp;"/*",История!$F$5:$F$300)+SUMIF(История!$B$5:$B$300,"*/"&amp;$B106,История!$E$5:$E$300),8))</f>
        <v/>
      </c>
      <c r="E106" s="339">
        <f>IF($B106="","",ROUND(C106-D106,8))</f>
        <v/>
      </c>
    </row>
    <row r="107" ht="22" customHeight="1">
      <c r="B107" s="315" t="n"/>
      <c r="C107" s="240">
        <f>IF($B107="","",ROUND(SUMIF(Торговля!$E$5:$E$300,$B107&amp;"/*",Торговля!$F$5:$F$300)+SUMIF(Торговля!$E$5:$E$300,"*/"&amp;$B107,Торговля!$K$5:$K$300)+SUMIF(Лэндинг!$E$5:$E$300,$B107&amp;"/*",Лэндинг!$F$5:$F$300)+SUMIF(Лэндинг!$E$5:$E$300,"*/"&amp;$B107,Лэндинг!$K$5:$K$300)+SUMIF(Закрытые!$E$5:$E$300,$B107&amp;"/*",Закрытые!$F$5:$F$300)+SUMIF(Закрытые!$E$5:$E$300,"*/"&amp;$B107,Закрытые!$K$5:$K$300)+SUMIF(История!$B$5:$B$300,$B107&amp;"/*",История!$C$5:$C$300)+SUMIF(История!$B$5:$B$300,"*/"&amp;$B107,История!$H$5:$H$300),8))</f>
        <v/>
      </c>
      <c r="D107" s="240">
        <f>IF($B107="","",ROUND(SUMIF(Торговля!$E$5:$E$300,$B107&amp;"/*",Торговля!$I$5:$I$300)+SUMIF(Торговля!$E$5:$E$300,"*/"&amp;$B107,Торговля!$H$5:$H$300)+SUMIF(Лэндинг!$E$5:$E$300,$B107&amp;"/*",Лэндинг!$I$5:$I$300)+SUMIF(Лэндинг!$E$5:$E$300,"*/"&amp;$B107,Лэндинг!$H$5:$H$300)+SUMIF(Закрытые!$E$5:$E$300,$B107&amp;"/*",Закрытые!$I$5:$I$300)+SUMIF(Закрытые!$E$5:$E$300,"*/"&amp;$B107,Закрытые!$H$5:$H$300)+SUMIF(История!$B$5:$B$300,$B107&amp;"/*",История!$F$5:$F$300)+SUMIF(История!$B$5:$B$300,"*/"&amp;$B107,История!$E$5:$E$300),8))</f>
        <v/>
      </c>
      <c r="E107" s="339">
        <f>IF($B107="","",ROUND(C107-D107,8))</f>
        <v/>
      </c>
    </row>
    <row r="108" ht="22" customHeight="1">
      <c r="B108" s="320" t="n"/>
      <c r="C108" s="240">
        <f>IF($B108="","",ROUND(SUMIF(Торговля!$E$5:$E$300,$B108&amp;"/*",Торговля!$F$5:$F$300)+SUMIF(Торговля!$E$5:$E$300,"*/"&amp;$B108,Торговля!$K$5:$K$300)+SUMIF(Лэндинг!$E$5:$E$300,$B108&amp;"/*",Лэндинг!$F$5:$F$300)+SUMIF(Лэндинг!$E$5:$E$300,"*/"&amp;$B108,Лэндинг!$K$5:$K$300)+SUMIF(Закрытые!$E$5:$E$300,$B108&amp;"/*",Закрытые!$F$5:$F$300)+SUMIF(Закрытые!$E$5:$E$300,"*/"&amp;$B108,Закрытые!$K$5:$K$300)+SUMIF(История!$B$5:$B$300,$B108&amp;"/*",История!$C$5:$C$300)+SUMIF(История!$B$5:$B$300,"*/"&amp;$B108,История!$H$5:$H$300),8))</f>
        <v/>
      </c>
      <c r="D108" s="240">
        <f>IF($B108="","",ROUND(SUMIF(Торговля!$E$5:$E$300,$B108&amp;"/*",Торговля!$I$5:$I$300)+SUMIF(Торговля!$E$5:$E$300,"*/"&amp;$B108,Торговля!$H$5:$H$300)+SUMIF(Лэндинг!$E$5:$E$300,$B108&amp;"/*",Лэндинг!$I$5:$I$300)+SUMIF(Лэндинг!$E$5:$E$300,"*/"&amp;$B108,Лэндинг!$H$5:$H$300)+SUMIF(Закрытые!$E$5:$E$300,$B108&amp;"/*",Закрытые!$I$5:$I$300)+SUMIF(Закрытые!$E$5:$E$300,"*/"&amp;$B108,Закрытые!$H$5:$H$300)+SUMIF(История!$B$5:$B$300,$B108&amp;"/*",История!$F$5:$F$300)+SUMIF(История!$B$5:$B$300,"*/"&amp;$B108,История!$E$5:$E$300),8))</f>
        <v/>
      </c>
      <c r="E108" s="339">
        <f>IF($B108="","",ROUND(C108-D108,8))</f>
        <v/>
      </c>
    </row>
    <row r="109" ht="22" customHeight="1">
      <c r="B109" s="315" t="n"/>
      <c r="C109" s="240">
        <f>IF($B109="","",ROUND(SUMIF(Торговля!$E$5:$E$300,$B109&amp;"/*",Торговля!$F$5:$F$300)+SUMIF(Торговля!$E$5:$E$300,"*/"&amp;$B109,Торговля!$K$5:$K$300)+SUMIF(Лэндинг!$E$5:$E$300,$B109&amp;"/*",Лэндинг!$F$5:$F$300)+SUMIF(Лэндинг!$E$5:$E$300,"*/"&amp;$B109,Лэндинг!$K$5:$K$300)+SUMIF(Закрытые!$E$5:$E$300,$B109&amp;"/*",Закрытые!$F$5:$F$300)+SUMIF(Закрытые!$E$5:$E$300,"*/"&amp;$B109,Закрытые!$K$5:$K$300)+SUMIF(История!$B$5:$B$300,$B109&amp;"/*",История!$C$5:$C$300)+SUMIF(История!$B$5:$B$300,"*/"&amp;$B109,История!$H$5:$H$300),8))</f>
        <v/>
      </c>
      <c r="D109" s="240">
        <f>IF($B109="","",ROUND(SUMIF(Торговля!$E$5:$E$300,$B109&amp;"/*",Торговля!$I$5:$I$300)+SUMIF(Торговля!$E$5:$E$300,"*/"&amp;$B109,Торговля!$H$5:$H$300)+SUMIF(Лэндинг!$E$5:$E$300,$B109&amp;"/*",Лэндинг!$I$5:$I$300)+SUMIF(Лэндинг!$E$5:$E$300,"*/"&amp;$B109,Лэндинг!$H$5:$H$300)+SUMIF(Закрытые!$E$5:$E$300,$B109&amp;"/*",Закрытые!$I$5:$I$300)+SUMIF(Закрытые!$E$5:$E$300,"*/"&amp;$B109,Закрытые!$H$5:$H$300)+SUMIF(История!$B$5:$B$300,$B109&amp;"/*",История!$F$5:$F$300)+SUMIF(История!$B$5:$B$300,"*/"&amp;$B109,История!$E$5:$E$300),8))</f>
        <v/>
      </c>
      <c r="E109" s="339">
        <f>IF($B109="","",ROUND(C109-D109,8))</f>
        <v/>
      </c>
    </row>
    <row r="110" ht="22" customHeight="1">
      <c r="B110" s="320" t="n"/>
      <c r="C110" s="240">
        <f>IF($B110="","",ROUND(SUMIF(Торговля!$E$5:$E$300,$B110&amp;"/*",Торговля!$F$5:$F$300)+SUMIF(Торговля!$E$5:$E$300,"*/"&amp;$B110,Торговля!$K$5:$K$300)+SUMIF(Лэндинг!$E$5:$E$300,$B110&amp;"/*",Лэндинг!$F$5:$F$300)+SUMIF(Лэндинг!$E$5:$E$300,"*/"&amp;$B110,Лэндинг!$K$5:$K$300)+SUMIF(Закрытые!$E$5:$E$300,$B110&amp;"/*",Закрытые!$F$5:$F$300)+SUMIF(Закрытые!$E$5:$E$300,"*/"&amp;$B110,Закрытые!$K$5:$K$300)+SUMIF(История!$B$5:$B$300,$B110&amp;"/*",История!$C$5:$C$300)+SUMIF(История!$B$5:$B$300,"*/"&amp;$B110,История!$H$5:$H$300),8))</f>
        <v/>
      </c>
      <c r="D110" s="240">
        <f>IF($B110="","",ROUND(SUMIF(Торговля!$E$5:$E$300,$B110&amp;"/*",Торговля!$I$5:$I$300)+SUMIF(Торговля!$E$5:$E$300,"*/"&amp;$B110,Торговля!$H$5:$H$300)+SUMIF(Лэндинг!$E$5:$E$300,$B110&amp;"/*",Лэндинг!$I$5:$I$300)+SUMIF(Лэндинг!$E$5:$E$300,"*/"&amp;$B110,Лэндинг!$H$5:$H$300)+SUMIF(Закрытые!$E$5:$E$300,$B110&amp;"/*",Закрытые!$I$5:$I$300)+SUMIF(Закрытые!$E$5:$E$300,"*/"&amp;$B110,Закрытые!$H$5:$H$300)+SUMIF(История!$B$5:$B$300,$B110&amp;"/*",История!$F$5:$F$300)+SUMIF(История!$B$5:$B$300,"*/"&amp;$B110,История!$E$5:$E$300),8))</f>
        <v/>
      </c>
      <c r="E110" s="339">
        <f>IF($B110="","",ROUND(C110-D110,8))</f>
        <v/>
      </c>
    </row>
    <row r="111" ht="22" customHeight="1">
      <c r="B111" s="315" t="n"/>
      <c r="C111" s="240">
        <f>IF($B111="","",ROUND(SUMIF(Торговля!$E$5:$E$300,$B111&amp;"/*",Торговля!$F$5:$F$300)+SUMIF(Торговля!$E$5:$E$300,"*/"&amp;$B111,Торговля!$K$5:$K$300)+SUMIF(Лэндинг!$E$5:$E$300,$B111&amp;"/*",Лэндинг!$F$5:$F$300)+SUMIF(Лэндинг!$E$5:$E$300,"*/"&amp;$B111,Лэндинг!$K$5:$K$300)+SUMIF(Закрытые!$E$5:$E$300,$B111&amp;"/*",Закрытые!$F$5:$F$300)+SUMIF(Закрытые!$E$5:$E$300,"*/"&amp;$B111,Закрытые!$K$5:$K$300)+SUMIF(История!$B$5:$B$300,$B111&amp;"/*",История!$C$5:$C$300)+SUMIF(История!$B$5:$B$300,"*/"&amp;$B111,История!$H$5:$H$300),8))</f>
        <v/>
      </c>
      <c r="D111" s="240">
        <f>IF($B111="","",ROUND(SUMIF(Торговля!$E$5:$E$300,$B111&amp;"/*",Торговля!$I$5:$I$300)+SUMIF(Торговля!$E$5:$E$300,"*/"&amp;$B111,Торговля!$H$5:$H$300)+SUMIF(Лэндинг!$E$5:$E$300,$B111&amp;"/*",Лэндинг!$I$5:$I$300)+SUMIF(Лэндинг!$E$5:$E$300,"*/"&amp;$B111,Лэндинг!$H$5:$H$300)+SUMIF(Закрытые!$E$5:$E$300,$B111&amp;"/*",Закрытые!$I$5:$I$300)+SUMIF(Закрытые!$E$5:$E$300,"*/"&amp;$B111,Закрытые!$H$5:$H$300)+SUMIF(История!$B$5:$B$300,$B111&amp;"/*",История!$F$5:$F$300)+SUMIF(История!$B$5:$B$300,"*/"&amp;$B111,История!$E$5:$E$300),8))</f>
        <v/>
      </c>
      <c r="E111" s="339">
        <f>IF($B111="","",ROUND(C111-D111,8))</f>
        <v/>
      </c>
    </row>
    <row r="112" ht="22" customHeight="1">
      <c r="B112" s="320" t="n"/>
      <c r="C112" s="240">
        <f>IF($B112="","",ROUND(SUMIF(Торговля!$E$5:$E$300,$B112&amp;"/*",Торговля!$F$5:$F$300)+SUMIF(Торговля!$E$5:$E$300,"*/"&amp;$B112,Торговля!$K$5:$K$300)+SUMIF(Лэндинг!$E$5:$E$300,$B112&amp;"/*",Лэндинг!$F$5:$F$300)+SUMIF(Лэндинг!$E$5:$E$300,"*/"&amp;$B112,Лэндинг!$K$5:$K$300)+SUMIF(Закрытые!$E$5:$E$300,$B112&amp;"/*",Закрытые!$F$5:$F$300)+SUMIF(Закрытые!$E$5:$E$300,"*/"&amp;$B112,Закрытые!$K$5:$K$300)+SUMIF(История!$B$5:$B$300,$B112&amp;"/*",История!$C$5:$C$300)+SUMIF(История!$B$5:$B$300,"*/"&amp;$B112,История!$H$5:$H$300),8))</f>
        <v/>
      </c>
      <c r="D112" s="240">
        <f>IF($B112="","",ROUND(SUMIF(Торговля!$E$5:$E$300,$B112&amp;"/*",Торговля!$I$5:$I$300)+SUMIF(Торговля!$E$5:$E$300,"*/"&amp;$B112,Торговля!$H$5:$H$300)+SUMIF(Лэндинг!$E$5:$E$300,$B112&amp;"/*",Лэндинг!$I$5:$I$300)+SUMIF(Лэндинг!$E$5:$E$300,"*/"&amp;$B112,Лэндинг!$H$5:$H$300)+SUMIF(Закрытые!$E$5:$E$300,$B112&amp;"/*",Закрытые!$I$5:$I$300)+SUMIF(Закрытые!$E$5:$E$300,"*/"&amp;$B112,Закрытые!$H$5:$H$300)+SUMIF(История!$B$5:$B$300,$B112&amp;"/*",История!$F$5:$F$300)+SUMIF(История!$B$5:$B$300,"*/"&amp;$B112,История!$E$5:$E$300),8))</f>
        <v/>
      </c>
      <c r="E112" s="339">
        <f>IF($B112="","",ROUND(C112-D112,8))</f>
        <v/>
      </c>
    </row>
    <row r="113" ht="22" customHeight="1">
      <c r="B113" s="315" t="n"/>
      <c r="C113" s="240">
        <f>IF($B113="","",ROUND(SUMIF(Торговля!$E$5:$E$300,$B113&amp;"/*",Торговля!$F$5:$F$300)+SUMIF(Торговля!$E$5:$E$300,"*/"&amp;$B113,Торговля!$K$5:$K$300)+SUMIF(Лэндинг!$E$5:$E$300,$B113&amp;"/*",Лэндинг!$F$5:$F$300)+SUMIF(Лэндинг!$E$5:$E$300,"*/"&amp;$B113,Лэндинг!$K$5:$K$300)+SUMIF(Закрытые!$E$5:$E$300,$B113&amp;"/*",Закрытые!$F$5:$F$300)+SUMIF(Закрытые!$E$5:$E$300,"*/"&amp;$B113,Закрытые!$K$5:$K$300)+SUMIF(История!$B$5:$B$300,$B113&amp;"/*",История!$C$5:$C$300)+SUMIF(История!$B$5:$B$300,"*/"&amp;$B113,История!$H$5:$H$300),8))</f>
        <v/>
      </c>
      <c r="D113" s="240">
        <f>IF($B113="","",ROUND(SUMIF(Торговля!$E$5:$E$300,$B113&amp;"/*",Торговля!$I$5:$I$300)+SUMIF(Торговля!$E$5:$E$300,"*/"&amp;$B113,Торговля!$H$5:$H$300)+SUMIF(Лэндинг!$E$5:$E$300,$B113&amp;"/*",Лэндинг!$I$5:$I$300)+SUMIF(Лэндинг!$E$5:$E$300,"*/"&amp;$B113,Лэндинг!$H$5:$H$300)+SUMIF(Закрытые!$E$5:$E$300,$B113&amp;"/*",Закрытые!$I$5:$I$300)+SUMIF(Закрытые!$E$5:$E$300,"*/"&amp;$B113,Закрытые!$H$5:$H$300)+SUMIF(История!$B$5:$B$300,$B113&amp;"/*",История!$F$5:$F$300)+SUMIF(История!$B$5:$B$300,"*/"&amp;$B113,История!$E$5:$E$300),8))</f>
        <v/>
      </c>
      <c r="E113" s="339">
        <f>IF($B113="","",ROUND(C113-D113,8))</f>
        <v/>
      </c>
    </row>
    <row r="114" ht="22" customHeight="1">
      <c r="B114" s="320" t="n"/>
      <c r="C114" s="240">
        <f>IF($B114="","",ROUND(SUMIF(Торговля!$E$5:$E$300,$B114&amp;"/*",Торговля!$F$5:$F$300)+SUMIF(Торговля!$E$5:$E$300,"*/"&amp;$B114,Торговля!$K$5:$K$300)+SUMIF(Лэндинг!$E$5:$E$300,$B114&amp;"/*",Лэндинг!$F$5:$F$300)+SUMIF(Лэндинг!$E$5:$E$300,"*/"&amp;$B114,Лэндинг!$K$5:$K$300)+SUMIF(Закрытые!$E$5:$E$300,$B114&amp;"/*",Закрытые!$F$5:$F$300)+SUMIF(Закрытые!$E$5:$E$300,"*/"&amp;$B114,Закрытые!$K$5:$K$300)+SUMIF(История!$B$5:$B$300,$B114&amp;"/*",История!$C$5:$C$300)+SUMIF(История!$B$5:$B$300,"*/"&amp;$B114,История!$H$5:$H$300),8))</f>
        <v/>
      </c>
      <c r="D114" s="240">
        <f>IF($B114="","",ROUND(SUMIF(Торговля!$E$5:$E$300,$B114&amp;"/*",Торговля!$I$5:$I$300)+SUMIF(Торговля!$E$5:$E$300,"*/"&amp;$B114,Торговля!$H$5:$H$300)+SUMIF(Лэндинг!$E$5:$E$300,$B114&amp;"/*",Лэндинг!$I$5:$I$300)+SUMIF(Лэндинг!$E$5:$E$300,"*/"&amp;$B114,Лэндинг!$H$5:$H$300)+SUMIF(Закрытые!$E$5:$E$300,$B114&amp;"/*",Закрытые!$I$5:$I$300)+SUMIF(Закрытые!$E$5:$E$300,"*/"&amp;$B114,Закрытые!$H$5:$H$300)+SUMIF(История!$B$5:$B$300,$B114&amp;"/*",История!$F$5:$F$300)+SUMIF(История!$B$5:$B$300,"*/"&amp;$B114,История!$E$5:$E$300),8))</f>
        <v/>
      </c>
      <c r="E114" s="339">
        <f>IF($B114="","",ROUND(C114-D114,8))</f>
        <v/>
      </c>
    </row>
    <row r="115" ht="22" customHeight="1">
      <c r="B115" s="315" t="n"/>
      <c r="C115" s="240">
        <f>IF($B115="","",ROUND(SUMIF(Торговля!$E$5:$E$300,$B115&amp;"/*",Торговля!$F$5:$F$300)+SUMIF(Торговля!$E$5:$E$300,"*/"&amp;$B115,Торговля!$K$5:$K$300)+SUMIF(Лэндинг!$E$5:$E$300,$B115&amp;"/*",Лэндинг!$F$5:$F$300)+SUMIF(Лэндинг!$E$5:$E$300,"*/"&amp;$B115,Лэндинг!$K$5:$K$300)+SUMIF(Закрытые!$E$5:$E$300,$B115&amp;"/*",Закрытые!$F$5:$F$300)+SUMIF(Закрытые!$E$5:$E$300,"*/"&amp;$B115,Закрытые!$K$5:$K$300)+SUMIF(История!$B$5:$B$300,$B115&amp;"/*",История!$C$5:$C$300)+SUMIF(История!$B$5:$B$300,"*/"&amp;$B115,История!$H$5:$H$300),8))</f>
        <v/>
      </c>
      <c r="D115" s="240">
        <f>IF($B115="","",ROUND(SUMIF(Торговля!$E$5:$E$300,$B115&amp;"/*",Торговля!$I$5:$I$300)+SUMIF(Торговля!$E$5:$E$300,"*/"&amp;$B115,Торговля!$H$5:$H$300)+SUMIF(Лэндинг!$E$5:$E$300,$B115&amp;"/*",Лэндинг!$I$5:$I$300)+SUMIF(Лэндинг!$E$5:$E$300,"*/"&amp;$B115,Лэндинг!$H$5:$H$300)+SUMIF(Закрытые!$E$5:$E$300,$B115&amp;"/*",Закрытые!$I$5:$I$300)+SUMIF(Закрытые!$E$5:$E$300,"*/"&amp;$B115,Закрытые!$H$5:$H$300)+SUMIF(История!$B$5:$B$300,$B115&amp;"/*",История!$F$5:$F$300)+SUMIF(История!$B$5:$B$300,"*/"&amp;$B115,История!$E$5:$E$300),8))</f>
        <v/>
      </c>
      <c r="E115" s="339">
        <f>IF($B115="","",ROUND(C115-D115,8))</f>
        <v/>
      </c>
    </row>
    <row r="116" ht="22" customHeight="1">
      <c r="B116" s="320" t="n"/>
      <c r="C116" s="240">
        <f>IF($B116="","",ROUND(SUMIF(Торговля!$E$5:$E$300,$B116&amp;"/*",Торговля!$F$5:$F$300)+SUMIF(Торговля!$E$5:$E$300,"*/"&amp;$B116,Торговля!$K$5:$K$300)+SUMIF(Лэндинг!$E$5:$E$300,$B116&amp;"/*",Лэндинг!$F$5:$F$300)+SUMIF(Лэндинг!$E$5:$E$300,"*/"&amp;$B116,Лэндинг!$K$5:$K$300)+SUMIF(Закрытые!$E$5:$E$300,$B116&amp;"/*",Закрытые!$F$5:$F$300)+SUMIF(Закрытые!$E$5:$E$300,"*/"&amp;$B116,Закрытые!$K$5:$K$300)+SUMIF(История!$B$5:$B$300,$B116&amp;"/*",История!$C$5:$C$300)+SUMIF(История!$B$5:$B$300,"*/"&amp;$B116,История!$H$5:$H$300),8))</f>
        <v/>
      </c>
      <c r="D116" s="240">
        <f>IF($B116="","",ROUND(SUMIF(Торговля!$E$5:$E$300,$B116&amp;"/*",Торговля!$I$5:$I$300)+SUMIF(Торговля!$E$5:$E$300,"*/"&amp;$B116,Торговля!$H$5:$H$300)+SUMIF(Лэндинг!$E$5:$E$300,$B116&amp;"/*",Лэндинг!$I$5:$I$300)+SUMIF(Лэндинг!$E$5:$E$300,"*/"&amp;$B116,Лэндинг!$H$5:$H$300)+SUMIF(Закрытые!$E$5:$E$300,$B116&amp;"/*",Закрытые!$I$5:$I$300)+SUMIF(Закрытые!$E$5:$E$300,"*/"&amp;$B116,Закрытые!$H$5:$H$300)+SUMIF(История!$B$5:$B$300,$B116&amp;"/*",История!$F$5:$F$300)+SUMIF(История!$B$5:$B$300,"*/"&amp;$B116,История!$E$5:$E$300),8))</f>
        <v/>
      </c>
      <c r="E116" s="339">
        <f>IF($B116="","",ROUND(C116-D116,8))</f>
        <v/>
      </c>
    </row>
    <row r="117" ht="22" customHeight="1">
      <c r="B117" s="315" t="n"/>
      <c r="C117" s="240">
        <f>IF($B117="","",ROUND(SUMIF(Торговля!$E$5:$E$300,$B117&amp;"/*",Торговля!$F$5:$F$300)+SUMIF(Торговля!$E$5:$E$300,"*/"&amp;$B117,Торговля!$K$5:$K$300)+SUMIF(Лэндинг!$E$5:$E$300,$B117&amp;"/*",Лэндинг!$F$5:$F$300)+SUMIF(Лэндинг!$E$5:$E$300,"*/"&amp;$B117,Лэндинг!$K$5:$K$300)+SUMIF(Закрытые!$E$5:$E$300,$B117&amp;"/*",Закрытые!$F$5:$F$300)+SUMIF(Закрытые!$E$5:$E$300,"*/"&amp;$B117,Закрытые!$K$5:$K$300)+SUMIF(История!$B$5:$B$300,$B117&amp;"/*",История!$C$5:$C$300)+SUMIF(История!$B$5:$B$300,"*/"&amp;$B117,История!$H$5:$H$300),8))</f>
        <v/>
      </c>
      <c r="D117" s="240">
        <f>IF($B117="","",ROUND(SUMIF(Торговля!$E$5:$E$300,$B117&amp;"/*",Торговля!$I$5:$I$300)+SUMIF(Торговля!$E$5:$E$300,"*/"&amp;$B117,Торговля!$H$5:$H$300)+SUMIF(Лэндинг!$E$5:$E$300,$B117&amp;"/*",Лэндинг!$I$5:$I$300)+SUMIF(Лэндинг!$E$5:$E$300,"*/"&amp;$B117,Лэндинг!$H$5:$H$300)+SUMIF(Закрытые!$E$5:$E$300,$B117&amp;"/*",Закрытые!$I$5:$I$300)+SUMIF(Закрытые!$E$5:$E$300,"*/"&amp;$B117,Закрытые!$H$5:$H$300)+SUMIF(История!$B$5:$B$300,$B117&amp;"/*",История!$F$5:$F$300)+SUMIF(История!$B$5:$B$300,"*/"&amp;$B117,История!$E$5:$E$300),8))</f>
        <v/>
      </c>
      <c r="E117" s="339">
        <f>IF($B117="","",ROUND(C117-D117,8))</f>
        <v/>
      </c>
    </row>
    <row r="118" ht="22" customHeight="1">
      <c r="B118" s="320" t="n"/>
      <c r="C118" s="240">
        <f>IF($B118="","",ROUND(SUMIF(Торговля!$E$5:$E$300,$B118&amp;"/*",Торговля!$F$5:$F$300)+SUMIF(Торговля!$E$5:$E$300,"*/"&amp;$B118,Торговля!$K$5:$K$300)+SUMIF(Лэндинг!$E$5:$E$300,$B118&amp;"/*",Лэндинг!$F$5:$F$300)+SUMIF(Лэндинг!$E$5:$E$300,"*/"&amp;$B118,Лэндинг!$K$5:$K$300)+SUMIF(Закрытые!$E$5:$E$300,$B118&amp;"/*",Закрытые!$F$5:$F$300)+SUMIF(Закрытые!$E$5:$E$300,"*/"&amp;$B118,Закрытые!$K$5:$K$300)+SUMIF(История!$B$5:$B$300,$B118&amp;"/*",История!$C$5:$C$300)+SUMIF(История!$B$5:$B$300,"*/"&amp;$B118,История!$H$5:$H$300),8))</f>
        <v/>
      </c>
      <c r="D118" s="240">
        <f>IF($B118="","",ROUND(SUMIF(Торговля!$E$5:$E$300,$B118&amp;"/*",Торговля!$I$5:$I$300)+SUMIF(Торговля!$E$5:$E$300,"*/"&amp;$B118,Торговля!$H$5:$H$300)+SUMIF(Лэндинг!$E$5:$E$300,$B118&amp;"/*",Лэндинг!$I$5:$I$300)+SUMIF(Лэндинг!$E$5:$E$300,"*/"&amp;$B118,Лэндинг!$H$5:$H$300)+SUMIF(Закрытые!$E$5:$E$300,$B118&amp;"/*",Закрытые!$I$5:$I$300)+SUMIF(Закрытые!$E$5:$E$300,"*/"&amp;$B118,Закрытые!$H$5:$H$300)+SUMIF(История!$B$5:$B$300,$B118&amp;"/*",История!$F$5:$F$300)+SUMIF(История!$B$5:$B$300,"*/"&amp;$B118,История!$E$5:$E$300),8))</f>
        <v/>
      </c>
      <c r="E118" s="339">
        <f>IF($B118="","",ROUND(C118-D118,8))</f>
        <v/>
      </c>
    </row>
    <row r="119" ht="22" customHeight="1">
      <c r="B119" s="315" t="n"/>
      <c r="C119" s="240">
        <f>IF($B119="","",ROUND(SUMIF(Торговля!$E$5:$E$300,$B119&amp;"/*",Торговля!$F$5:$F$300)+SUMIF(Торговля!$E$5:$E$300,"*/"&amp;$B119,Торговля!$K$5:$K$300)+SUMIF(Лэндинг!$E$5:$E$300,$B119&amp;"/*",Лэндинг!$F$5:$F$300)+SUMIF(Лэндинг!$E$5:$E$300,"*/"&amp;$B119,Лэндинг!$K$5:$K$300)+SUMIF(Закрытые!$E$5:$E$300,$B119&amp;"/*",Закрытые!$F$5:$F$300)+SUMIF(Закрытые!$E$5:$E$300,"*/"&amp;$B119,Закрытые!$K$5:$K$300)+SUMIF(История!$B$5:$B$300,$B119&amp;"/*",История!$C$5:$C$300)+SUMIF(История!$B$5:$B$300,"*/"&amp;$B119,История!$H$5:$H$300),8))</f>
        <v/>
      </c>
      <c r="D119" s="240">
        <f>IF($B119="","",ROUND(SUMIF(Торговля!$E$5:$E$300,$B119&amp;"/*",Торговля!$I$5:$I$300)+SUMIF(Торговля!$E$5:$E$300,"*/"&amp;$B119,Торговля!$H$5:$H$300)+SUMIF(Лэндинг!$E$5:$E$300,$B119&amp;"/*",Лэндинг!$I$5:$I$300)+SUMIF(Лэндинг!$E$5:$E$300,"*/"&amp;$B119,Лэндинг!$H$5:$H$300)+SUMIF(Закрытые!$E$5:$E$300,$B119&amp;"/*",Закрытые!$I$5:$I$300)+SUMIF(Закрытые!$E$5:$E$300,"*/"&amp;$B119,Закрытые!$H$5:$H$300)+SUMIF(История!$B$5:$B$300,$B119&amp;"/*",История!$F$5:$F$300)+SUMIF(История!$B$5:$B$300,"*/"&amp;$B119,История!$E$5:$E$300),8))</f>
        <v/>
      </c>
      <c r="E119" s="339">
        <f>IF($B119="","",ROUND(C119-D119,8))</f>
        <v/>
      </c>
    </row>
    <row r="120" ht="22" customHeight="1">
      <c r="B120" s="320" t="n"/>
      <c r="C120" s="240">
        <f>IF($B120="","",ROUND(SUMIF(Торговля!$E$5:$E$300,$B120&amp;"/*",Торговля!$F$5:$F$300)+SUMIF(Торговля!$E$5:$E$300,"*/"&amp;$B120,Торговля!$K$5:$K$300)+SUMIF(Лэндинг!$E$5:$E$300,$B120&amp;"/*",Лэндинг!$F$5:$F$300)+SUMIF(Лэндинг!$E$5:$E$300,"*/"&amp;$B120,Лэндинг!$K$5:$K$300)+SUMIF(Закрытые!$E$5:$E$300,$B120&amp;"/*",Закрытые!$F$5:$F$300)+SUMIF(Закрытые!$E$5:$E$300,"*/"&amp;$B120,Закрытые!$K$5:$K$300)+SUMIF(История!$B$5:$B$300,$B120&amp;"/*",История!$C$5:$C$300)+SUMIF(История!$B$5:$B$300,"*/"&amp;$B120,История!$H$5:$H$300),8))</f>
        <v/>
      </c>
      <c r="D120" s="240">
        <f>IF($B120="","",ROUND(SUMIF(Торговля!$E$5:$E$300,$B120&amp;"/*",Торговля!$I$5:$I$300)+SUMIF(Торговля!$E$5:$E$300,"*/"&amp;$B120,Торговля!$H$5:$H$300)+SUMIF(Лэндинг!$E$5:$E$300,$B120&amp;"/*",Лэндинг!$I$5:$I$300)+SUMIF(Лэндинг!$E$5:$E$300,"*/"&amp;$B120,Лэндинг!$H$5:$H$300)+SUMIF(Закрытые!$E$5:$E$300,$B120&amp;"/*",Закрытые!$I$5:$I$300)+SUMIF(Закрытые!$E$5:$E$300,"*/"&amp;$B120,Закрытые!$H$5:$H$300)+SUMIF(История!$B$5:$B$300,$B120&amp;"/*",История!$F$5:$F$300)+SUMIF(История!$B$5:$B$300,"*/"&amp;$B120,История!$E$5:$E$300),8))</f>
        <v/>
      </c>
      <c r="E120" s="339">
        <f>IF($B120="","",ROUND(C120-D120,8))</f>
        <v/>
      </c>
    </row>
    <row r="121" ht="22" customHeight="1">
      <c r="B121" s="315" t="n"/>
      <c r="C121" s="240">
        <f>IF($B121="","",ROUND(SUMIF(Торговля!$E$5:$E$300,$B121&amp;"/*",Торговля!$F$5:$F$300)+SUMIF(Торговля!$E$5:$E$300,"*/"&amp;$B121,Торговля!$K$5:$K$300)+SUMIF(Лэндинг!$E$5:$E$300,$B121&amp;"/*",Лэндинг!$F$5:$F$300)+SUMIF(Лэндинг!$E$5:$E$300,"*/"&amp;$B121,Лэндинг!$K$5:$K$300)+SUMIF(Закрытые!$E$5:$E$300,$B121&amp;"/*",Закрытые!$F$5:$F$300)+SUMIF(Закрытые!$E$5:$E$300,"*/"&amp;$B121,Закрытые!$K$5:$K$300)+SUMIF(История!$B$5:$B$300,$B121&amp;"/*",История!$C$5:$C$300)+SUMIF(История!$B$5:$B$300,"*/"&amp;$B121,История!$H$5:$H$300),8))</f>
        <v/>
      </c>
      <c r="D121" s="240">
        <f>IF($B121="","",ROUND(SUMIF(Торговля!$E$5:$E$300,$B121&amp;"/*",Торговля!$I$5:$I$300)+SUMIF(Торговля!$E$5:$E$300,"*/"&amp;$B121,Торговля!$H$5:$H$300)+SUMIF(Лэндинг!$E$5:$E$300,$B121&amp;"/*",Лэндинг!$I$5:$I$300)+SUMIF(Лэндинг!$E$5:$E$300,"*/"&amp;$B121,Лэндинг!$H$5:$H$300)+SUMIF(Закрытые!$E$5:$E$300,$B121&amp;"/*",Закрытые!$I$5:$I$300)+SUMIF(Закрытые!$E$5:$E$300,"*/"&amp;$B121,Закрытые!$H$5:$H$300)+SUMIF(История!$B$5:$B$300,$B121&amp;"/*",История!$F$5:$F$300)+SUMIF(История!$B$5:$B$300,"*/"&amp;$B121,История!$E$5:$E$300),8))</f>
        <v/>
      </c>
      <c r="E121" s="339">
        <f>IF($B121="","",ROUND(C121-D121,8))</f>
        <v/>
      </c>
    </row>
    <row r="122" ht="22" customHeight="1">
      <c r="B122" s="320" t="n"/>
      <c r="C122" s="240">
        <f>IF($B122="","",ROUND(SUMIF(Торговля!$E$5:$E$300,$B122&amp;"/*",Торговля!$F$5:$F$300)+SUMIF(Торговля!$E$5:$E$300,"*/"&amp;$B122,Торговля!$K$5:$K$300)+SUMIF(Лэндинг!$E$5:$E$300,$B122&amp;"/*",Лэндинг!$F$5:$F$300)+SUMIF(Лэндинг!$E$5:$E$300,"*/"&amp;$B122,Лэндинг!$K$5:$K$300)+SUMIF(Закрытые!$E$5:$E$300,$B122&amp;"/*",Закрытые!$F$5:$F$300)+SUMIF(Закрытые!$E$5:$E$300,"*/"&amp;$B122,Закрытые!$K$5:$K$300)+SUMIF(История!$B$5:$B$300,$B122&amp;"/*",История!$C$5:$C$300)+SUMIF(История!$B$5:$B$300,"*/"&amp;$B122,История!$H$5:$H$300),8))</f>
        <v/>
      </c>
      <c r="D122" s="240">
        <f>IF($B122="","",ROUND(SUMIF(Торговля!$E$5:$E$300,$B122&amp;"/*",Торговля!$I$5:$I$300)+SUMIF(Торговля!$E$5:$E$300,"*/"&amp;$B122,Торговля!$H$5:$H$300)+SUMIF(Лэндинг!$E$5:$E$300,$B122&amp;"/*",Лэндинг!$I$5:$I$300)+SUMIF(Лэндинг!$E$5:$E$300,"*/"&amp;$B122,Лэндинг!$H$5:$H$300)+SUMIF(Закрытые!$E$5:$E$300,$B122&amp;"/*",Закрытые!$I$5:$I$300)+SUMIF(Закрытые!$E$5:$E$300,"*/"&amp;$B122,Закрытые!$H$5:$H$300)+SUMIF(История!$B$5:$B$300,$B122&amp;"/*",История!$F$5:$F$300)+SUMIF(История!$B$5:$B$300,"*/"&amp;$B122,История!$E$5:$E$300),8))</f>
        <v/>
      </c>
      <c r="E122" s="339">
        <f>IF($B122="","",ROUND(C122-D122,8))</f>
        <v/>
      </c>
    </row>
    <row r="123" ht="22" customHeight="1">
      <c r="B123" s="315" t="n"/>
      <c r="C123" s="240">
        <f>IF($B123="","",ROUND(SUMIF(Торговля!$E$5:$E$300,$B123&amp;"/*",Торговля!$F$5:$F$300)+SUMIF(Торговля!$E$5:$E$300,"*/"&amp;$B123,Торговля!$K$5:$K$300)+SUMIF(Лэндинг!$E$5:$E$300,$B123&amp;"/*",Лэндинг!$F$5:$F$300)+SUMIF(Лэндинг!$E$5:$E$300,"*/"&amp;$B123,Лэндинг!$K$5:$K$300)+SUMIF(Закрытые!$E$5:$E$300,$B123&amp;"/*",Закрытые!$F$5:$F$300)+SUMIF(Закрытые!$E$5:$E$300,"*/"&amp;$B123,Закрытые!$K$5:$K$300)+SUMIF(История!$B$5:$B$300,$B123&amp;"/*",История!$C$5:$C$300)+SUMIF(История!$B$5:$B$300,"*/"&amp;$B123,История!$H$5:$H$300),8))</f>
        <v/>
      </c>
      <c r="D123" s="240">
        <f>IF($B123="","",ROUND(SUMIF(Торговля!$E$5:$E$300,$B123&amp;"/*",Торговля!$I$5:$I$300)+SUMIF(Торговля!$E$5:$E$300,"*/"&amp;$B123,Торговля!$H$5:$H$300)+SUMIF(Лэндинг!$E$5:$E$300,$B123&amp;"/*",Лэндинг!$I$5:$I$300)+SUMIF(Лэндинг!$E$5:$E$300,"*/"&amp;$B123,Лэндинг!$H$5:$H$300)+SUMIF(Закрытые!$E$5:$E$300,$B123&amp;"/*",Закрытые!$I$5:$I$300)+SUMIF(Закрытые!$E$5:$E$300,"*/"&amp;$B123,Закрытые!$H$5:$H$300)+SUMIF(История!$B$5:$B$300,$B123&amp;"/*",История!$F$5:$F$300)+SUMIF(История!$B$5:$B$300,"*/"&amp;$B123,История!$E$5:$E$300),8))</f>
        <v/>
      </c>
      <c r="E123" s="339">
        <f>IF($B123="","",ROUND(C123-D123,8))</f>
        <v/>
      </c>
    </row>
    <row r="124" ht="22" customHeight="1">
      <c r="B124" s="320" t="n"/>
      <c r="C124" s="240">
        <f>IF($B124="","",ROUND(SUMIF(Торговля!$E$5:$E$300,$B124&amp;"/*",Торговля!$F$5:$F$300)+SUMIF(Торговля!$E$5:$E$300,"*/"&amp;$B124,Торговля!$K$5:$K$300)+SUMIF(Лэндинг!$E$5:$E$300,$B124&amp;"/*",Лэндинг!$F$5:$F$300)+SUMIF(Лэндинг!$E$5:$E$300,"*/"&amp;$B124,Лэндинг!$K$5:$K$300)+SUMIF(Закрытые!$E$5:$E$300,$B124&amp;"/*",Закрытые!$F$5:$F$300)+SUMIF(Закрытые!$E$5:$E$300,"*/"&amp;$B124,Закрытые!$K$5:$K$300)+SUMIF(История!$B$5:$B$300,$B124&amp;"/*",История!$C$5:$C$300)+SUMIF(История!$B$5:$B$300,"*/"&amp;$B124,История!$H$5:$H$300),8))</f>
        <v/>
      </c>
      <c r="D124" s="240">
        <f>IF($B124="","",ROUND(SUMIF(Торговля!$E$5:$E$300,$B124&amp;"/*",Торговля!$I$5:$I$300)+SUMIF(Торговля!$E$5:$E$300,"*/"&amp;$B124,Торговля!$H$5:$H$300)+SUMIF(Лэндинг!$E$5:$E$300,$B124&amp;"/*",Лэндинг!$I$5:$I$300)+SUMIF(Лэндинг!$E$5:$E$300,"*/"&amp;$B124,Лэндинг!$H$5:$H$300)+SUMIF(Закрытые!$E$5:$E$300,$B124&amp;"/*",Закрытые!$I$5:$I$300)+SUMIF(Закрытые!$E$5:$E$300,"*/"&amp;$B124,Закрытые!$H$5:$H$300)+SUMIF(История!$B$5:$B$300,$B124&amp;"/*",История!$F$5:$F$300)+SUMIF(История!$B$5:$B$300,"*/"&amp;$B124,История!$E$5:$E$300),8))</f>
        <v/>
      </c>
      <c r="E124" s="339">
        <f>IF($B124="","",ROUND(C124-D124,8))</f>
        <v/>
      </c>
    </row>
    <row r="125" ht="22" customHeight="1">
      <c r="B125" s="315" t="n"/>
      <c r="C125" s="240">
        <f>IF($B125="","",ROUND(SUMIF(Торговля!$E$5:$E$300,$B125&amp;"/*",Торговля!$F$5:$F$300)+SUMIF(Торговля!$E$5:$E$300,"*/"&amp;$B125,Торговля!$K$5:$K$300)+SUMIF(Лэндинг!$E$5:$E$300,$B125&amp;"/*",Лэндинг!$F$5:$F$300)+SUMIF(Лэндинг!$E$5:$E$300,"*/"&amp;$B125,Лэндинг!$K$5:$K$300)+SUMIF(Закрытые!$E$5:$E$300,$B125&amp;"/*",Закрытые!$F$5:$F$300)+SUMIF(Закрытые!$E$5:$E$300,"*/"&amp;$B125,Закрытые!$K$5:$K$300)+SUMIF(История!$B$5:$B$300,$B125&amp;"/*",История!$C$5:$C$300)+SUMIF(История!$B$5:$B$300,"*/"&amp;$B125,История!$H$5:$H$300),8))</f>
        <v/>
      </c>
      <c r="D125" s="240">
        <f>IF($B125="","",ROUND(SUMIF(Торговля!$E$5:$E$300,$B125&amp;"/*",Торговля!$I$5:$I$300)+SUMIF(Торговля!$E$5:$E$300,"*/"&amp;$B125,Торговля!$H$5:$H$300)+SUMIF(Лэндинг!$E$5:$E$300,$B125&amp;"/*",Лэндинг!$I$5:$I$300)+SUMIF(Лэндинг!$E$5:$E$300,"*/"&amp;$B125,Лэндинг!$H$5:$H$300)+SUMIF(Закрытые!$E$5:$E$300,$B125&amp;"/*",Закрытые!$I$5:$I$300)+SUMIF(Закрытые!$E$5:$E$300,"*/"&amp;$B125,Закрытые!$H$5:$H$300)+SUMIF(История!$B$5:$B$300,$B125&amp;"/*",История!$F$5:$F$300)+SUMIF(История!$B$5:$B$300,"*/"&amp;$B125,История!$E$5:$E$300),8))</f>
        <v/>
      </c>
      <c r="E125" s="339">
        <f>IF($B125="","",ROUND(C125-D125,8))</f>
        <v/>
      </c>
    </row>
    <row r="126" ht="22" customHeight="1">
      <c r="B126" s="320" t="n"/>
      <c r="C126" s="240">
        <f>IF($B126="","",ROUND(SUMIF(Торговля!$E$5:$E$300,$B126&amp;"/*",Торговля!$F$5:$F$300)+SUMIF(Торговля!$E$5:$E$300,"*/"&amp;$B126,Торговля!$K$5:$K$300)+SUMIF(Лэндинг!$E$5:$E$300,$B126&amp;"/*",Лэндинг!$F$5:$F$300)+SUMIF(Лэндинг!$E$5:$E$300,"*/"&amp;$B126,Лэндинг!$K$5:$K$300)+SUMIF(Закрытые!$E$5:$E$300,$B126&amp;"/*",Закрытые!$F$5:$F$300)+SUMIF(Закрытые!$E$5:$E$300,"*/"&amp;$B126,Закрытые!$K$5:$K$300)+SUMIF(История!$B$5:$B$300,$B126&amp;"/*",История!$C$5:$C$300)+SUMIF(История!$B$5:$B$300,"*/"&amp;$B126,История!$H$5:$H$300),8))</f>
        <v/>
      </c>
      <c r="D126" s="240">
        <f>IF($B126="","",ROUND(SUMIF(Торговля!$E$5:$E$300,$B126&amp;"/*",Торговля!$I$5:$I$300)+SUMIF(Торговля!$E$5:$E$300,"*/"&amp;$B126,Торговля!$H$5:$H$300)+SUMIF(Лэндинг!$E$5:$E$300,$B126&amp;"/*",Лэндинг!$I$5:$I$300)+SUMIF(Лэндинг!$E$5:$E$300,"*/"&amp;$B126,Лэндинг!$H$5:$H$300)+SUMIF(Закрытые!$E$5:$E$300,$B126&amp;"/*",Закрытые!$I$5:$I$300)+SUMIF(Закрытые!$E$5:$E$300,"*/"&amp;$B126,Закрытые!$H$5:$H$300)+SUMIF(История!$B$5:$B$300,$B126&amp;"/*",История!$F$5:$F$300)+SUMIF(История!$B$5:$B$300,"*/"&amp;$B126,История!$E$5:$E$300),8))</f>
        <v/>
      </c>
      <c r="E126" s="339">
        <f>IF($B126="","",ROUND(C126-D126,8))</f>
        <v/>
      </c>
    </row>
    <row r="127" ht="22" customHeight="1">
      <c r="B127" s="315" t="n"/>
      <c r="C127" s="240">
        <f>IF($B127="","",ROUND(SUMIF(Торговля!$E$5:$E$300,$B127&amp;"/*",Торговля!$F$5:$F$300)+SUMIF(Торговля!$E$5:$E$300,"*/"&amp;$B127,Торговля!$K$5:$K$300)+SUMIF(Лэндинг!$E$5:$E$300,$B127&amp;"/*",Лэндинг!$F$5:$F$300)+SUMIF(Лэндинг!$E$5:$E$300,"*/"&amp;$B127,Лэндинг!$K$5:$K$300)+SUMIF(Закрытые!$E$5:$E$300,$B127&amp;"/*",Закрытые!$F$5:$F$300)+SUMIF(Закрытые!$E$5:$E$300,"*/"&amp;$B127,Закрытые!$K$5:$K$300)+SUMIF(История!$B$5:$B$300,$B127&amp;"/*",История!$C$5:$C$300)+SUMIF(История!$B$5:$B$300,"*/"&amp;$B127,История!$H$5:$H$300),8))</f>
        <v/>
      </c>
      <c r="D127" s="240">
        <f>IF($B127="","",ROUND(SUMIF(Торговля!$E$5:$E$300,$B127&amp;"/*",Торговля!$I$5:$I$300)+SUMIF(Торговля!$E$5:$E$300,"*/"&amp;$B127,Торговля!$H$5:$H$300)+SUMIF(Лэндинг!$E$5:$E$300,$B127&amp;"/*",Лэндинг!$I$5:$I$300)+SUMIF(Лэндинг!$E$5:$E$300,"*/"&amp;$B127,Лэндинг!$H$5:$H$300)+SUMIF(Закрытые!$E$5:$E$300,$B127&amp;"/*",Закрытые!$I$5:$I$300)+SUMIF(Закрытые!$E$5:$E$300,"*/"&amp;$B127,Закрытые!$H$5:$H$300)+SUMIF(История!$B$5:$B$300,$B127&amp;"/*",История!$F$5:$F$300)+SUMIF(История!$B$5:$B$300,"*/"&amp;$B127,История!$E$5:$E$300),8))</f>
        <v/>
      </c>
      <c r="E127" s="339">
        <f>IF($B127="","",ROUND(C127-D127,8))</f>
        <v/>
      </c>
    </row>
    <row r="128" ht="22" customHeight="1">
      <c r="B128" s="320" t="n"/>
      <c r="C128" s="240">
        <f>IF($B128="","",ROUND(SUMIF(Торговля!$E$5:$E$300,$B128&amp;"/*",Торговля!$F$5:$F$300)+SUMIF(Торговля!$E$5:$E$300,"*/"&amp;$B128,Торговля!$K$5:$K$300)+SUMIF(Лэндинг!$E$5:$E$300,$B128&amp;"/*",Лэндинг!$F$5:$F$300)+SUMIF(Лэндинг!$E$5:$E$300,"*/"&amp;$B128,Лэндинг!$K$5:$K$300)+SUMIF(Закрытые!$E$5:$E$300,$B128&amp;"/*",Закрытые!$F$5:$F$300)+SUMIF(Закрытые!$E$5:$E$300,"*/"&amp;$B128,Закрытые!$K$5:$K$300)+SUMIF(История!$B$5:$B$300,$B128&amp;"/*",История!$C$5:$C$300)+SUMIF(История!$B$5:$B$300,"*/"&amp;$B128,История!$H$5:$H$300),8))</f>
        <v/>
      </c>
      <c r="D128" s="240">
        <f>IF($B128="","",ROUND(SUMIF(Торговля!$E$5:$E$300,$B128&amp;"/*",Торговля!$I$5:$I$300)+SUMIF(Торговля!$E$5:$E$300,"*/"&amp;$B128,Торговля!$H$5:$H$300)+SUMIF(Лэндинг!$E$5:$E$300,$B128&amp;"/*",Лэндинг!$I$5:$I$300)+SUMIF(Лэндинг!$E$5:$E$300,"*/"&amp;$B128,Лэндинг!$H$5:$H$300)+SUMIF(Закрытые!$E$5:$E$300,$B128&amp;"/*",Закрытые!$I$5:$I$300)+SUMIF(Закрытые!$E$5:$E$300,"*/"&amp;$B128,Закрытые!$H$5:$H$300)+SUMIF(История!$B$5:$B$300,$B128&amp;"/*",История!$F$5:$F$300)+SUMIF(История!$B$5:$B$300,"*/"&amp;$B128,История!$E$5:$E$300),8))</f>
        <v/>
      </c>
      <c r="E128" s="339">
        <f>IF($B128="","",ROUND(C128-D128,8))</f>
        <v/>
      </c>
    </row>
    <row r="129" ht="22" customHeight="1">
      <c r="B129" s="315" t="n"/>
      <c r="C129" s="240">
        <f>IF($B129="","",ROUND(SUMIF(Торговля!$E$5:$E$300,$B129&amp;"/*",Торговля!$F$5:$F$300)+SUMIF(Торговля!$E$5:$E$300,"*/"&amp;$B129,Торговля!$K$5:$K$300)+SUMIF(Лэндинг!$E$5:$E$300,$B129&amp;"/*",Лэндинг!$F$5:$F$300)+SUMIF(Лэндинг!$E$5:$E$300,"*/"&amp;$B129,Лэндинг!$K$5:$K$300)+SUMIF(Закрытые!$E$5:$E$300,$B129&amp;"/*",Закрытые!$F$5:$F$300)+SUMIF(Закрытые!$E$5:$E$300,"*/"&amp;$B129,Закрытые!$K$5:$K$300)+SUMIF(История!$B$5:$B$300,$B129&amp;"/*",История!$C$5:$C$300)+SUMIF(История!$B$5:$B$300,"*/"&amp;$B129,История!$H$5:$H$300),8))</f>
        <v/>
      </c>
      <c r="D129" s="240">
        <f>IF($B129="","",ROUND(SUMIF(Торговля!$E$5:$E$300,$B129&amp;"/*",Торговля!$I$5:$I$300)+SUMIF(Торговля!$E$5:$E$300,"*/"&amp;$B129,Торговля!$H$5:$H$300)+SUMIF(Лэндинг!$E$5:$E$300,$B129&amp;"/*",Лэндинг!$I$5:$I$300)+SUMIF(Лэндинг!$E$5:$E$300,"*/"&amp;$B129,Лэндинг!$H$5:$H$300)+SUMIF(Закрытые!$E$5:$E$300,$B129&amp;"/*",Закрытые!$I$5:$I$300)+SUMIF(Закрытые!$E$5:$E$300,"*/"&amp;$B129,Закрытые!$H$5:$H$300)+SUMIF(История!$B$5:$B$300,$B129&amp;"/*",История!$F$5:$F$300)+SUMIF(История!$B$5:$B$300,"*/"&amp;$B129,История!$E$5:$E$300),8))</f>
        <v/>
      </c>
      <c r="E129" s="339">
        <f>IF($B129="","",ROUND(C129-D129,8))</f>
        <v/>
      </c>
    </row>
    <row r="130" ht="22" customHeight="1">
      <c r="B130" s="320" t="n"/>
      <c r="C130" s="240">
        <f>IF($B130="","",ROUND(SUMIF(Торговля!$E$5:$E$300,$B130&amp;"/*",Торговля!$F$5:$F$300)+SUMIF(Торговля!$E$5:$E$300,"*/"&amp;$B130,Торговля!$K$5:$K$300)+SUMIF(Лэндинг!$E$5:$E$300,$B130&amp;"/*",Лэндинг!$F$5:$F$300)+SUMIF(Лэндинг!$E$5:$E$300,"*/"&amp;$B130,Лэндинг!$K$5:$K$300)+SUMIF(Закрытые!$E$5:$E$300,$B130&amp;"/*",Закрытые!$F$5:$F$300)+SUMIF(Закрытые!$E$5:$E$300,"*/"&amp;$B130,Закрытые!$K$5:$K$300)+SUMIF(История!$B$5:$B$300,$B130&amp;"/*",История!$C$5:$C$300)+SUMIF(История!$B$5:$B$300,"*/"&amp;$B130,История!$H$5:$H$300),8))</f>
        <v/>
      </c>
      <c r="D130" s="240">
        <f>IF($B130="","",ROUND(SUMIF(Торговля!$E$5:$E$300,$B130&amp;"/*",Торговля!$I$5:$I$300)+SUMIF(Торговля!$E$5:$E$300,"*/"&amp;$B130,Торговля!$H$5:$H$300)+SUMIF(Лэндинг!$E$5:$E$300,$B130&amp;"/*",Лэндинг!$I$5:$I$300)+SUMIF(Лэндинг!$E$5:$E$300,"*/"&amp;$B130,Лэндинг!$H$5:$H$300)+SUMIF(Закрытые!$E$5:$E$300,$B130&amp;"/*",Закрытые!$I$5:$I$300)+SUMIF(Закрытые!$E$5:$E$300,"*/"&amp;$B130,Закрытые!$H$5:$H$300)+SUMIF(История!$B$5:$B$300,$B130&amp;"/*",История!$F$5:$F$300)+SUMIF(История!$B$5:$B$300,"*/"&amp;$B130,История!$E$5:$E$300),8))</f>
        <v/>
      </c>
      <c r="E130" s="339">
        <f>IF($B130="","",ROUND(C130-D130,8))</f>
        <v/>
      </c>
    </row>
    <row r="131" ht="22" customHeight="1">
      <c r="B131" s="315" t="n"/>
      <c r="C131" s="240">
        <f>IF($B131="","",ROUND(SUMIF(Торговля!$E$5:$E$300,$B131&amp;"/*",Торговля!$F$5:$F$300)+SUMIF(Торговля!$E$5:$E$300,"*/"&amp;$B131,Торговля!$K$5:$K$300)+SUMIF(Лэндинг!$E$5:$E$300,$B131&amp;"/*",Лэндинг!$F$5:$F$300)+SUMIF(Лэндинг!$E$5:$E$300,"*/"&amp;$B131,Лэндинг!$K$5:$K$300)+SUMIF(Закрытые!$E$5:$E$300,$B131&amp;"/*",Закрытые!$F$5:$F$300)+SUMIF(Закрытые!$E$5:$E$300,"*/"&amp;$B131,Закрытые!$K$5:$K$300)+SUMIF(История!$B$5:$B$300,$B131&amp;"/*",История!$C$5:$C$300)+SUMIF(История!$B$5:$B$300,"*/"&amp;$B131,История!$H$5:$H$300),8))</f>
        <v/>
      </c>
      <c r="D131" s="240">
        <f>IF($B131="","",ROUND(SUMIF(Торговля!$E$5:$E$300,$B131&amp;"/*",Торговля!$I$5:$I$300)+SUMIF(Торговля!$E$5:$E$300,"*/"&amp;$B131,Торговля!$H$5:$H$300)+SUMIF(Лэндинг!$E$5:$E$300,$B131&amp;"/*",Лэндинг!$I$5:$I$300)+SUMIF(Лэндинг!$E$5:$E$300,"*/"&amp;$B131,Лэндинг!$H$5:$H$300)+SUMIF(Закрытые!$E$5:$E$300,$B131&amp;"/*",Закрытые!$I$5:$I$300)+SUMIF(Закрытые!$E$5:$E$300,"*/"&amp;$B131,Закрытые!$H$5:$H$300)+SUMIF(История!$B$5:$B$300,$B131&amp;"/*",История!$F$5:$F$300)+SUMIF(История!$B$5:$B$300,"*/"&amp;$B131,История!$E$5:$E$300),8))</f>
        <v/>
      </c>
      <c r="E131" s="339">
        <f>IF($B131="","",ROUND(C131-D131,8))</f>
        <v/>
      </c>
    </row>
    <row r="132" ht="22" customHeight="1">
      <c r="B132" s="320" t="n"/>
      <c r="C132" s="240">
        <f>IF($B132="","",ROUND(SUMIF(Торговля!$E$5:$E$300,$B132&amp;"/*",Торговля!$F$5:$F$300)+SUMIF(Торговля!$E$5:$E$300,"*/"&amp;$B132,Торговля!$K$5:$K$300)+SUMIF(Лэндинг!$E$5:$E$300,$B132&amp;"/*",Лэндинг!$F$5:$F$300)+SUMIF(Лэндинг!$E$5:$E$300,"*/"&amp;$B132,Лэндинг!$K$5:$K$300)+SUMIF(Закрытые!$E$5:$E$300,$B132&amp;"/*",Закрытые!$F$5:$F$300)+SUMIF(Закрытые!$E$5:$E$300,"*/"&amp;$B132,Закрытые!$K$5:$K$300)+SUMIF(История!$B$5:$B$300,$B132&amp;"/*",История!$C$5:$C$300)+SUMIF(История!$B$5:$B$300,"*/"&amp;$B132,История!$H$5:$H$300),8))</f>
        <v/>
      </c>
      <c r="D132" s="240">
        <f>IF($B132="","",ROUND(SUMIF(Торговля!$E$5:$E$300,$B132&amp;"/*",Торговля!$I$5:$I$300)+SUMIF(Торговля!$E$5:$E$300,"*/"&amp;$B132,Торговля!$H$5:$H$300)+SUMIF(Лэндинг!$E$5:$E$300,$B132&amp;"/*",Лэндинг!$I$5:$I$300)+SUMIF(Лэндинг!$E$5:$E$300,"*/"&amp;$B132,Лэндинг!$H$5:$H$300)+SUMIF(Закрытые!$E$5:$E$300,$B132&amp;"/*",Закрытые!$I$5:$I$300)+SUMIF(Закрытые!$E$5:$E$300,"*/"&amp;$B132,Закрытые!$H$5:$H$300)+SUMIF(История!$B$5:$B$300,$B132&amp;"/*",История!$F$5:$F$300)+SUMIF(История!$B$5:$B$300,"*/"&amp;$B132,История!$E$5:$E$300),8))</f>
        <v/>
      </c>
      <c r="E132" s="339">
        <f>IF($B132="","",ROUND(C132-D132,8))</f>
        <v/>
      </c>
    </row>
    <row r="133" ht="22" customHeight="1">
      <c r="B133" s="315" t="n"/>
      <c r="C133" s="240">
        <f>IF($B133="","",ROUND(SUMIF(Торговля!$E$5:$E$300,$B133&amp;"/*",Торговля!$F$5:$F$300)+SUMIF(Торговля!$E$5:$E$300,"*/"&amp;$B133,Торговля!$K$5:$K$300)+SUMIF(Лэндинг!$E$5:$E$300,$B133&amp;"/*",Лэндинг!$F$5:$F$300)+SUMIF(Лэндинг!$E$5:$E$300,"*/"&amp;$B133,Лэндинг!$K$5:$K$300)+SUMIF(Закрытые!$E$5:$E$300,$B133&amp;"/*",Закрытые!$F$5:$F$300)+SUMIF(Закрытые!$E$5:$E$300,"*/"&amp;$B133,Закрытые!$K$5:$K$300)+SUMIF(История!$B$5:$B$300,$B133&amp;"/*",История!$C$5:$C$300)+SUMIF(История!$B$5:$B$300,"*/"&amp;$B133,История!$H$5:$H$300),8))</f>
        <v/>
      </c>
      <c r="D133" s="240">
        <f>IF($B133="","",ROUND(SUMIF(Торговля!$E$5:$E$300,$B133&amp;"/*",Торговля!$I$5:$I$300)+SUMIF(Торговля!$E$5:$E$300,"*/"&amp;$B133,Торговля!$H$5:$H$300)+SUMIF(Лэндинг!$E$5:$E$300,$B133&amp;"/*",Лэндинг!$I$5:$I$300)+SUMIF(Лэндинг!$E$5:$E$300,"*/"&amp;$B133,Лэндинг!$H$5:$H$300)+SUMIF(Закрытые!$E$5:$E$300,$B133&amp;"/*",Закрытые!$I$5:$I$300)+SUMIF(Закрытые!$E$5:$E$300,"*/"&amp;$B133,Закрытые!$H$5:$H$300)+SUMIF(История!$B$5:$B$300,$B133&amp;"/*",История!$F$5:$F$300)+SUMIF(История!$B$5:$B$300,"*/"&amp;$B133,История!$E$5:$E$300),8))</f>
        <v/>
      </c>
      <c r="E133" s="339">
        <f>IF($B133="","",ROUND(C133-D133,8))</f>
        <v/>
      </c>
    </row>
    <row r="134" ht="22" customHeight="1">
      <c r="B134" s="320" t="n"/>
      <c r="C134" s="240">
        <f>IF($B134="","",ROUND(SUMIF(Торговля!$E$5:$E$300,$B134&amp;"/*",Торговля!$F$5:$F$300)+SUMIF(Торговля!$E$5:$E$300,"*/"&amp;$B134,Торговля!$K$5:$K$300)+SUMIF(Лэндинг!$E$5:$E$300,$B134&amp;"/*",Лэндинг!$F$5:$F$300)+SUMIF(Лэндинг!$E$5:$E$300,"*/"&amp;$B134,Лэндинг!$K$5:$K$300)+SUMIF(Закрытые!$E$5:$E$300,$B134&amp;"/*",Закрытые!$F$5:$F$300)+SUMIF(Закрытые!$E$5:$E$300,"*/"&amp;$B134,Закрытые!$K$5:$K$300)+SUMIF(История!$B$5:$B$300,$B134&amp;"/*",История!$C$5:$C$300)+SUMIF(История!$B$5:$B$300,"*/"&amp;$B134,История!$H$5:$H$300),8))</f>
        <v/>
      </c>
      <c r="D134" s="240">
        <f>IF($B134="","",ROUND(SUMIF(Торговля!$E$5:$E$300,$B134&amp;"/*",Торговля!$I$5:$I$300)+SUMIF(Торговля!$E$5:$E$300,"*/"&amp;$B134,Торговля!$H$5:$H$300)+SUMIF(Лэндинг!$E$5:$E$300,$B134&amp;"/*",Лэндинг!$I$5:$I$300)+SUMIF(Лэндинг!$E$5:$E$300,"*/"&amp;$B134,Лэндинг!$H$5:$H$300)+SUMIF(Закрытые!$E$5:$E$300,$B134&amp;"/*",Закрытые!$I$5:$I$300)+SUMIF(Закрытые!$E$5:$E$300,"*/"&amp;$B134,Закрытые!$H$5:$H$300)+SUMIF(История!$B$5:$B$300,$B134&amp;"/*",История!$F$5:$F$300)+SUMIF(История!$B$5:$B$300,"*/"&amp;$B134,История!$E$5:$E$300),8))</f>
        <v/>
      </c>
      <c r="E134" s="339">
        <f>IF($B134="","",ROUND(C134-D134,8))</f>
        <v/>
      </c>
    </row>
    <row r="135" ht="22" customHeight="1">
      <c r="B135" s="315" t="n"/>
      <c r="C135" s="240">
        <f>IF($B135="","",ROUND(SUMIF(Торговля!$E$5:$E$300,$B135&amp;"/*",Торговля!$F$5:$F$300)+SUMIF(Торговля!$E$5:$E$300,"*/"&amp;$B135,Торговля!$K$5:$K$300)+SUMIF(Лэндинг!$E$5:$E$300,$B135&amp;"/*",Лэндинг!$F$5:$F$300)+SUMIF(Лэндинг!$E$5:$E$300,"*/"&amp;$B135,Лэндинг!$K$5:$K$300)+SUMIF(Закрытые!$E$5:$E$300,$B135&amp;"/*",Закрытые!$F$5:$F$300)+SUMIF(Закрытые!$E$5:$E$300,"*/"&amp;$B135,Закрытые!$K$5:$K$300)+SUMIF(История!$B$5:$B$300,$B135&amp;"/*",История!$C$5:$C$300)+SUMIF(История!$B$5:$B$300,"*/"&amp;$B135,История!$H$5:$H$300),8))</f>
        <v/>
      </c>
      <c r="D135" s="240">
        <f>IF($B135="","",ROUND(SUMIF(Торговля!$E$5:$E$300,$B135&amp;"/*",Торговля!$I$5:$I$300)+SUMIF(Торговля!$E$5:$E$300,"*/"&amp;$B135,Торговля!$H$5:$H$300)+SUMIF(Лэндинг!$E$5:$E$300,$B135&amp;"/*",Лэндинг!$I$5:$I$300)+SUMIF(Лэндинг!$E$5:$E$300,"*/"&amp;$B135,Лэндинг!$H$5:$H$300)+SUMIF(Закрытые!$E$5:$E$300,$B135&amp;"/*",Закрытые!$I$5:$I$300)+SUMIF(Закрытые!$E$5:$E$300,"*/"&amp;$B135,Закрытые!$H$5:$H$300)+SUMIF(История!$B$5:$B$300,$B135&amp;"/*",История!$F$5:$F$300)+SUMIF(История!$B$5:$B$300,"*/"&amp;$B135,История!$E$5:$E$300),8))</f>
        <v/>
      </c>
      <c r="E135" s="339">
        <f>IF($B135="","",ROUND(C135-D135,8))</f>
        <v/>
      </c>
    </row>
    <row r="136" ht="22" customHeight="1">
      <c r="B136" s="320" t="n"/>
      <c r="C136" s="240">
        <f>IF($B136="","",ROUND(SUMIF(Торговля!$E$5:$E$300,$B136&amp;"/*",Торговля!$F$5:$F$300)+SUMIF(Торговля!$E$5:$E$300,"*/"&amp;$B136,Торговля!$K$5:$K$300)+SUMIF(Лэндинг!$E$5:$E$300,$B136&amp;"/*",Лэндинг!$F$5:$F$300)+SUMIF(Лэндинг!$E$5:$E$300,"*/"&amp;$B136,Лэндинг!$K$5:$K$300)+SUMIF(Закрытые!$E$5:$E$300,$B136&amp;"/*",Закрытые!$F$5:$F$300)+SUMIF(Закрытые!$E$5:$E$300,"*/"&amp;$B136,Закрытые!$K$5:$K$300)+SUMIF(История!$B$5:$B$300,$B136&amp;"/*",История!$C$5:$C$300)+SUMIF(История!$B$5:$B$300,"*/"&amp;$B136,История!$H$5:$H$300),8))</f>
        <v/>
      </c>
      <c r="D136" s="240">
        <f>IF($B136="","",ROUND(SUMIF(Торговля!$E$5:$E$300,$B136&amp;"/*",Торговля!$I$5:$I$300)+SUMIF(Торговля!$E$5:$E$300,"*/"&amp;$B136,Торговля!$H$5:$H$300)+SUMIF(Лэндинг!$E$5:$E$300,$B136&amp;"/*",Лэндинг!$I$5:$I$300)+SUMIF(Лэндинг!$E$5:$E$300,"*/"&amp;$B136,Лэндинг!$H$5:$H$300)+SUMIF(Закрытые!$E$5:$E$300,$B136&amp;"/*",Закрытые!$I$5:$I$300)+SUMIF(Закрытые!$E$5:$E$300,"*/"&amp;$B136,Закрытые!$H$5:$H$300)+SUMIF(История!$B$5:$B$300,$B136&amp;"/*",История!$F$5:$F$300)+SUMIF(История!$B$5:$B$300,"*/"&amp;$B136,История!$E$5:$E$300),8))</f>
        <v/>
      </c>
      <c r="E136" s="339">
        <f>IF($B136="","",ROUND(C136-D136,8))</f>
        <v/>
      </c>
    </row>
    <row r="137" ht="22" customHeight="1">
      <c r="B137" s="315" t="n"/>
      <c r="C137" s="240">
        <f>IF($B137="","",ROUND(SUMIF(Торговля!$E$5:$E$300,$B137&amp;"/*",Торговля!$F$5:$F$300)+SUMIF(Торговля!$E$5:$E$300,"*/"&amp;$B137,Торговля!$K$5:$K$300)+SUMIF(Лэндинг!$E$5:$E$300,$B137&amp;"/*",Лэндинг!$F$5:$F$300)+SUMIF(Лэндинг!$E$5:$E$300,"*/"&amp;$B137,Лэндинг!$K$5:$K$300)+SUMIF(Закрытые!$E$5:$E$300,$B137&amp;"/*",Закрытые!$F$5:$F$300)+SUMIF(Закрытые!$E$5:$E$300,"*/"&amp;$B137,Закрытые!$K$5:$K$300)+SUMIF(История!$B$5:$B$300,$B137&amp;"/*",История!$C$5:$C$300)+SUMIF(История!$B$5:$B$300,"*/"&amp;$B137,История!$H$5:$H$300),8))</f>
        <v/>
      </c>
      <c r="D137" s="240">
        <f>IF($B137="","",ROUND(SUMIF(Торговля!$E$5:$E$300,$B137&amp;"/*",Торговля!$I$5:$I$300)+SUMIF(Торговля!$E$5:$E$300,"*/"&amp;$B137,Торговля!$H$5:$H$300)+SUMIF(Лэндинг!$E$5:$E$300,$B137&amp;"/*",Лэндинг!$I$5:$I$300)+SUMIF(Лэндинг!$E$5:$E$300,"*/"&amp;$B137,Лэндинг!$H$5:$H$300)+SUMIF(Закрытые!$E$5:$E$300,$B137&amp;"/*",Закрытые!$I$5:$I$300)+SUMIF(Закрытые!$E$5:$E$300,"*/"&amp;$B137,Закрытые!$H$5:$H$300)+SUMIF(История!$B$5:$B$300,$B137&amp;"/*",История!$F$5:$F$300)+SUMIF(История!$B$5:$B$300,"*/"&amp;$B137,История!$E$5:$E$300),8))</f>
        <v/>
      </c>
      <c r="E137" s="339">
        <f>IF($B137="","",ROUND(C137-D137,8))</f>
        <v/>
      </c>
    </row>
    <row r="138" ht="22" customHeight="1">
      <c r="B138" s="320" t="n"/>
      <c r="C138" s="240">
        <f>IF($B138="","",ROUND(SUMIF(Торговля!$E$5:$E$300,$B138&amp;"/*",Торговля!$F$5:$F$300)+SUMIF(Торговля!$E$5:$E$300,"*/"&amp;$B138,Торговля!$K$5:$K$300)+SUMIF(Лэндинг!$E$5:$E$300,$B138&amp;"/*",Лэндинг!$F$5:$F$300)+SUMIF(Лэндинг!$E$5:$E$300,"*/"&amp;$B138,Лэндинг!$K$5:$K$300)+SUMIF(Закрытые!$E$5:$E$300,$B138&amp;"/*",Закрытые!$F$5:$F$300)+SUMIF(Закрытые!$E$5:$E$300,"*/"&amp;$B138,Закрытые!$K$5:$K$300)+SUMIF(История!$B$5:$B$300,$B138&amp;"/*",История!$C$5:$C$300)+SUMIF(История!$B$5:$B$300,"*/"&amp;$B138,История!$H$5:$H$300),8))</f>
        <v/>
      </c>
      <c r="D138" s="240">
        <f>IF($B138="","",ROUND(SUMIF(Торговля!$E$5:$E$300,$B138&amp;"/*",Торговля!$I$5:$I$300)+SUMIF(Торговля!$E$5:$E$300,"*/"&amp;$B138,Торговля!$H$5:$H$300)+SUMIF(Лэндинг!$E$5:$E$300,$B138&amp;"/*",Лэндинг!$I$5:$I$300)+SUMIF(Лэндинг!$E$5:$E$300,"*/"&amp;$B138,Лэндинг!$H$5:$H$300)+SUMIF(Закрытые!$E$5:$E$300,$B138&amp;"/*",Закрытые!$I$5:$I$300)+SUMIF(Закрытые!$E$5:$E$300,"*/"&amp;$B138,Закрытые!$H$5:$H$300)+SUMIF(История!$B$5:$B$300,$B138&amp;"/*",История!$F$5:$F$300)+SUMIF(История!$B$5:$B$300,"*/"&amp;$B138,История!$E$5:$E$300),8))</f>
        <v/>
      </c>
      <c r="E138" s="339">
        <f>IF($B138="","",ROUND(C138-D138,8))</f>
        <v/>
      </c>
    </row>
    <row r="139" ht="22" customHeight="1">
      <c r="B139" s="315" t="n"/>
      <c r="C139" s="240">
        <f>IF($B139="","",ROUND(SUMIF(Торговля!$E$5:$E$300,$B139&amp;"/*",Торговля!$F$5:$F$300)+SUMIF(Торговля!$E$5:$E$300,"*/"&amp;$B139,Торговля!$K$5:$K$300)+SUMIF(Лэндинг!$E$5:$E$300,$B139&amp;"/*",Лэндинг!$F$5:$F$300)+SUMIF(Лэндинг!$E$5:$E$300,"*/"&amp;$B139,Лэндинг!$K$5:$K$300)+SUMIF(Закрытые!$E$5:$E$300,$B139&amp;"/*",Закрытые!$F$5:$F$300)+SUMIF(Закрытые!$E$5:$E$300,"*/"&amp;$B139,Закрытые!$K$5:$K$300)+SUMIF(История!$B$5:$B$300,$B139&amp;"/*",История!$C$5:$C$300)+SUMIF(История!$B$5:$B$300,"*/"&amp;$B139,История!$H$5:$H$300),8))</f>
        <v/>
      </c>
      <c r="D139" s="240">
        <f>IF($B139="","",ROUND(SUMIF(Торговля!$E$5:$E$300,$B139&amp;"/*",Торговля!$I$5:$I$300)+SUMIF(Торговля!$E$5:$E$300,"*/"&amp;$B139,Торговля!$H$5:$H$300)+SUMIF(Лэндинг!$E$5:$E$300,$B139&amp;"/*",Лэндинг!$I$5:$I$300)+SUMIF(Лэндинг!$E$5:$E$300,"*/"&amp;$B139,Лэндинг!$H$5:$H$300)+SUMIF(Закрытые!$E$5:$E$300,$B139&amp;"/*",Закрытые!$I$5:$I$300)+SUMIF(Закрытые!$E$5:$E$300,"*/"&amp;$B139,Закрытые!$H$5:$H$300)+SUMIF(История!$B$5:$B$300,$B139&amp;"/*",История!$F$5:$F$300)+SUMIF(История!$B$5:$B$300,"*/"&amp;$B139,История!$E$5:$E$300),8))</f>
        <v/>
      </c>
      <c r="E139" s="339">
        <f>IF($B139="","",ROUND(C139-D139,8))</f>
        <v/>
      </c>
    </row>
    <row r="140" ht="22" customHeight="1">
      <c r="B140" s="320" t="n"/>
      <c r="C140" s="240">
        <f>IF($B140="","",ROUND(SUMIF(Торговля!$E$5:$E$300,$B140&amp;"/*",Торговля!$F$5:$F$300)+SUMIF(Торговля!$E$5:$E$300,"*/"&amp;$B140,Торговля!$K$5:$K$300)+SUMIF(Лэндинг!$E$5:$E$300,$B140&amp;"/*",Лэндинг!$F$5:$F$300)+SUMIF(Лэндинг!$E$5:$E$300,"*/"&amp;$B140,Лэндинг!$K$5:$K$300)+SUMIF(Закрытые!$E$5:$E$300,$B140&amp;"/*",Закрытые!$F$5:$F$300)+SUMIF(Закрытые!$E$5:$E$300,"*/"&amp;$B140,Закрытые!$K$5:$K$300)+SUMIF(История!$B$5:$B$300,$B140&amp;"/*",История!$C$5:$C$300)+SUMIF(История!$B$5:$B$300,"*/"&amp;$B140,История!$H$5:$H$300),8))</f>
        <v/>
      </c>
      <c r="D140" s="240">
        <f>IF($B140="","",ROUND(SUMIF(Торговля!$E$5:$E$300,$B140&amp;"/*",Торговля!$I$5:$I$300)+SUMIF(Торговля!$E$5:$E$300,"*/"&amp;$B140,Торговля!$H$5:$H$300)+SUMIF(Лэндинг!$E$5:$E$300,$B140&amp;"/*",Лэндинг!$I$5:$I$300)+SUMIF(Лэндинг!$E$5:$E$300,"*/"&amp;$B140,Лэндинг!$H$5:$H$300)+SUMIF(Закрытые!$E$5:$E$300,$B140&amp;"/*",Закрытые!$I$5:$I$300)+SUMIF(Закрытые!$E$5:$E$300,"*/"&amp;$B140,Закрытые!$H$5:$H$300)+SUMIF(История!$B$5:$B$300,$B140&amp;"/*",История!$F$5:$F$300)+SUMIF(История!$B$5:$B$300,"*/"&amp;$B140,История!$E$5:$E$300),8))</f>
        <v/>
      </c>
      <c r="E140" s="339">
        <f>IF($B140="","",ROUND(C140-D140,8))</f>
        <v/>
      </c>
    </row>
    <row r="141" ht="22" customHeight="1">
      <c r="B141" s="315" t="n"/>
      <c r="C141" s="240">
        <f>IF($B141="","",ROUND(SUMIF(Торговля!$E$5:$E$300,$B141&amp;"/*",Торговля!$F$5:$F$300)+SUMIF(Торговля!$E$5:$E$300,"*/"&amp;$B141,Торговля!$K$5:$K$300)+SUMIF(Лэндинг!$E$5:$E$300,$B141&amp;"/*",Лэндинг!$F$5:$F$300)+SUMIF(Лэндинг!$E$5:$E$300,"*/"&amp;$B141,Лэндинг!$K$5:$K$300)+SUMIF(Закрытые!$E$5:$E$300,$B141&amp;"/*",Закрытые!$F$5:$F$300)+SUMIF(Закрытые!$E$5:$E$300,"*/"&amp;$B141,Закрытые!$K$5:$K$300)+SUMIF(История!$B$5:$B$300,$B141&amp;"/*",История!$C$5:$C$300)+SUMIF(История!$B$5:$B$300,"*/"&amp;$B141,История!$H$5:$H$300),8))</f>
        <v/>
      </c>
      <c r="D141" s="240">
        <f>IF($B141="","",ROUND(SUMIF(Торговля!$E$5:$E$300,$B141&amp;"/*",Торговля!$I$5:$I$300)+SUMIF(Торговля!$E$5:$E$300,"*/"&amp;$B141,Торговля!$H$5:$H$300)+SUMIF(Лэндинг!$E$5:$E$300,$B141&amp;"/*",Лэндинг!$I$5:$I$300)+SUMIF(Лэндинг!$E$5:$E$300,"*/"&amp;$B141,Лэндинг!$H$5:$H$300)+SUMIF(Закрытые!$E$5:$E$300,$B141&amp;"/*",Закрытые!$I$5:$I$300)+SUMIF(Закрытые!$E$5:$E$300,"*/"&amp;$B141,Закрытые!$H$5:$H$300)+SUMIF(История!$B$5:$B$300,$B141&amp;"/*",История!$F$5:$F$300)+SUMIF(История!$B$5:$B$300,"*/"&amp;$B141,История!$E$5:$E$300),8))</f>
        <v/>
      </c>
      <c r="E141" s="339">
        <f>IF($B141="","",ROUND(C141-D141,8))</f>
        <v/>
      </c>
    </row>
    <row r="142" ht="22" customHeight="1">
      <c r="B142" s="320" t="n"/>
      <c r="C142" s="240">
        <f>IF($B142="","",ROUND(SUMIF(Торговля!$E$5:$E$300,$B142&amp;"/*",Торговля!$F$5:$F$300)+SUMIF(Торговля!$E$5:$E$300,"*/"&amp;$B142,Торговля!$K$5:$K$300)+SUMIF(Лэндинг!$E$5:$E$300,$B142&amp;"/*",Лэндинг!$F$5:$F$300)+SUMIF(Лэндинг!$E$5:$E$300,"*/"&amp;$B142,Лэндинг!$K$5:$K$300)+SUMIF(Закрытые!$E$5:$E$300,$B142&amp;"/*",Закрытые!$F$5:$F$300)+SUMIF(Закрытые!$E$5:$E$300,"*/"&amp;$B142,Закрытые!$K$5:$K$300)+SUMIF(История!$B$5:$B$300,$B142&amp;"/*",История!$C$5:$C$300)+SUMIF(История!$B$5:$B$300,"*/"&amp;$B142,История!$H$5:$H$300),8))</f>
        <v/>
      </c>
      <c r="D142" s="240">
        <f>IF($B142="","",ROUND(SUMIF(Торговля!$E$5:$E$300,$B142&amp;"/*",Торговля!$I$5:$I$300)+SUMIF(Торговля!$E$5:$E$300,"*/"&amp;$B142,Торговля!$H$5:$H$300)+SUMIF(Лэндинг!$E$5:$E$300,$B142&amp;"/*",Лэндинг!$I$5:$I$300)+SUMIF(Лэндинг!$E$5:$E$300,"*/"&amp;$B142,Лэндинг!$H$5:$H$300)+SUMIF(Закрытые!$E$5:$E$300,$B142&amp;"/*",Закрытые!$I$5:$I$300)+SUMIF(Закрытые!$E$5:$E$300,"*/"&amp;$B142,Закрытые!$H$5:$H$300)+SUMIF(История!$B$5:$B$300,$B142&amp;"/*",История!$F$5:$F$300)+SUMIF(История!$B$5:$B$300,"*/"&amp;$B142,История!$E$5:$E$300),8))</f>
        <v/>
      </c>
      <c r="E142" s="339">
        <f>IF($B142="","",ROUND(C142-D142,8))</f>
        <v/>
      </c>
    </row>
    <row r="143" ht="22" customHeight="1">
      <c r="B143" s="315" t="n"/>
      <c r="C143" s="240">
        <f>IF($B143="","",ROUND(SUMIF(Торговля!$E$5:$E$300,$B143&amp;"/*",Торговля!$F$5:$F$300)+SUMIF(Торговля!$E$5:$E$300,"*/"&amp;$B143,Торговля!$K$5:$K$300)+SUMIF(Лэндинг!$E$5:$E$300,$B143&amp;"/*",Лэндинг!$F$5:$F$300)+SUMIF(Лэндинг!$E$5:$E$300,"*/"&amp;$B143,Лэндинг!$K$5:$K$300)+SUMIF(Закрытые!$E$5:$E$300,$B143&amp;"/*",Закрытые!$F$5:$F$300)+SUMIF(Закрытые!$E$5:$E$300,"*/"&amp;$B143,Закрытые!$K$5:$K$300)+SUMIF(История!$B$5:$B$300,$B143&amp;"/*",История!$C$5:$C$300)+SUMIF(История!$B$5:$B$300,"*/"&amp;$B143,История!$H$5:$H$300),8))</f>
        <v/>
      </c>
      <c r="D143" s="240">
        <f>IF($B143="","",ROUND(SUMIF(Торговля!$E$5:$E$300,$B143&amp;"/*",Торговля!$I$5:$I$300)+SUMIF(Торговля!$E$5:$E$300,"*/"&amp;$B143,Торговля!$H$5:$H$300)+SUMIF(Лэндинг!$E$5:$E$300,$B143&amp;"/*",Лэндинг!$I$5:$I$300)+SUMIF(Лэндинг!$E$5:$E$300,"*/"&amp;$B143,Лэндинг!$H$5:$H$300)+SUMIF(Закрытые!$E$5:$E$300,$B143&amp;"/*",Закрытые!$I$5:$I$300)+SUMIF(Закрытые!$E$5:$E$300,"*/"&amp;$B143,Закрытые!$H$5:$H$300)+SUMIF(История!$B$5:$B$300,$B143&amp;"/*",История!$F$5:$F$300)+SUMIF(История!$B$5:$B$300,"*/"&amp;$B143,История!$E$5:$E$300),8))</f>
        <v/>
      </c>
      <c r="E143" s="339">
        <f>IF($B143="","",ROUND(C143-D143,8))</f>
        <v/>
      </c>
    </row>
    <row r="144" ht="22" customHeight="1">
      <c r="B144" s="320" t="n"/>
      <c r="C144" s="240">
        <f>IF($B144="","",ROUND(SUMIF(Торговля!$E$5:$E$300,$B144&amp;"/*",Торговля!$F$5:$F$300)+SUMIF(Торговля!$E$5:$E$300,"*/"&amp;$B144,Торговля!$K$5:$K$300)+SUMIF(Лэндинг!$E$5:$E$300,$B144&amp;"/*",Лэндинг!$F$5:$F$300)+SUMIF(Лэндинг!$E$5:$E$300,"*/"&amp;$B144,Лэндинг!$K$5:$K$300)+SUMIF(Закрытые!$E$5:$E$300,$B144&amp;"/*",Закрытые!$F$5:$F$300)+SUMIF(Закрытые!$E$5:$E$300,"*/"&amp;$B144,Закрытые!$K$5:$K$300)+SUMIF(История!$B$5:$B$300,$B144&amp;"/*",История!$C$5:$C$300)+SUMIF(История!$B$5:$B$300,"*/"&amp;$B144,История!$H$5:$H$300),8))</f>
        <v/>
      </c>
      <c r="D144" s="240">
        <f>IF($B144="","",ROUND(SUMIF(Торговля!$E$5:$E$300,$B144&amp;"/*",Торговля!$I$5:$I$300)+SUMIF(Торговля!$E$5:$E$300,"*/"&amp;$B144,Торговля!$H$5:$H$300)+SUMIF(Лэндинг!$E$5:$E$300,$B144&amp;"/*",Лэндинг!$I$5:$I$300)+SUMIF(Лэндинг!$E$5:$E$300,"*/"&amp;$B144,Лэндинг!$H$5:$H$300)+SUMIF(Закрытые!$E$5:$E$300,$B144&amp;"/*",Закрытые!$I$5:$I$300)+SUMIF(Закрытые!$E$5:$E$300,"*/"&amp;$B144,Закрытые!$H$5:$H$300)+SUMIF(История!$B$5:$B$300,$B144&amp;"/*",История!$F$5:$F$300)+SUMIF(История!$B$5:$B$300,"*/"&amp;$B144,История!$E$5:$E$300),8))</f>
        <v/>
      </c>
      <c r="E144" s="339">
        <f>IF($B144="","",ROUND(C144-D144,8))</f>
        <v/>
      </c>
    </row>
    <row r="145" ht="22" customHeight="1">
      <c r="B145" s="315" t="n"/>
      <c r="C145" s="240">
        <f>IF($B145="","",ROUND(SUMIF(Торговля!$E$5:$E$300,$B145&amp;"/*",Торговля!$F$5:$F$300)+SUMIF(Торговля!$E$5:$E$300,"*/"&amp;$B145,Торговля!$K$5:$K$300)+SUMIF(Лэндинг!$E$5:$E$300,$B145&amp;"/*",Лэндинг!$F$5:$F$300)+SUMIF(Лэндинг!$E$5:$E$300,"*/"&amp;$B145,Лэндинг!$K$5:$K$300)+SUMIF(Закрытые!$E$5:$E$300,$B145&amp;"/*",Закрытые!$F$5:$F$300)+SUMIF(Закрытые!$E$5:$E$300,"*/"&amp;$B145,Закрытые!$K$5:$K$300)+SUMIF(История!$B$5:$B$300,$B145&amp;"/*",История!$C$5:$C$300)+SUMIF(История!$B$5:$B$300,"*/"&amp;$B145,История!$H$5:$H$300),8))</f>
        <v/>
      </c>
      <c r="D145" s="240">
        <f>IF($B145="","",ROUND(SUMIF(Торговля!$E$5:$E$300,$B145&amp;"/*",Торговля!$I$5:$I$300)+SUMIF(Торговля!$E$5:$E$300,"*/"&amp;$B145,Торговля!$H$5:$H$300)+SUMIF(Лэндинг!$E$5:$E$300,$B145&amp;"/*",Лэндинг!$I$5:$I$300)+SUMIF(Лэндинг!$E$5:$E$300,"*/"&amp;$B145,Лэндинг!$H$5:$H$300)+SUMIF(Закрытые!$E$5:$E$300,$B145&amp;"/*",Закрытые!$I$5:$I$300)+SUMIF(Закрытые!$E$5:$E$300,"*/"&amp;$B145,Закрытые!$H$5:$H$300)+SUMIF(История!$B$5:$B$300,$B145&amp;"/*",История!$F$5:$F$300)+SUMIF(История!$B$5:$B$300,"*/"&amp;$B145,История!$E$5:$E$300),8))</f>
        <v/>
      </c>
      <c r="E145" s="339">
        <f>IF($B145="","",ROUND(C145-D145,8))</f>
        <v/>
      </c>
    </row>
    <row r="146" ht="22" customHeight="1">
      <c r="B146" s="320" t="n"/>
      <c r="C146" s="240">
        <f>IF($B146="","",ROUND(SUMIF(Торговля!$E$5:$E$300,$B146&amp;"/*",Торговля!$F$5:$F$300)+SUMIF(Торговля!$E$5:$E$300,"*/"&amp;$B146,Торговля!$K$5:$K$300)+SUMIF(Лэндинг!$E$5:$E$300,$B146&amp;"/*",Лэндинг!$F$5:$F$300)+SUMIF(Лэндинг!$E$5:$E$300,"*/"&amp;$B146,Лэндинг!$K$5:$K$300)+SUMIF(Закрытые!$E$5:$E$300,$B146&amp;"/*",Закрытые!$F$5:$F$300)+SUMIF(Закрытые!$E$5:$E$300,"*/"&amp;$B146,Закрытые!$K$5:$K$300)+SUMIF(История!$B$5:$B$300,$B146&amp;"/*",История!$C$5:$C$300)+SUMIF(История!$B$5:$B$300,"*/"&amp;$B146,История!$H$5:$H$300),8))</f>
        <v/>
      </c>
      <c r="D146" s="240">
        <f>IF($B146="","",ROUND(SUMIF(Торговля!$E$5:$E$300,$B146&amp;"/*",Торговля!$I$5:$I$300)+SUMIF(Торговля!$E$5:$E$300,"*/"&amp;$B146,Торговля!$H$5:$H$300)+SUMIF(Лэндинг!$E$5:$E$300,$B146&amp;"/*",Лэндинг!$I$5:$I$300)+SUMIF(Лэндинг!$E$5:$E$300,"*/"&amp;$B146,Лэндинг!$H$5:$H$300)+SUMIF(Закрытые!$E$5:$E$300,$B146&amp;"/*",Закрытые!$I$5:$I$300)+SUMIF(Закрытые!$E$5:$E$300,"*/"&amp;$B146,Закрытые!$H$5:$H$300)+SUMIF(История!$B$5:$B$300,$B146&amp;"/*",История!$F$5:$F$300)+SUMIF(История!$B$5:$B$300,"*/"&amp;$B146,История!$E$5:$E$300),8))</f>
        <v/>
      </c>
      <c r="E146" s="339">
        <f>IF($B146="","",ROUND(C146-D146,8))</f>
        <v/>
      </c>
    </row>
    <row r="147" ht="22" customHeight="1">
      <c r="B147" s="315" t="n"/>
      <c r="C147" s="240">
        <f>IF($B147="","",ROUND(SUMIF(Торговля!$E$5:$E$300,$B147&amp;"/*",Торговля!$F$5:$F$300)+SUMIF(Торговля!$E$5:$E$300,"*/"&amp;$B147,Торговля!$K$5:$K$300)+SUMIF(Лэндинг!$E$5:$E$300,$B147&amp;"/*",Лэндинг!$F$5:$F$300)+SUMIF(Лэндинг!$E$5:$E$300,"*/"&amp;$B147,Лэндинг!$K$5:$K$300)+SUMIF(Закрытые!$E$5:$E$300,$B147&amp;"/*",Закрытые!$F$5:$F$300)+SUMIF(Закрытые!$E$5:$E$300,"*/"&amp;$B147,Закрытые!$K$5:$K$300)+SUMIF(История!$B$5:$B$300,$B147&amp;"/*",История!$C$5:$C$300)+SUMIF(История!$B$5:$B$300,"*/"&amp;$B147,История!$H$5:$H$300),8))</f>
        <v/>
      </c>
      <c r="D147" s="240">
        <f>IF($B147="","",ROUND(SUMIF(Торговля!$E$5:$E$300,$B147&amp;"/*",Торговля!$I$5:$I$300)+SUMIF(Торговля!$E$5:$E$300,"*/"&amp;$B147,Торговля!$H$5:$H$300)+SUMIF(Лэндинг!$E$5:$E$300,$B147&amp;"/*",Лэндинг!$I$5:$I$300)+SUMIF(Лэндинг!$E$5:$E$300,"*/"&amp;$B147,Лэндинг!$H$5:$H$300)+SUMIF(Закрытые!$E$5:$E$300,$B147&amp;"/*",Закрытые!$I$5:$I$300)+SUMIF(Закрытые!$E$5:$E$300,"*/"&amp;$B147,Закрытые!$H$5:$H$300)+SUMIF(История!$B$5:$B$300,$B147&amp;"/*",История!$F$5:$F$300)+SUMIF(История!$B$5:$B$300,"*/"&amp;$B147,История!$E$5:$E$300),8))</f>
        <v/>
      </c>
      <c r="E147" s="339">
        <f>IF($B147="","",ROUND(C147-D147,8))</f>
        <v/>
      </c>
    </row>
    <row r="148" ht="22" customHeight="1">
      <c r="B148" s="320" t="n"/>
      <c r="C148" s="240">
        <f>IF($B148="","",ROUND(SUMIF(Торговля!$E$5:$E$300,$B148&amp;"/*",Торговля!$F$5:$F$300)+SUMIF(Торговля!$E$5:$E$300,"*/"&amp;$B148,Торговля!$K$5:$K$300)+SUMIF(Лэндинг!$E$5:$E$300,$B148&amp;"/*",Лэндинг!$F$5:$F$300)+SUMIF(Лэндинг!$E$5:$E$300,"*/"&amp;$B148,Лэндинг!$K$5:$K$300)+SUMIF(Закрытые!$E$5:$E$300,$B148&amp;"/*",Закрытые!$F$5:$F$300)+SUMIF(Закрытые!$E$5:$E$300,"*/"&amp;$B148,Закрытые!$K$5:$K$300)+SUMIF(История!$B$5:$B$300,$B148&amp;"/*",История!$C$5:$C$300)+SUMIF(История!$B$5:$B$300,"*/"&amp;$B148,История!$H$5:$H$300),8))</f>
        <v/>
      </c>
      <c r="D148" s="240">
        <f>IF($B148="","",ROUND(SUMIF(Торговля!$E$5:$E$300,$B148&amp;"/*",Торговля!$I$5:$I$300)+SUMIF(Торговля!$E$5:$E$300,"*/"&amp;$B148,Торговля!$H$5:$H$300)+SUMIF(Лэндинг!$E$5:$E$300,$B148&amp;"/*",Лэндинг!$I$5:$I$300)+SUMIF(Лэндинг!$E$5:$E$300,"*/"&amp;$B148,Лэндинг!$H$5:$H$300)+SUMIF(Закрытые!$E$5:$E$300,$B148&amp;"/*",Закрытые!$I$5:$I$300)+SUMIF(Закрытые!$E$5:$E$300,"*/"&amp;$B148,Закрытые!$H$5:$H$300)+SUMIF(История!$B$5:$B$300,$B148&amp;"/*",История!$F$5:$F$300)+SUMIF(История!$B$5:$B$300,"*/"&amp;$B148,История!$E$5:$E$300),8))</f>
        <v/>
      </c>
      <c r="E148" s="339">
        <f>IF($B148="","",ROUND(C148-D148,8))</f>
        <v/>
      </c>
    </row>
    <row r="149" ht="22" customHeight="1">
      <c r="B149" s="315" t="n"/>
      <c r="C149" s="240">
        <f>IF($B149="","",ROUND(SUMIF(Торговля!$E$5:$E$300,$B149&amp;"/*",Торговля!$F$5:$F$300)+SUMIF(Торговля!$E$5:$E$300,"*/"&amp;$B149,Торговля!$K$5:$K$300)+SUMIF(Лэндинг!$E$5:$E$300,$B149&amp;"/*",Лэндинг!$F$5:$F$300)+SUMIF(Лэндинг!$E$5:$E$300,"*/"&amp;$B149,Лэндинг!$K$5:$K$300)+SUMIF(Закрытые!$E$5:$E$300,$B149&amp;"/*",Закрытые!$F$5:$F$300)+SUMIF(Закрытые!$E$5:$E$300,"*/"&amp;$B149,Закрытые!$K$5:$K$300)+SUMIF(История!$B$5:$B$300,$B149&amp;"/*",История!$C$5:$C$300)+SUMIF(История!$B$5:$B$300,"*/"&amp;$B149,История!$H$5:$H$300),8))</f>
        <v/>
      </c>
      <c r="D149" s="240">
        <f>IF($B149="","",ROUND(SUMIF(Торговля!$E$5:$E$300,$B149&amp;"/*",Торговля!$I$5:$I$300)+SUMIF(Торговля!$E$5:$E$300,"*/"&amp;$B149,Торговля!$H$5:$H$300)+SUMIF(Лэндинг!$E$5:$E$300,$B149&amp;"/*",Лэндинг!$I$5:$I$300)+SUMIF(Лэндинг!$E$5:$E$300,"*/"&amp;$B149,Лэндинг!$H$5:$H$300)+SUMIF(Закрытые!$E$5:$E$300,$B149&amp;"/*",Закрытые!$I$5:$I$300)+SUMIF(Закрытые!$E$5:$E$300,"*/"&amp;$B149,Закрытые!$H$5:$H$300)+SUMIF(История!$B$5:$B$300,$B149&amp;"/*",История!$F$5:$F$300)+SUMIF(История!$B$5:$B$300,"*/"&amp;$B149,История!$E$5:$E$300),8))</f>
        <v/>
      </c>
      <c r="E149" s="339">
        <f>IF($B149="","",ROUND(C149-D149,8))</f>
        <v/>
      </c>
    </row>
    <row r="150" ht="22" customHeight="1">
      <c r="B150" s="320" t="n"/>
      <c r="C150" s="240">
        <f>IF($B150="","",ROUND(SUMIF(Торговля!$E$5:$E$300,$B150&amp;"/*",Торговля!$F$5:$F$300)+SUMIF(Торговля!$E$5:$E$300,"*/"&amp;$B150,Торговля!$K$5:$K$300)+SUMIF(Лэндинг!$E$5:$E$300,$B150&amp;"/*",Лэндинг!$F$5:$F$300)+SUMIF(Лэндинг!$E$5:$E$300,"*/"&amp;$B150,Лэндинг!$K$5:$K$300)+SUMIF(Закрытые!$E$5:$E$300,$B150&amp;"/*",Закрытые!$F$5:$F$300)+SUMIF(Закрытые!$E$5:$E$300,"*/"&amp;$B150,Закрытые!$K$5:$K$300)+SUMIF(История!$B$5:$B$300,$B150&amp;"/*",История!$C$5:$C$300)+SUMIF(История!$B$5:$B$300,"*/"&amp;$B150,История!$H$5:$H$300),8))</f>
        <v/>
      </c>
      <c r="D150" s="240">
        <f>IF($B150="","",ROUND(SUMIF(Торговля!$E$5:$E$300,$B150&amp;"/*",Торговля!$I$5:$I$300)+SUMIF(Торговля!$E$5:$E$300,"*/"&amp;$B150,Торговля!$H$5:$H$300)+SUMIF(Лэндинг!$E$5:$E$300,$B150&amp;"/*",Лэндинг!$I$5:$I$300)+SUMIF(Лэндинг!$E$5:$E$300,"*/"&amp;$B150,Лэндинг!$H$5:$H$300)+SUMIF(Закрытые!$E$5:$E$300,$B150&amp;"/*",Закрытые!$I$5:$I$300)+SUMIF(Закрытые!$E$5:$E$300,"*/"&amp;$B150,Закрытые!$H$5:$H$300)+SUMIF(История!$B$5:$B$300,$B150&amp;"/*",История!$F$5:$F$300)+SUMIF(История!$B$5:$B$300,"*/"&amp;$B150,История!$E$5:$E$300),8))</f>
        <v/>
      </c>
      <c r="E150" s="339">
        <f>IF($B150="","",ROUND(C150-D150,8))</f>
        <v/>
      </c>
    </row>
    <row r="151" ht="22" customHeight="1">
      <c r="B151" s="315" t="n"/>
      <c r="C151" s="240">
        <f>IF($B151="","",ROUND(SUMIF(Торговля!$E$5:$E$300,$B151&amp;"/*",Торговля!$F$5:$F$300)+SUMIF(Торговля!$E$5:$E$300,"*/"&amp;$B151,Торговля!$K$5:$K$300)+SUMIF(Лэндинг!$E$5:$E$300,$B151&amp;"/*",Лэндинг!$F$5:$F$300)+SUMIF(Лэндинг!$E$5:$E$300,"*/"&amp;$B151,Лэндинг!$K$5:$K$300)+SUMIF(Закрытые!$E$5:$E$300,$B151&amp;"/*",Закрытые!$F$5:$F$300)+SUMIF(Закрытые!$E$5:$E$300,"*/"&amp;$B151,Закрытые!$K$5:$K$300)+SUMIF(История!$B$5:$B$300,$B151&amp;"/*",История!$C$5:$C$300)+SUMIF(История!$B$5:$B$300,"*/"&amp;$B151,История!$H$5:$H$300),8))</f>
        <v/>
      </c>
      <c r="D151" s="240">
        <f>IF($B151="","",ROUND(SUMIF(Торговля!$E$5:$E$300,$B151&amp;"/*",Торговля!$I$5:$I$300)+SUMIF(Торговля!$E$5:$E$300,"*/"&amp;$B151,Торговля!$H$5:$H$300)+SUMIF(Лэндинг!$E$5:$E$300,$B151&amp;"/*",Лэндинг!$I$5:$I$300)+SUMIF(Лэндинг!$E$5:$E$300,"*/"&amp;$B151,Лэндинг!$H$5:$H$300)+SUMIF(Закрытые!$E$5:$E$300,$B151&amp;"/*",Закрытые!$I$5:$I$300)+SUMIF(Закрытые!$E$5:$E$300,"*/"&amp;$B151,Закрытые!$H$5:$H$300)+SUMIF(История!$B$5:$B$300,$B151&amp;"/*",История!$F$5:$F$300)+SUMIF(История!$B$5:$B$300,"*/"&amp;$B151,История!$E$5:$E$300),8))</f>
        <v/>
      </c>
      <c r="E151" s="339">
        <f>IF($B151="","",ROUND(C151-D151,8))</f>
        <v/>
      </c>
    </row>
    <row r="152" ht="22" customHeight="1">
      <c r="B152" s="320" t="n"/>
      <c r="C152" s="240">
        <f>IF($B152="","",ROUND(SUMIF(Торговля!$E$5:$E$300,$B152&amp;"/*",Торговля!$F$5:$F$300)+SUMIF(Торговля!$E$5:$E$300,"*/"&amp;$B152,Торговля!$K$5:$K$300)+SUMIF(Лэндинг!$E$5:$E$300,$B152&amp;"/*",Лэндинг!$F$5:$F$300)+SUMIF(Лэндинг!$E$5:$E$300,"*/"&amp;$B152,Лэндинг!$K$5:$K$300)+SUMIF(Закрытые!$E$5:$E$300,$B152&amp;"/*",Закрытые!$F$5:$F$300)+SUMIF(Закрытые!$E$5:$E$300,"*/"&amp;$B152,Закрытые!$K$5:$K$300)+SUMIF(История!$B$5:$B$300,$B152&amp;"/*",История!$C$5:$C$300)+SUMIF(История!$B$5:$B$300,"*/"&amp;$B152,История!$H$5:$H$300),8))</f>
        <v/>
      </c>
      <c r="D152" s="240">
        <f>IF($B152="","",ROUND(SUMIF(Торговля!$E$5:$E$300,$B152&amp;"/*",Торговля!$I$5:$I$300)+SUMIF(Торговля!$E$5:$E$300,"*/"&amp;$B152,Торговля!$H$5:$H$300)+SUMIF(Лэндинг!$E$5:$E$300,$B152&amp;"/*",Лэндинг!$I$5:$I$300)+SUMIF(Лэндинг!$E$5:$E$300,"*/"&amp;$B152,Лэндинг!$H$5:$H$300)+SUMIF(Закрытые!$E$5:$E$300,$B152&amp;"/*",Закрытые!$I$5:$I$300)+SUMIF(Закрытые!$E$5:$E$300,"*/"&amp;$B152,Закрытые!$H$5:$H$300)+SUMIF(История!$B$5:$B$300,$B152&amp;"/*",История!$F$5:$F$300)+SUMIF(История!$B$5:$B$300,"*/"&amp;$B152,История!$E$5:$E$300),8))</f>
        <v/>
      </c>
      <c r="E152" s="339">
        <f>IF($B152="","",ROUND(C152-D152,8))</f>
        <v/>
      </c>
    </row>
    <row r="153" ht="22" customHeight="1">
      <c r="B153" s="315" t="n"/>
      <c r="C153" s="240">
        <f>IF($B153="","",ROUND(SUMIF(Торговля!$E$5:$E$300,$B153&amp;"/*",Торговля!$F$5:$F$300)+SUMIF(Торговля!$E$5:$E$300,"*/"&amp;$B153,Торговля!$K$5:$K$300)+SUMIF(Лэндинг!$E$5:$E$300,$B153&amp;"/*",Лэндинг!$F$5:$F$300)+SUMIF(Лэндинг!$E$5:$E$300,"*/"&amp;$B153,Лэндинг!$K$5:$K$300)+SUMIF(Закрытые!$E$5:$E$300,$B153&amp;"/*",Закрытые!$F$5:$F$300)+SUMIF(Закрытые!$E$5:$E$300,"*/"&amp;$B153,Закрытые!$K$5:$K$300)+SUMIF(История!$B$5:$B$300,$B153&amp;"/*",История!$C$5:$C$300)+SUMIF(История!$B$5:$B$300,"*/"&amp;$B153,История!$H$5:$H$300),8))</f>
        <v/>
      </c>
      <c r="D153" s="240">
        <f>IF($B153="","",ROUND(SUMIF(Торговля!$E$5:$E$300,$B153&amp;"/*",Торговля!$I$5:$I$300)+SUMIF(Торговля!$E$5:$E$300,"*/"&amp;$B153,Торговля!$H$5:$H$300)+SUMIF(Лэндинг!$E$5:$E$300,$B153&amp;"/*",Лэндинг!$I$5:$I$300)+SUMIF(Лэндинг!$E$5:$E$300,"*/"&amp;$B153,Лэндинг!$H$5:$H$300)+SUMIF(Закрытые!$E$5:$E$300,$B153&amp;"/*",Закрытые!$I$5:$I$300)+SUMIF(Закрытые!$E$5:$E$300,"*/"&amp;$B153,Закрытые!$H$5:$H$300)+SUMIF(История!$B$5:$B$300,$B153&amp;"/*",История!$F$5:$F$300)+SUMIF(История!$B$5:$B$300,"*/"&amp;$B153,История!$E$5:$E$300),8))</f>
        <v/>
      </c>
      <c r="E153" s="339">
        <f>IF($B153="","",ROUND(C153-D153,8))</f>
        <v/>
      </c>
    </row>
    <row r="154" ht="22" customHeight="1">
      <c r="B154" s="320" t="n"/>
      <c r="C154" s="240">
        <f>IF($B154="","",ROUND(SUMIF(Торговля!$E$5:$E$300,$B154&amp;"/*",Торговля!$F$5:$F$300)+SUMIF(Торговля!$E$5:$E$300,"*/"&amp;$B154,Торговля!$K$5:$K$300)+SUMIF(Лэндинг!$E$5:$E$300,$B154&amp;"/*",Лэндинг!$F$5:$F$300)+SUMIF(Лэндинг!$E$5:$E$300,"*/"&amp;$B154,Лэндинг!$K$5:$K$300)+SUMIF(Закрытые!$E$5:$E$300,$B154&amp;"/*",Закрытые!$F$5:$F$300)+SUMIF(Закрытые!$E$5:$E$300,"*/"&amp;$B154,Закрытые!$K$5:$K$300)+SUMIF(История!$B$5:$B$300,$B154&amp;"/*",История!$C$5:$C$300)+SUMIF(История!$B$5:$B$300,"*/"&amp;$B154,История!$H$5:$H$300),8))</f>
        <v/>
      </c>
      <c r="D154" s="240">
        <f>IF($B154="","",ROUND(SUMIF(Торговля!$E$5:$E$300,$B154&amp;"/*",Торговля!$I$5:$I$300)+SUMIF(Торговля!$E$5:$E$300,"*/"&amp;$B154,Торговля!$H$5:$H$300)+SUMIF(Лэндинг!$E$5:$E$300,$B154&amp;"/*",Лэндинг!$I$5:$I$300)+SUMIF(Лэндинг!$E$5:$E$300,"*/"&amp;$B154,Лэндинг!$H$5:$H$300)+SUMIF(Закрытые!$E$5:$E$300,$B154&amp;"/*",Закрытые!$I$5:$I$300)+SUMIF(Закрытые!$E$5:$E$300,"*/"&amp;$B154,Закрытые!$H$5:$H$300)+SUMIF(История!$B$5:$B$300,$B154&amp;"/*",История!$F$5:$F$300)+SUMIF(История!$B$5:$B$300,"*/"&amp;$B154,История!$E$5:$E$300),8))</f>
        <v/>
      </c>
      <c r="E154" s="339">
        <f>IF($B154="","",ROUND(C154-D154,8))</f>
        <v/>
      </c>
    </row>
    <row r="155" ht="22" customHeight="1">
      <c r="B155" s="315" t="n"/>
      <c r="C155" s="240">
        <f>IF($B155="","",ROUND(SUMIF(Торговля!$E$5:$E$300,$B155&amp;"/*",Торговля!$F$5:$F$300)+SUMIF(Торговля!$E$5:$E$300,"*/"&amp;$B155,Торговля!$K$5:$K$300)+SUMIF(Лэндинг!$E$5:$E$300,$B155&amp;"/*",Лэндинг!$F$5:$F$300)+SUMIF(Лэндинг!$E$5:$E$300,"*/"&amp;$B155,Лэндинг!$K$5:$K$300)+SUMIF(Закрытые!$E$5:$E$300,$B155&amp;"/*",Закрытые!$F$5:$F$300)+SUMIF(Закрытые!$E$5:$E$300,"*/"&amp;$B155,Закрытые!$K$5:$K$300)+SUMIF(История!$B$5:$B$300,$B155&amp;"/*",История!$C$5:$C$300)+SUMIF(История!$B$5:$B$300,"*/"&amp;$B155,История!$H$5:$H$300),8))</f>
        <v/>
      </c>
      <c r="D155" s="240">
        <f>IF($B155="","",ROUND(SUMIF(Торговля!$E$5:$E$300,$B155&amp;"/*",Торговля!$I$5:$I$300)+SUMIF(Торговля!$E$5:$E$300,"*/"&amp;$B155,Торговля!$H$5:$H$300)+SUMIF(Лэндинг!$E$5:$E$300,$B155&amp;"/*",Лэндинг!$I$5:$I$300)+SUMIF(Лэндинг!$E$5:$E$300,"*/"&amp;$B155,Лэндинг!$H$5:$H$300)+SUMIF(Закрытые!$E$5:$E$300,$B155&amp;"/*",Закрытые!$I$5:$I$300)+SUMIF(Закрытые!$E$5:$E$300,"*/"&amp;$B155,Закрытые!$H$5:$H$300)+SUMIF(История!$B$5:$B$300,$B155&amp;"/*",История!$F$5:$F$300)+SUMIF(История!$B$5:$B$300,"*/"&amp;$B155,История!$E$5:$E$300),8))</f>
        <v/>
      </c>
      <c r="E155" s="339">
        <f>IF($B155="","",ROUND(C155-D155,8))</f>
        <v/>
      </c>
    </row>
    <row r="156" ht="22" customHeight="1">
      <c r="B156" s="320" t="n"/>
      <c r="C156" s="240">
        <f>IF($B156="","",ROUND(SUMIF(Торговля!$E$5:$E$300,$B156&amp;"/*",Торговля!$F$5:$F$300)+SUMIF(Торговля!$E$5:$E$300,"*/"&amp;$B156,Торговля!$K$5:$K$300)+SUMIF(Лэндинг!$E$5:$E$300,$B156&amp;"/*",Лэндинг!$F$5:$F$300)+SUMIF(Лэндинг!$E$5:$E$300,"*/"&amp;$B156,Лэндинг!$K$5:$K$300)+SUMIF(Закрытые!$E$5:$E$300,$B156&amp;"/*",Закрытые!$F$5:$F$300)+SUMIF(Закрытые!$E$5:$E$300,"*/"&amp;$B156,Закрытые!$K$5:$K$300)+SUMIF(История!$B$5:$B$300,$B156&amp;"/*",История!$C$5:$C$300)+SUMIF(История!$B$5:$B$300,"*/"&amp;$B156,История!$H$5:$H$300),8))</f>
        <v/>
      </c>
      <c r="D156" s="240">
        <f>IF($B156="","",ROUND(SUMIF(Торговля!$E$5:$E$300,$B156&amp;"/*",Торговля!$I$5:$I$300)+SUMIF(Торговля!$E$5:$E$300,"*/"&amp;$B156,Торговля!$H$5:$H$300)+SUMIF(Лэндинг!$E$5:$E$300,$B156&amp;"/*",Лэндинг!$I$5:$I$300)+SUMIF(Лэндинг!$E$5:$E$300,"*/"&amp;$B156,Лэндинг!$H$5:$H$300)+SUMIF(Закрытые!$E$5:$E$300,$B156&amp;"/*",Закрытые!$I$5:$I$300)+SUMIF(Закрытые!$E$5:$E$300,"*/"&amp;$B156,Закрытые!$H$5:$H$300)+SUMIF(История!$B$5:$B$300,$B156&amp;"/*",История!$F$5:$F$300)+SUMIF(История!$B$5:$B$300,"*/"&amp;$B156,История!$E$5:$E$300),8))</f>
        <v/>
      </c>
      <c r="E156" s="339">
        <f>IF($B156="","",ROUND(C156-D156,8))</f>
        <v/>
      </c>
    </row>
    <row r="157" ht="22" customHeight="1">
      <c r="B157" s="315" t="n"/>
      <c r="C157" s="240">
        <f>IF($B157="","",ROUND(SUMIF(Торговля!$E$5:$E$300,$B157&amp;"/*",Торговля!$F$5:$F$300)+SUMIF(Торговля!$E$5:$E$300,"*/"&amp;$B157,Торговля!$K$5:$K$300)+SUMIF(Лэндинг!$E$5:$E$300,$B157&amp;"/*",Лэндинг!$F$5:$F$300)+SUMIF(Лэндинг!$E$5:$E$300,"*/"&amp;$B157,Лэндинг!$K$5:$K$300)+SUMIF(Закрытые!$E$5:$E$300,$B157&amp;"/*",Закрытые!$F$5:$F$300)+SUMIF(Закрытые!$E$5:$E$300,"*/"&amp;$B157,Закрытые!$K$5:$K$300)+SUMIF(История!$B$5:$B$300,$B157&amp;"/*",История!$C$5:$C$300)+SUMIF(История!$B$5:$B$300,"*/"&amp;$B157,История!$H$5:$H$300),8))</f>
        <v/>
      </c>
      <c r="D157" s="240">
        <f>IF($B157="","",ROUND(SUMIF(Торговля!$E$5:$E$300,$B157&amp;"/*",Торговля!$I$5:$I$300)+SUMIF(Торговля!$E$5:$E$300,"*/"&amp;$B157,Торговля!$H$5:$H$300)+SUMIF(Лэндинг!$E$5:$E$300,$B157&amp;"/*",Лэндинг!$I$5:$I$300)+SUMIF(Лэндинг!$E$5:$E$300,"*/"&amp;$B157,Лэндинг!$H$5:$H$300)+SUMIF(Закрытые!$E$5:$E$300,$B157&amp;"/*",Закрытые!$I$5:$I$300)+SUMIF(Закрытые!$E$5:$E$300,"*/"&amp;$B157,Закрытые!$H$5:$H$300)+SUMIF(История!$B$5:$B$300,$B157&amp;"/*",История!$F$5:$F$300)+SUMIF(История!$B$5:$B$300,"*/"&amp;$B157,История!$E$5:$E$300),8))</f>
        <v/>
      </c>
      <c r="E157" s="339">
        <f>IF($B157="","",ROUND(C157-D157,8))</f>
        <v/>
      </c>
    </row>
    <row r="158" ht="22" customHeight="1">
      <c r="B158" s="320" t="n"/>
      <c r="C158" s="240">
        <f>IF($B158="","",ROUND(SUMIF(Торговля!$E$5:$E$300,$B158&amp;"/*",Торговля!$F$5:$F$300)+SUMIF(Торговля!$E$5:$E$300,"*/"&amp;$B158,Торговля!$K$5:$K$300)+SUMIF(Лэндинг!$E$5:$E$300,$B158&amp;"/*",Лэндинг!$F$5:$F$300)+SUMIF(Лэндинг!$E$5:$E$300,"*/"&amp;$B158,Лэндинг!$K$5:$K$300)+SUMIF(Закрытые!$E$5:$E$300,$B158&amp;"/*",Закрытые!$F$5:$F$300)+SUMIF(Закрытые!$E$5:$E$300,"*/"&amp;$B158,Закрытые!$K$5:$K$300)+SUMIF(История!$B$5:$B$300,$B158&amp;"/*",История!$C$5:$C$300)+SUMIF(История!$B$5:$B$300,"*/"&amp;$B158,История!$H$5:$H$300),8))</f>
        <v/>
      </c>
      <c r="D158" s="240">
        <f>IF($B158="","",ROUND(SUMIF(Торговля!$E$5:$E$300,$B158&amp;"/*",Торговля!$I$5:$I$300)+SUMIF(Торговля!$E$5:$E$300,"*/"&amp;$B158,Торговля!$H$5:$H$300)+SUMIF(Лэндинг!$E$5:$E$300,$B158&amp;"/*",Лэндинг!$I$5:$I$300)+SUMIF(Лэндинг!$E$5:$E$300,"*/"&amp;$B158,Лэндинг!$H$5:$H$300)+SUMIF(Закрытые!$E$5:$E$300,$B158&amp;"/*",Закрытые!$I$5:$I$300)+SUMIF(Закрытые!$E$5:$E$300,"*/"&amp;$B158,Закрытые!$H$5:$H$300)+SUMIF(История!$B$5:$B$300,$B158&amp;"/*",История!$F$5:$F$300)+SUMIF(История!$B$5:$B$300,"*/"&amp;$B158,История!$E$5:$E$300),8))</f>
        <v/>
      </c>
      <c r="E158" s="339">
        <f>IF($B158="","",ROUND(C158-D158,8))</f>
        <v/>
      </c>
    </row>
    <row r="159" ht="22" customHeight="1">
      <c r="B159" s="315" t="n"/>
      <c r="C159" s="240">
        <f>IF($B159="","",ROUND(SUMIF(Торговля!$E$5:$E$300,$B159&amp;"/*",Торговля!$F$5:$F$300)+SUMIF(Торговля!$E$5:$E$300,"*/"&amp;$B159,Торговля!$K$5:$K$300)+SUMIF(Лэндинг!$E$5:$E$300,$B159&amp;"/*",Лэндинг!$F$5:$F$300)+SUMIF(Лэндинг!$E$5:$E$300,"*/"&amp;$B159,Лэндинг!$K$5:$K$300)+SUMIF(Закрытые!$E$5:$E$300,$B159&amp;"/*",Закрытые!$F$5:$F$300)+SUMIF(Закрытые!$E$5:$E$300,"*/"&amp;$B159,Закрытые!$K$5:$K$300)+SUMIF(История!$B$5:$B$300,$B159&amp;"/*",История!$C$5:$C$300)+SUMIF(История!$B$5:$B$300,"*/"&amp;$B159,История!$H$5:$H$300),8))</f>
        <v/>
      </c>
      <c r="D159" s="240">
        <f>IF($B159="","",ROUND(SUMIF(Торговля!$E$5:$E$300,$B159&amp;"/*",Торговля!$I$5:$I$300)+SUMIF(Торговля!$E$5:$E$300,"*/"&amp;$B159,Торговля!$H$5:$H$300)+SUMIF(Лэндинг!$E$5:$E$300,$B159&amp;"/*",Лэндинг!$I$5:$I$300)+SUMIF(Лэндинг!$E$5:$E$300,"*/"&amp;$B159,Лэндинг!$H$5:$H$300)+SUMIF(Закрытые!$E$5:$E$300,$B159&amp;"/*",Закрытые!$I$5:$I$300)+SUMIF(Закрытые!$E$5:$E$300,"*/"&amp;$B159,Закрытые!$H$5:$H$300)+SUMIF(История!$B$5:$B$300,$B159&amp;"/*",История!$F$5:$F$300)+SUMIF(История!$B$5:$B$300,"*/"&amp;$B159,История!$E$5:$E$300),8))</f>
        <v/>
      </c>
      <c r="E159" s="339">
        <f>IF($B159="","",ROUND(C159-D159,8))</f>
        <v/>
      </c>
    </row>
    <row r="160" ht="22" customHeight="1">
      <c r="B160" s="320" t="n"/>
      <c r="C160" s="240">
        <f>IF($B160="","",ROUND(SUMIF(Торговля!$E$5:$E$300,$B160&amp;"/*",Торговля!$F$5:$F$300)+SUMIF(Торговля!$E$5:$E$300,"*/"&amp;$B160,Торговля!$K$5:$K$300)+SUMIF(Лэндинг!$E$5:$E$300,$B160&amp;"/*",Лэндинг!$F$5:$F$300)+SUMIF(Лэндинг!$E$5:$E$300,"*/"&amp;$B160,Лэндинг!$K$5:$K$300)+SUMIF(Закрытые!$E$5:$E$300,$B160&amp;"/*",Закрытые!$F$5:$F$300)+SUMIF(Закрытые!$E$5:$E$300,"*/"&amp;$B160,Закрытые!$K$5:$K$300)+SUMIF(История!$B$5:$B$300,$B160&amp;"/*",История!$C$5:$C$300)+SUMIF(История!$B$5:$B$300,"*/"&amp;$B160,История!$H$5:$H$300),8))</f>
        <v/>
      </c>
      <c r="D160" s="240">
        <f>IF($B160="","",ROUND(SUMIF(Торговля!$E$5:$E$300,$B160&amp;"/*",Торговля!$I$5:$I$300)+SUMIF(Торговля!$E$5:$E$300,"*/"&amp;$B160,Торговля!$H$5:$H$300)+SUMIF(Лэндинг!$E$5:$E$300,$B160&amp;"/*",Лэндинг!$I$5:$I$300)+SUMIF(Лэндинг!$E$5:$E$300,"*/"&amp;$B160,Лэндинг!$H$5:$H$300)+SUMIF(Закрытые!$E$5:$E$300,$B160&amp;"/*",Закрытые!$I$5:$I$300)+SUMIF(Закрытые!$E$5:$E$300,"*/"&amp;$B160,Закрытые!$H$5:$H$300)+SUMIF(История!$B$5:$B$300,$B160&amp;"/*",История!$F$5:$F$300)+SUMIF(История!$B$5:$B$300,"*/"&amp;$B160,История!$E$5:$E$300),8))</f>
        <v/>
      </c>
      <c r="E160" s="339">
        <f>IF($B160="","",ROUND(C160-D160,8))</f>
        <v/>
      </c>
    </row>
    <row r="161" ht="22" customHeight="1">
      <c r="B161" s="315" t="n"/>
      <c r="C161" s="240">
        <f>IF($B161="","",ROUND(SUMIF(Торговля!$E$5:$E$300,$B161&amp;"/*",Торговля!$F$5:$F$300)+SUMIF(Торговля!$E$5:$E$300,"*/"&amp;$B161,Торговля!$K$5:$K$300)+SUMIF(Лэндинг!$E$5:$E$300,$B161&amp;"/*",Лэндинг!$F$5:$F$300)+SUMIF(Лэндинг!$E$5:$E$300,"*/"&amp;$B161,Лэндинг!$K$5:$K$300)+SUMIF(Закрытые!$E$5:$E$300,$B161&amp;"/*",Закрытые!$F$5:$F$300)+SUMIF(Закрытые!$E$5:$E$300,"*/"&amp;$B161,Закрытые!$K$5:$K$300)+SUMIF(История!$B$5:$B$300,$B161&amp;"/*",История!$C$5:$C$300)+SUMIF(История!$B$5:$B$300,"*/"&amp;$B161,История!$H$5:$H$300),8))</f>
        <v/>
      </c>
      <c r="D161" s="240">
        <f>IF($B161="","",ROUND(SUMIF(Торговля!$E$5:$E$300,$B161&amp;"/*",Торговля!$I$5:$I$300)+SUMIF(Торговля!$E$5:$E$300,"*/"&amp;$B161,Торговля!$H$5:$H$300)+SUMIF(Лэндинг!$E$5:$E$300,$B161&amp;"/*",Лэндинг!$I$5:$I$300)+SUMIF(Лэндинг!$E$5:$E$300,"*/"&amp;$B161,Лэндинг!$H$5:$H$300)+SUMIF(Закрытые!$E$5:$E$300,$B161&amp;"/*",Закрытые!$I$5:$I$300)+SUMIF(Закрытые!$E$5:$E$300,"*/"&amp;$B161,Закрытые!$H$5:$H$300)+SUMIF(История!$B$5:$B$300,$B161&amp;"/*",История!$F$5:$F$300)+SUMIF(История!$B$5:$B$300,"*/"&amp;$B161,История!$E$5:$E$300),8))</f>
        <v/>
      </c>
      <c r="E161" s="339">
        <f>IF($B161="","",ROUND(C161-D161,8))</f>
        <v/>
      </c>
    </row>
    <row r="162" ht="22" customHeight="1">
      <c r="B162" s="320" t="n"/>
      <c r="C162" s="240">
        <f>IF($B162="","",ROUND(SUMIF(Торговля!$E$5:$E$300,$B162&amp;"/*",Торговля!$F$5:$F$300)+SUMIF(Торговля!$E$5:$E$300,"*/"&amp;$B162,Торговля!$K$5:$K$300)+SUMIF(Лэндинг!$E$5:$E$300,$B162&amp;"/*",Лэндинг!$F$5:$F$300)+SUMIF(Лэндинг!$E$5:$E$300,"*/"&amp;$B162,Лэндинг!$K$5:$K$300)+SUMIF(Закрытые!$E$5:$E$300,$B162&amp;"/*",Закрытые!$F$5:$F$300)+SUMIF(Закрытые!$E$5:$E$300,"*/"&amp;$B162,Закрытые!$K$5:$K$300)+SUMIF(История!$B$5:$B$300,$B162&amp;"/*",История!$C$5:$C$300)+SUMIF(История!$B$5:$B$300,"*/"&amp;$B162,История!$H$5:$H$300),8))</f>
        <v/>
      </c>
      <c r="D162" s="240">
        <f>IF($B162="","",ROUND(SUMIF(Торговля!$E$5:$E$300,$B162&amp;"/*",Торговля!$I$5:$I$300)+SUMIF(Торговля!$E$5:$E$300,"*/"&amp;$B162,Торговля!$H$5:$H$300)+SUMIF(Лэндинг!$E$5:$E$300,$B162&amp;"/*",Лэндинг!$I$5:$I$300)+SUMIF(Лэндинг!$E$5:$E$300,"*/"&amp;$B162,Лэндинг!$H$5:$H$300)+SUMIF(Закрытые!$E$5:$E$300,$B162&amp;"/*",Закрытые!$I$5:$I$300)+SUMIF(Закрытые!$E$5:$E$300,"*/"&amp;$B162,Закрытые!$H$5:$H$300)+SUMIF(История!$B$5:$B$300,$B162&amp;"/*",История!$F$5:$F$300)+SUMIF(История!$B$5:$B$300,"*/"&amp;$B162,История!$E$5:$E$300),8))</f>
        <v/>
      </c>
      <c r="E162" s="339">
        <f>IF($B162="","",ROUND(C162-D162,8))</f>
        <v/>
      </c>
    </row>
    <row r="163" ht="22" customHeight="1">
      <c r="B163" s="315" t="n"/>
      <c r="C163" s="240">
        <f>IF($B163="","",ROUND(SUMIF(Торговля!$E$5:$E$300,$B163&amp;"/*",Торговля!$F$5:$F$300)+SUMIF(Торговля!$E$5:$E$300,"*/"&amp;$B163,Торговля!$K$5:$K$300)+SUMIF(Лэндинг!$E$5:$E$300,$B163&amp;"/*",Лэндинг!$F$5:$F$300)+SUMIF(Лэндинг!$E$5:$E$300,"*/"&amp;$B163,Лэндинг!$K$5:$K$300)+SUMIF(Закрытые!$E$5:$E$300,$B163&amp;"/*",Закрытые!$F$5:$F$300)+SUMIF(Закрытые!$E$5:$E$300,"*/"&amp;$B163,Закрытые!$K$5:$K$300)+SUMIF(История!$B$5:$B$300,$B163&amp;"/*",История!$C$5:$C$300)+SUMIF(История!$B$5:$B$300,"*/"&amp;$B163,История!$H$5:$H$300),8))</f>
        <v/>
      </c>
      <c r="D163" s="240">
        <f>IF($B163="","",ROUND(SUMIF(Торговля!$E$5:$E$300,$B163&amp;"/*",Торговля!$I$5:$I$300)+SUMIF(Торговля!$E$5:$E$300,"*/"&amp;$B163,Торговля!$H$5:$H$300)+SUMIF(Лэндинг!$E$5:$E$300,$B163&amp;"/*",Лэндинг!$I$5:$I$300)+SUMIF(Лэндинг!$E$5:$E$300,"*/"&amp;$B163,Лэндинг!$H$5:$H$300)+SUMIF(Закрытые!$E$5:$E$300,$B163&amp;"/*",Закрытые!$I$5:$I$300)+SUMIF(Закрытые!$E$5:$E$300,"*/"&amp;$B163,Закрытые!$H$5:$H$300)+SUMIF(История!$B$5:$B$300,$B163&amp;"/*",История!$F$5:$F$300)+SUMIF(История!$B$5:$B$300,"*/"&amp;$B163,История!$E$5:$E$300),8))</f>
        <v/>
      </c>
      <c r="E163" s="339">
        <f>IF($B163="","",ROUND(C163-D163,8))</f>
        <v/>
      </c>
    </row>
    <row r="164" ht="22" customHeight="1">
      <c r="B164" s="320" t="n"/>
      <c r="C164" s="240">
        <f>IF($B164="","",ROUND(SUMIF(Торговля!$E$5:$E$300,$B164&amp;"/*",Торговля!$F$5:$F$300)+SUMIF(Торговля!$E$5:$E$300,"*/"&amp;$B164,Торговля!$K$5:$K$300)+SUMIF(Лэндинг!$E$5:$E$300,$B164&amp;"/*",Лэндинг!$F$5:$F$300)+SUMIF(Лэндинг!$E$5:$E$300,"*/"&amp;$B164,Лэндинг!$K$5:$K$300)+SUMIF(Закрытые!$E$5:$E$300,$B164&amp;"/*",Закрытые!$F$5:$F$300)+SUMIF(Закрытые!$E$5:$E$300,"*/"&amp;$B164,Закрытые!$K$5:$K$300)+SUMIF(История!$B$5:$B$300,$B164&amp;"/*",История!$C$5:$C$300)+SUMIF(История!$B$5:$B$300,"*/"&amp;$B164,История!$H$5:$H$300),8))</f>
        <v/>
      </c>
      <c r="D164" s="240">
        <f>IF($B164="","",ROUND(SUMIF(Торговля!$E$5:$E$300,$B164&amp;"/*",Торговля!$I$5:$I$300)+SUMIF(Торговля!$E$5:$E$300,"*/"&amp;$B164,Торговля!$H$5:$H$300)+SUMIF(Лэндинг!$E$5:$E$300,$B164&amp;"/*",Лэндинг!$I$5:$I$300)+SUMIF(Лэндинг!$E$5:$E$300,"*/"&amp;$B164,Лэндинг!$H$5:$H$300)+SUMIF(Закрытые!$E$5:$E$300,$B164&amp;"/*",Закрытые!$I$5:$I$300)+SUMIF(Закрытые!$E$5:$E$300,"*/"&amp;$B164,Закрытые!$H$5:$H$300)+SUMIF(История!$B$5:$B$300,$B164&amp;"/*",История!$F$5:$F$300)+SUMIF(История!$B$5:$B$300,"*/"&amp;$B164,История!$E$5:$E$300),8))</f>
        <v/>
      </c>
      <c r="E164" s="339">
        <f>IF($B164="","",ROUND(C164-D164,8))</f>
        <v/>
      </c>
    </row>
    <row r="165" ht="22" customHeight="1">
      <c r="B165" s="315" t="n"/>
      <c r="C165" s="240">
        <f>IF($B165="","",ROUND(SUMIF(Торговля!$E$5:$E$300,$B165&amp;"/*",Торговля!$F$5:$F$300)+SUMIF(Торговля!$E$5:$E$300,"*/"&amp;$B165,Торговля!$K$5:$K$300)+SUMIF(Лэндинг!$E$5:$E$300,$B165&amp;"/*",Лэндинг!$F$5:$F$300)+SUMIF(Лэндинг!$E$5:$E$300,"*/"&amp;$B165,Лэндинг!$K$5:$K$300)+SUMIF(Закрытые!$E$5:$E$300,$B165&amp;"/*",Закрытые!$F$5:$F$300)+SUMIF(Закрытые!$E$5:$E$300,"*/"&amp;$B165,Закрытые!$K$5:$K$300)+SUMIF(История!$B$5:$B$300,$B165&amp;"/*",История!$C$5:$C$300)+SUMIF(История!$B$5:$B$300,"*/"&amp;$B165,История!$H$5:$H$300),8))</f>
        <v/>
      </c>
      <c r="D165" s="240">
        <f>IF($B165="","",ROUND(SUMIF(Торговля!$E$5:$E$300,$B165&amp;"/*",Торговля!$I$5:$I$300)+SUMIF(Торговля!$E$5:$E$300,"*/"&amp;$B165,Торговля!$H$5:$H$300)+SUMIF(Лэндинг!$E$5:$E$300,$B165&amp;"/*",Лэндинг!$I$5:$I$300)+SUMIF(Лэндинг!$E$5:$E$300,"*/"&amp;$B165,Лэндинг!$H$5:$H$300)+SUMIF(Закрытые!$E$5:$E$300,$B165&amp;"/*",Закрытые!$I$5:$I$300)+SUMIF(Закрытые!$E$5:$E$300,"*/"&amp;$B165,Закрытые!$H$5:$H$300)+SUMIF(История!$B$5:$B$300,$B165&amp;"/*",История!$F$5:$F$300)+SUMIF(История!$B$5:$B$300,"*/"&amp;$B165,История!$E$5:$E$300),8))</f>
        <v/>
      </c>
      <c r="E165" s="339">
        <f>IF($B165="","",ROUND(C165-D165,8))</f>
        <v/>
      </c>
    </row>
    <row r="166" ht="22" customHeight="1">
      <c r="B166" s="320" t="n"/>
      <c r="C166" s="240">
        <f>IF($B166="","",ROUND(SUMIF(Торговля!$E$5:$E$300,$B166&amp;"/*",Торговля!$F$5:$F$300)+SUMIF(Торговля!$E$5:$E$300,"*/"&amp;$B166,Торговля!$K$5:$K$300)+SUMIF(Лэндинг!$E$5:$E$300,$B166&amp;"/*",Лэндинг!$F$5:$F$300)+SUMIF(Лэндинг!$E$5:$E$300,"*/"&amp;$B166,Лэндинг!$K$5:$K$300)+SUMIF(Закрытые!$E$5:$E$300,$B166&amp;"/*",Закрытые!$F$5:$F$300)+SUMIF(Закрытые!$E$5:$E$300,"*/"&amp;$B166,Закрытые!$K$5:$K$300)+SUMIF(История!$B$5:$B$300,$B166&amp;"/*",История!$C$5:$C$300)+SUMIF(История!$B$5:$B$300,"*/"&amp;$B166,История!$H$5:$H$300),8))</f>
        <v/>
      </c>
      <c r="D166" s="240">
        <f>IF($B166="","",ROUND(SUMIF(Торговля!$E$5:$E$300,$B166&amp;"/*",Торговля!$I$5:$I$300)+SUMIF(Торговля!$E$5:$E$300,"*/"&amp;$B166,Торговля!$H$5:$H$300)+SUMIF(Лэндинг!$E$5:$E$300,$B166&amp;"/*",Лэндинг!$I$5:$I$300)+SUMIF(Лэндинг!$E$5:$E$300,"*/"&amp;$B166,Лэндинг!$H$5:$H$300)+SUMIF(Закрытые!$E$5:$E$300,$B166&amp;"/*",Закрытые!$I$5:$I$300)+SUMIF(Закрытые!$E$5:$E$300,"*/"&amp;$B166,Закрытые!$H$5:$H$300)+SUMIF(История!$B$5:$B$300,$B166&amp;"/*",История!$F$5:$F$300)+SUMIF(История!$B$5:$B$300,"*/"&amp;$B166,История!$E$5:$E$300),8))</f>
        <v/>
      </c>
      <c r="E166" s="339">
        <f>IF($B166="","",ROUND(C166-D166,8))</f>
        <v/>
      </c>
    </row>
    <row r="167" ht="22" customHeight="1">
      <c r="B167" s="315" t="n"/>
      <c r="C167" s="240">
        <f>IF($B167="","",ROUND(SUMIF(Торговля!$E$5:$E$300,$B167&amp;"/*",Торговля!$F$5:$F$300)+SUMIF(Торговля!$E$5:$E$300,"*/"&amp;$B167,Торговля!$K$5:$K$300)+SUMIF(Лэндинг!$E$5:$E$300,$B167&amp;"/*",Лэндинг!$F$5:$F$300)+SUMIF(Лэндинг!$E$5:$E$300,"*/"&amp;$B167,Лэндинг!$K$5:$K$300)+SUMIF(Закрытые!$E$5:$E$300,$B167&amp;"/*",Закрытые!$F$5:$F$300)+SUMIF(Закрытые!$E$5:$E$300,"*/"&amp;$B167,Закрытые!$K$5:$K$300)+SUMIF(История!$B$5:$B$300,$B167&amp;"/*",История!$C$5:$C$300)+SUMIF(История!$B$5:$B$300,"*/"&amp;$B167,История!$H$5:$H$300),8))</f>
        <v/>
      </c>
      <c r="D167" s="240">
        <f>IF($B167="","",ROUND(SUMIF(Торговля!$E$5:$E$300,$B167&amp;"/*",Торговля!$I$5:$I$300)+SUMIF(Торговля!$E$5:$E$300,"*/"&amp;$B167,Торговля!$H$5:$H$300)+SUMIF(Лэндинг!$E$5:$E$300,$B167&amp;"/*",Лэндинг!$I$5:$I$300)+SUMIF(Лэндинг!$E$5:$E$300,"*/"&amp;$B167,Лэндинг!$H$5:$H$300)+SUMIF(Закрытые!$E$5:$E$300,$B167&amp;"/*",Закрытые!$I$5:$I$300)+SUMIF(Закрытые!$E$5:$E$300,"*/"&amp;$B167,Закрытые!$H$5:$H$300)+SUMIF(История!$B$5:$B$300,$B167&amp;"/*",История!$F$5:$F$300)+SUMIF(История!$B$5:$B$300,"*/"&amp;$B167,История!$E$5:$E$300),8))</f>
        <v/>
      </c>
      <c r="E167" s="339">
        <f>IF($B167="","",ROUND(C167-D167,8))</f>
        <v/>
      </c>
    </row>
    <row r="168" ht="22" customHeight="1">
      <c r="B168" s="320" t="n"/>
      <c r="C168" s="240">
        <f>IF($B168="","",ROUND(SUMIF(Торговля!$E$5:$E$300,$B168&amp;"/*",Торговля!$F$5:$F$300)+SUMIF(Торговля!$E$5:$E$300,"*/"&amp;$B168,Торговля!$K$5:$K$300)+SUMIF(Лэндинг!$E$5:$E$300,$B168&amp;"/*",Лэндинг!$F$5:$F$300)+SUMIF(Лэндинг!$E$5:$E$300,"*/"&amp;$B168,Лэндинг!$K$5:$K$300)+SUMIF(Закрытые!$E$5:$E$300,$B168&amp;"/*",Закрытые!$F$5:$F$300)+SUMIF(Закрытые!$E$5:$E$300,"*/"&amp;$B168,Закрытые!$K$5:$K$300)+SUMIF(История!$B$5:$B$300,$B168&amp;"/*",История!$C$5:$C$300)+SUMIF(История!$B$5:$B$300,"*/"&amp;$B168,История!$H$5:$H$300),8))</f>
        <v/>
      </c>
      <c r="D168" s="240">
        <f>IF($B168="","",ROUND(SUMIF(Торговля!$E$5:$E$300,$B168&amp;"/*",Торговля!$I$5:$I$300)+SUMIF(Торговля!$E$5:$E$300,"*/"&amp;$B168,Торговля!$H$5:$H$300)+SUMIF(Лэндинг!$E$5:$E$300,$B168&amp;"/*",Лэндинг!$I$5:$I$300)+SUMIF(Лэндинг!$E$5:$E$300,"*/"&amp;$B168,Лэндинг!$H$5:$H$300)+SUMIF(Закрытые!$E$5:$E$300,$B168&amp;"/*",Закрытые!$I$5:$I$300)+SUMIF(Закрытые!$E$5:$E$300,"*/"&amp;$B168,Закрытые!$H$5:$H$300)+SUMIF(История!$B$5:$B$300,$B168&amp;"/*",История!$F$5:$F$300)+SUMIF(История!$B$5:$B$300,"*/"&amp;$B168,История!$E$5:$E$300),8))</f>
        <v/>
      </c>
      <c r="E168" s="339">
        <f>IF($B168="","",ROUND(C168-D168,8))</f>
        <v/>
      </c>
    </row>
    <row r="169" ht="22" customHeight="1">
      <c r="B169" s="315" t="n"/>
      <c r="C169" s="240">
        <f>IF($B169="","",ROUND(SUMIF(Торговля!$E$5:$E$300,$B169&amp;"/*",Торговля!$F$5:$F$300)+SUMIF(Торговля!$E$5:$E$300,"*/"&amp;$B169,Торговля!$K$5:$K$300)+SUMIF(Лэндинг!$E$5:$E$300,$B169&amp;"/*",Лэндинг!$F$5:$F$300)+SUMIF(Лэндинг!$E$5:$E$300,"*/"&amp;$B169,Лэндинг!$K$5:$K$300)+SUMIF(Закрытые!$E$5:$E$300,$B169&amp;"/*",Закрытые!$F$5:$F$300)+SUMIF(Закрытые!$E$5:$E$300,"*/"&amp;$B169,Закрытые!$K$5:$K$300)+SUMIF(История!$B$5:$B$300,$B169&amp;"/*",История!$C$5:$C$300)+SUMIF(История!$B$5:$B$300,"*/"&amp;$B169,История!$H$5:$H$300),8))</f>
        <v/>
      </c>
      <c r="D169" s="240">
        <f>IF($B169="","",ROUND(SUMIF(Торговля!$E$5:$E$300,$B169&amp;"/*",Торговля!$I$5:$I$300)+SUMIF(Торговля!$E$5:$E$300,"*/"&amp;$B169,Торговля!$H$5:$H$300)+SUMIF(Лэндинг!$E$5:$E$300,$B169&amp;"/*",Лэндинг!$I$5:$I$300)+SUMIF(Лэндинг!$E$5:$E$300,"*/"&amp;$B169,Лэндинг!$H$5:$H$300)+SUMIF(Закрытые!$E$5:$E$300,$B169&amp;"/*",Закрытые!$I$5:$I$300)+SUMIF(Закрытые!$E$5:$E$300,"*/"&amp;$B169,Закрытые!$H$5:$H$300)+SUMIF(История!$B$5:$B$300,$B169&amp;"/*",История!$F$5:$F$300)+SUMIF(История!$B$5:$B$300,"*/"&amp;$B169,История!$E$5:$E$300),8))</f>
        <v/>
      </c>
      <c r="E169" s="339">
        <f>IF($B169="","",ROUND(C169-D169,8))</f>
        <v/>
      </c>
    </row>
    <row r="170" ht="22" customHeight="1">
      <c r="B170" s="320" t="n"/>
      <c r="C170" s="240">
        <f>IF($B170="","",ROUND(SUMIF(Торговля!$E$5:$E$300,$B170&amp;"/*",Торговля!$F$5:$F$300)+SUMIF(Торговля!$E$5:$E$300,"*/"&amp;$B170,Торговля!$K$5:$K$300)+SUMIF(Лэндинг!$E$5:$E$300,$B170&amp;"/*",Лэндинг!$F$5:$F$300)+SUMIF(Лэндинг!$E$5:$E$300,"*/"&amp;$B170,Лэндинг!$K$5:$K$300)+SUMIF(Закрытые!$E$5:$E$300,$B170&amp;"/*",Закрытые!$F$5:$F$300)+SUMIF(Закрытые!$E$5:$E$300,"*/"&amp;$B170,Закрытые!$K$5:$K$300)+SUMIF(История!$B$5:$B$300,$B170&amp;"/*",История!$C$5:$C$300)+SUMIF(История!$B$5:$B$300,"*/"&amp;$B170,История!$H$5:$H$300),8))</f>
        <v/>
      </c>
      <c r="D170" s="240">
        <f>IF($B170="","",ROUND(SUMIF(Торговля!$E$5:$E$300,$B170&amp;"/*",Торговля!$I$5:$I$300)+SUMIF(Торговля!$E$5:$E$300,"*/"&amp;$B170,Торговля!$H$5:$H$300)+SUMIF(Лэндинг!$E$5:$E$300,$B170&amp;"/*",Лэндинг!$I$5:$I$300)+SUMIF(Лэндинг!$E$5:$E$300,"*/"&amp;$B170,Лэндинг!$H$5:$H$300)+SUMIF(Закрытые!$E$5:$E$300,$B170&amp;"/*",Закрытые!$I$5:$I$300)+SUMIF(Закрытые!$E$5:$E$300,"*/"&amp;$B170,Закрытые!$H$5:$H$300)+SUMIF(История!$B$5:$B$300,$B170&amp;"/*",История!$F$5:$F$300)+SUMIF(История!$B$5:$B$300,"*/"&amp;$B170,История!$E$5:$E$300),8))</f>
        <v/>
      </c>
      <c r="E170" s="339">
        <f>IF($B170="","",ROUND(C170-D170,8))</f>
        <v/>
      </c>
    </row>
    <row r="171" ht="22" customHeight="1">
      <c r="B171" s="315" t="n"/>
      <c r="C171" s="240">
        <f>IF($B171="","",ROUND(SUMIF(Торговля!$E$5:$E$300,$B171&amp;"/*",Торговля!$F$5:$F$300)+SUMIF(Торговля!$E$5:$E$300,"*/"&amp;$B171,Торговля!$K$5:$K$300)+SUMIF(Лэндинг!$E$5:$E$300,$B171&amp;"/*",Лэндинг!$F$5:$F$300)+SUMIF(Лэндинг!$E$5:$E$300,"*/"&amp;$B171,Лэндинг!$K$5:$K$300)+SUMIF(Закрытые!$E$5:$E$300,$B171&amp;"/*",Закрытые!$F$5:$F$300)+SUMIF(Закрытые!$E$5:$E$300,"*/"&amp;$B171,Закрытые!$K$5:$K$300)+SUMIF(История!$B$5:$B$300,$B171&amp;"/*",История!$C$5:$C$300)+SUMIF(История!$B$5:$B$300,"*/"&amp;$B171,История!$H$5:$H$300),8))</f>
        <v/>
      </c>
      <c r="D171" s="240">
        <f>IF($B171="","",ROUND(SUMIF(Торговля!$E$5:$E$300,$B171&amp;"/*",Торговля!$I$5:$I$300)+SUMIF(Торговля!$E$5:$E$300,"*/"&amp;$B171,Торговля!$H$5:$H$300)+SUMIF(Лэндинг!$E$5:$E$300,$B171&amp;"/*",Лэндинг!$I$5:$I$300)+SUMIF(Лэндинг!$E$5:$E$300,"*/"&amp;$B171,Лэндинг!$H$5:$H$300)+SUMIF(Закрытые!$E$5:$E$300,$B171&amp;"/*",Закрытые!$I$5:$I$300)+SUMIF(Закрытые!$E$5:$E$300,"*/"&amp;$B171,Закрытые!$H$5:$H$300)+SUMIF(История!$B$5:$B$300,$B171&amp;"/*",История!$F$5:$F$300)+SUMIF(История!$B$5:$B$300,"*/"&amp;$B171,История!$E$5:$E$300),8))</f>
        <v/>
      </c>
      <c r="E171" s="339">
        <f>IF($B171="","",ROUND(C171-D171,8))</f>
        <v/>
      </c>
    </row>
    <row r="172" ht="22" customHeight="1">
      <c r="B172" s="320" t="n"/>
      <c r="C172" s="240">
        <f>IF($B172="","",ROUND(SUMIF(Торговля!$E$5:$E$300,$B172&amp;"/*",Торговля!$F$5:$F$300)+SUMIF(Торговля!$E$5:$E$300,"*/"&amp;$B172,Торговля!$K$5:$K$300)+SUMIF(Лэндинг!$E$5:$E$300,$B172&amp;"/*",Лэндинг!$F$5:$F$300)+SUMIF(Лэндинг!$E$5:$E$300,"*/"&amp;$B172,Лэндинг!$K$5:$K$300)+SUMIF(Закрытые!$E$5:$E$300,$B172&amp;"/*",Закрытые!$F$5:$F$300)+SUMIF(Закрытые!$E$5:$E$300,"*/"&amp;$B172,Закрытые!$K$5:$K$300)+SUMIF(История!$B$5:$B$300,$B172&amp;"/*",История!$C$5:$C$300)+SUMIF(История!$B$5:$B$300,"*/"&amp;$B172,История!$H$5:$H$300),8))</f>
        <v/>
      </c>
      <c r="D172" s="240">
        <f>IF($B172="","",ROUND(SUMIF(Торговля!$E$5:$E$300,$B172&amp;"/*",Торговля!$I$5:$I$300)+SUMIF(Торговля!$E$5:$E$300,"*/"&amp;$B172,Торговля!$H$5:$H$300)+SUMIF(Лэндинг!$E$5:$E$300,$B172&amp;"/*",Лэндинг!$I$5:$I$300)+SUMIF(Лэндинг!$E$5:$E$300,"*/"&amp;$B172,Лэндинг!$H$5:$H$300)+SUMIF(Закрытые!$E$5:$E$300,$B172&amp;"/*",Закрытые!$I$5:$I$300)+SUMIF(Закрытые!$E$5:$E$300,"*/"&amp;$B172,Закрытые!$H$5:$H$300)+SUMIF(История!$B$5:$B$300,$B172&amp;"/*",История!$F$5:$F$300)+SUMIF(История!$B$5:$B$300,"*/"&amp;$B172,История!$E$5:$E$300),8))</f>
        <v/>
      </c>
      <c r="E172" s="339">
        <f>IF($B172="","",ROUND(C172-D172,8))</f>
        <v/>
      </c>
    </row>
    <row r="173" ht="22" customHeight="1">
      <c r="B173" s="315" t="n"/>
      <c r="C173" s="240">
        <f>IF($B173="","",ROUND(SUMIF(Торговля!$E$5:$E$300,$B173&amp;"/*",Торговля!$F$5:$F$300)+SUMIF(Торговля!$E$5:$E$300,"*/"&amp;$B173,Торговля!$K$5:$K$300)+SUMIF(Лэндинг!$E$5:$E$300,$B173&amp;"/*",Лэндинг!$F$5:$F$300)+SUMIF(Лэндинг!$E$5:$E$300,"*/"&amp;$B173,Лэндинг!$K$5:$K$300)+SUMIF(Закрытые!$E$5:$E$300,$B173&amp;"/*",Закрытые!$F$5:$F$300)+SUMIF(Закрытые!$E$5:$E$300,"*/"&amp;$B173,Закрытые!$K$5:$K$300)+SUMIF(История!$B$5:$B$300,$B173&amp;"/*",История!$C$5:$C$300)+SUMIF(История!$B$5:$B$300,"*/"&amp;$B173,История!$H$5:$H$300),8))</f>
        <v/>
      </c>
      <c r="D173" s="240">
        <f>IF($B173="","",ROUND(SUMIF(Торговля!$E$5:$E$300,$B173&amp;"/*",Торговля!$I$5:$I$300)+SUMIF(Торговля!$E$5:$E$300,"*/"&amp;$B173,Торговля!$H$5:$H$300)+SUMIF(Лэндинг!$E$5:$E$300,$B173&amp;"/*",Лэндинг!$I$5:$I$300)+SUMIF(Лэндинг!$E$5:$E$300,"*/"&amp;$B173,Лэндинг!$H$5:$H$300)+SUMIF(Закрытые!$E$5:$E$300,$B173&amp;"/*",Закрытые!$I$5:$I$300)+SUMIF(Закрытые!$E$5:$E$300,"*/"&amp;$B173,Закрытые!$H$5:$H$300)+SUMIF(История!$B$5:$B$300,$B173&amp;"/*",История!$F$5:$F$300)+SUMIF(История!$B$5:$B$300,"*/"&amp;$B173,История!$E$5:$E$300),8))</f>
        <v/>
      </c>
      <c r="E173" s="339">
        <f>IF($B173="","",ROUND(C173-D173,8))</f>
        <v/>
      </c>
    </row>
    <row r="174" ht="22" customHeight="1">
      <c r="B174" s="320" t="n"/>
      <c r="C174" s="240">
        <f>IF($B174="","",ROUND(SUMIF(Торговля!$E$5:$E$300,$B174&amp;"/*",Торговля!$F$5:$F$300)+SUMIF(Торговля!$E$5:$E$300,"*/"&amp;$B174,Торговля!$K$5:$K$300)+SUMIF(Лэндинг!$E$5:$E$300,$B174&amp;"/*",Лэндинг!$F$5:$F$300)+SUMIF(Лэндинг!$E$5:$E$300,"*/"&amp;$B174,Лэндинг!$K$5:$K$300)+SUMIF(Закрытые!$E$5:$E$300,$B174&amp;"/*",Закрытые!$F$5:$F$300)+SUMIF(Закрытые!$E$5:$E$300,"*/"&amp;$B174,Закрытые!$K$5:$K$300)+SUMIF(История!$B$5:$B$300,$B174&amp;"/*",История!$C$5:$C$300)+SUMIF(История!$B$5:$B$300,"*/"&amp;$B174,История!$H$5:$H$300),8))</f>
        <v/>
      </c>
      <c r="D174" s="240">
        <f>IF($B174="","",ROUND(SUMIF(Торговля!$E$5:$E$300,$B174&amp;"/*",Торговля!$I$5:$I$300)+SUMIF(Торговля!$E$5:$E$300,"*/"&amp;$B174,Торговля!$H$5:$H$300)+SUMIF(Лэндинг!$E$5:$E$300,$B174&amp;"/*",Лэндинг!$I$5:$I$300)+SUMIF(Лэндинг!$E$5:$E$300,"*/"&amp;$B174,Лэндинг!$H$5:$H$300)+SUMIF(Закрытые!$E$5:$E$300,$B174&amp;"/*",Закрытые!$I$5:$I$300)+SUMIF(Закрытые!$E$5:$E$300,"*/"&amp;$B174,Закрытые!$H$5:$H$300)+SUMIF(История!$B$5:$B$300,$B174&amp;"/*",История!$F$5:$F$300)+SUMIF(История!$B$5:$B$300,"*/"&amp;$B174,История!$E$5:$E$300),8))</f>
        <v/>
      </c>
      <c r="E174" s="339">
        <f>IF($B174="","",ROUND(C174-D174,8))</f>
        <v/>
      </c>
    </row>
    <row r="175" ht="22" customHeight="1">
      <c r="B175" s="315" t="n"/>
      <c r="C175" s="240">
        <f>IF($B175="","",ROUND(SUMIF(Торговля!$E$5:$E$300,$B175&amp;"/*",Торговля!$F$5:$F$300)+SUMIF(Торговля!$E$5:$E$300,"*/"&amp;$B175,Торговля!$K$5:$K$300)+SUMIF(Лэндинг!$E$5:$E$300,$B175&amp;"/*",Лэндинг!$F$5:$F$300)+SUMIF(Лэндинг!$E$5:$E$300,"*/"&amp;$B175,Лэндинг!$K$5:$K$300)+SUMIF(Закрытые!$E$5:$E$300,$B175&amp;"/*",Закрытые!$F$5:$F$300)+SUMIF(Закрытые!$E$5:$E$300,"*/"&amp;$B175,Закрытые!$K$5:$K$300)+SUMIF(История!$B$5:$B$300,$B175&amp;"/*",История!$C$5:$C$300)+SUMIF(История!$B$5:$B$300,"*/"&amp;$B175,История!$H$5:$H$300),8))</f>
        <v/>
      </c>
      <c r="D175" s="240">
        <f>IF($B175="","",ROUND(SUMIF(Торговля!$E$5:$E$300,$B175&amp;"/*",Торговля!$I$5:$I$300)+SUMIF(Торговля!$E$5:$E$300,"*/"&amp;$B175,Торговля!$H$5:$H$300)+SUMIF(Лэндинг!$E$5:$E$300,$B175&amp;"/*",Лэндинг!$I$5:$I$300)+SUMIF(Лэндинг!$E$5:$E$300,"*/"&amp;$B175,Лэндинг!$H$5:$H$300)+SUMIF(Закрытые!$E$5:$E$300,$B175&amp;"/*",Закрытые!$I$5:$I$300)+SUMIF(Закрытые!$E$5:$E$300,"*/"&amp;$B175,Закрытые!$H$5:$H$300)+SUMIF(История!$B$5:$B$300,$B175&amp;"/*",История!$F$5:$F$300)+SUMIF(История!$B$5:$B$300,"*/"&amp;$B175,История!$E$5:$E$300),8))</f>
        <v/>
      </c>
      <c r="E175" s="339">
        <f>IF($B175="","",ROUND(C175-D175,8))</f>
        <v/>
      </c>
    </row>
    <row r="176" ht="22" customHeight="1">
      <c r="B176" s="320" t="n"/>
      <c r="C176" s="240">
        <f>IF($B176="","",ROUND(SUMIF(Торговля!$E$5:$E$300,$B176&amp;"/*",Торговля!$F$5:$F$300)+SUMIF(Торговля!$E$5:$E$300,"*/"&amp;$B176,Торговля!$K$5:$K$300)+SUMIF(Лэндинг!$E$5:$E$300,$B176&amp;"/*",Лэндинг!$F$5:$F$300)+SUMIF(Лэндинг!$E$5:$E$300,"*/"&amp;$B176,Лэндинг!$K$5:$K$300)+SUMIF(Закрытые!$E$5:$E$300,$B176&amp;"/*",Закрытые!$F$5:$F$300)+SUMIF(Закрытые!$E$5:$E$300,"*/"&amp;$B176,Закрытые!$K$5:$K$300)+SUMIF(История!$B$5:$B$300,$B176&amp;"/*",История!$C$5:$C$300)+SUMIF(История!$B$5:$B$300,"*/"&amp;$B176,История!$H$5:$H$300),8))</f>
        <v/>
      </c>
      <c r="D176" s="240">
        <f>IF($B176="","",ROUND(SUMIF(Торговля!$E$5:$E$300,$B176&amp;"/*",Торговля!$I$5:$I$300)+SUMIF(Торговля!$E$5:$E$300,"*/"&amp;$B176,Торговля!$H$5:$H$300)+SUMIF(Лэндинг!$E$5:$E$300,$B176&amp;"/*",Лэндинг!$I$5:$I$300)+SUMIF(Лэндинг!$E$5:$E$300,"*/"&amp;$B176,Лэндинг!$H$5:$H$300)+SUMIF(Закрытые!$E$5:$E$300,$B176&amp;"/*",Закрытые!$I$5:$I$300)+SUMIF(Закрытые!$E$5:$E$300,"*/"&amp;$B176,Закрытые!$H$5:$H$300)+SUMIF(История!$B$5:$B$300,$B176&amp;"/*",История!$F$5:$F$300)+SUMIF(История!$B$5:$B$300,"*/"&amp;$B176,История!$E$5:$E$300),8))</f>
        <v/>
      </c>
      <c r="E176" s="339">
        <f>IF($B176="","",ROUND(C176-D176,8))</f>
        <v/>
      </c>
    </row>
    <row r="177" ht="22" customHeight="1">
      <c r="B177" s="315" t="n"/>
      <c r="C177" s="240">
        <f>IF($B177="","",ROUND(SUMIF(Торговля!$E$5:$E$300,$B177&amp;"/*",Торговля!$F$5:$F$300)+SUMIF(Торговля!$E$5:$E$300,"*/"&amp;$B177,Торговля!$K$5:$K$300)+SUMIF(Лэндинг!$E$5:$E$300,$B177&amp;"/*",Лэндинг!$F$5:$F$300)+SUMIF(Лэндинг!$E$5:$E$300,"*/"&amp;$B177,Лэндинг!$K$5:$K$300)+SUMIF(Закрытые!$E$5:$E$300,$B177&amp;"/*",Закрытые!$F$5:$F$300)+SUMIF(Закрытые!$E$5:$E$300,"*/"&amp;$B177,Закрытые!$K$5:$K$300)+SUMIF(История!$B$5:$B$300,$B177&amp;"/*",История!$C$5:$C$300)+SUMIF(История!$B$5:$B$300,"*/"&amp;$B177,История!$H$5:$H$300),8))</f>
        <v/>
      </c>
      <c r="D177" s="240">
        <f>IF($B177="","",ROUND(SUMIF(Торговля!$E$5:$E$300,$B177&amp;"/*",Торговля!$I$5:$I$300)+SUMIF(Торговля!$E$5:$E$300,"*/"&amp;$B177,Торговля!$H$5:$H$300)+SUMIF(Лэндинг!$E$5:$E$300,$B177&amp;"/*",Лэндинг!$I$5:$I$300)+SUMIF(Лэндинг!$E$5:$E$300,"*/"&amp;$B177,Лэндинг!$H$5:$H$300)+SUMIF(Закрытые!$E$5:$E$300,$B177&amp;"/*",Закрытые!$I$5:$I$300)+SUMIF(Закрытые!$E$5:$E$300,"*/"&amp;$B177,Закрытые!$H$5:$H$300)+SUMIF(История!$B$5:$B$300,$B177&amp;"/*",История!$F$5:$F$300)+SUMIF(История!$B$5:$B$300,"*/"&amp;$B177,История!$E$5:$E$300),8))</f>
        <v/>
      </c>
      <c r="E177" s="339">
        <f>IF($B177="","",ROUND(C177-D177,8))</f>
        <v/>
      </c>
    </row>
    <row r="178" ht="22" customHeight="1">
      <c r="B178" s="320" t="n"/>
      <c r="C178" s="240">
        <f>IF($B178="","",ROUND(SUMIF(Торговля!$E$5:$E$300,$B178&amp;"/*",Торговля!$F$5:$F$300)+SUMIF(Торговля!$E$5:$E$300,"*/"&amp;$B178,Торговля!$K$5:$K$300)+SUMIF(Лэндинг!$E$5:$E$300,$B178&amp;"/*",Лэндинг!$F$5:$F$300)+SUMIF(Лэндинг!$E$5:$E$300,"*/"&amp;$B178,Лэндинг!$K$5:$K$300)+SUMIF(Закрытые!$E$5:$E$300,$B178&amp;"/*",Закрытые!$F$5:$F$300)+SUMIF(Закрытые!$E$5:$E$300,"*/"&amp;$B178,Закрытые!$K$5:$K$300)+SUMIF(История!$B$5:$B$300,$B178&amp;"/*",История!$C$5:$C$300)+SUMIF(История!$B$5:$B$300,"*/"&amp;$B178,История!$H$5:$H$300),8))</f>
        <v/>
      </c>
      <c r="D178" s="240">
        <f>IF($B178="","",ROUND(SUMIF(Торговля!$E$5:$E$300,$B178&amp;"/*",Торговля!$I$5:$I$300)+SUMIF(Торговля!$E$5:$E$300,"*/"&amp;$B178,Торговля!$H$5:$H$300)+SUMIF(Лэндинг!$E$5:$E$300,$B178&amp;"/*",Лэндинг!$I$5:$I$300)+SUMIF(Лэндинг!$E$5:$E$300,"*/"&amp;$B178,Лэндинг!$H$5:$H$300)+SUMIF(Закрытые!$E$5:$E$300,$B178&amp;"/*",Закрытые!$I$5:$I$300)+SUMIF(Закрытые!$E$5:$E$300,"*/"&amp;$B178,Закрытые!$H$5:$H$300)+SUMIF(История!$B$5:$B$300,$B178&amp;"/*",История!$F$5:$F$300)+SUMIF(История!$B$5:$B$300,"*/"&amp;$B178,История!$E$5:$E$300),8))</f>
        <v/>
      </c>
      <c r="E178" s="339">
        <f>IF($B178="","",ROUND(C178-D178,8))</f>
        <v/>
      </c>
    </row>
    <row r="179" ht="22" customHeight="1">
      <c r="B179" s="315" t="n"/>
      <c r="C179" s="240">
        <f>IF($B179="","",ROUND(SUMIF(Торговля!$E$5:$E$300,$B179&amp;"/*",Торговля!$F$5:$F$300)+SUMIF(Торговля!$E$5:$E$300,"*/"&amp;$B179,Торговля!$K$5:$K$300)+SUMIF(Лэндинг!$E$5:$E$300,$B179&amp;"/*",Лэндинг!$F$5:$F$300)+SUMIF(Лэндинг!$E$5:$E$300,"*/"&amp;$B179,Лэндинг!$K$5:$K$300)+SUMIF(Закрытые!$E$5:$E$300,$B179&amp;"/*",Закрытые!$F$5:$F$300)+SUMIF(Закрытые!$E$5:$E$300,"*/"&amp;$B179,Закрытые!$K$5:$K$300)+SUMIF(История!$B$5:$B$300,$B179&amp;"/*",История!$C$5:$C$300)+SUMIF(История!$B$5:$B$300,"*/"&amp;$B179,История!$H$5:$H$300),8))</f>
        <v/>
      </c>
      <c r="D179" s="240">
        <f>IF($B179="","",ROUND(SUMIF(Торговля!$E$5:$E$300,$B179&amp;"/*",Торговля!$I$5:$I$300)+SUMIF(Торговля!$E$5:$E$300,"*/"&amp;$B179,Торговля!$H$5:$H$300)+SUMIF(Лэндинг!$E$5:$E$300,$B179&amp;"/*",Лэндинг!$I$5:$I$300)+SUMIF(Лэндинг!$E$5:$E$300,"*/"&amp;$B179,Лэндинг!$H$5:$H$300)+SUMIF(Закрытые!$E$5:$E$300,$B179&amp;"/*",Закрытые!$I$5:$I$300)+SUMIF(Закрытые!$E$5:$E$300,"*/"&amp;$B179,Закрытые!$H$5:$H$300)+SUMIF(История!$B$5:$B$300,$B179&amp;"/*",История!$F$5:$F$300)+SUMIF(История!$B$5:$B$300,"*/"&amp;$B179,История!$E$5:$E$300),8))</f>
        <v/>
      </c>
      <c r="E179" s="339">
        <f>IF($B179="","",ROUND(C179-D179,8))</f>
        <v/>
      </c>
    </row>
    <row r="180" ht="22" customHeight="1">
      <c r="B180" s="320" t="n"/>
      <c r="C180" s="240">
        <f>IF($B180="","",ROUND(SUMIF(Торговля!$E$5:$E$300,$B180&amp;"/*",Торговля!$F$5:$F$300)+SUMIF(Торговля!$E$5:$E$300,"*/"&amp;$B180,Торговля!$K$5:$K$300)+SUMIF(Лэндинг!$E$5:$E$300,$B180&amp;"/*",Лэндинг!$F$5:$F$300)+SUMIF(Лэндинг!$E$5:$E$300,"*/"&amp;$B180,Лэндинг!$K$5:$K$300)+SUMIF(Закрытые!$E$5:$E$300,$B180&amp;"/*",Закрытые!$F$5:$F$300)+SUMIF(Закрытые!$E$5:$E$300,"*/"&amp;$B180,Закрытые!$K$5:$K$300)+SUMIF(История!$B$5:$B$300,$B180&amp;"/*",История!$C$5:$C$300)+SUMIF(История!$B$5:$B$300,"*/"&amp;$B180,История!$H$5:$H$300),8))</f>
        <v/>
      </c>
      <c r="D180" s="240">
        <f>IF($B180="","",ROUND(SUMIF(Торговля!$E$5:$E$300,$B180&amp;"/*",Торговля!$I$5:$I$300)+SUMIF(Торговля!$E$5:$E$300,"*/"&amp;$B180,Торговля!$H$5:$H$300)+SUMIF(Лэндинг!$E$5:$E$300,$B180&amp;"/*",Лэндинг!$I$5:$I$300)+SUMIF(Лэндинг!$E$5:$E$300,"*/"&amp;$B180,Лэндинг!$H$5:$H$300)+SUMIF(Закрытые!$E$5:$E$300,$B180&amp;"/*",Закрытые!$I$5:$I$300)+SUMIF(Закрытые!$E$5:$E$300,"*/"&amp;$B180,Закрытые!$H$5:$H$300)+SUMIF(История!$B$5:$B$300,$B180&amp;"/*",История!$F$5:$F$300)+SUMIF(История!$B$5:$B$300,"*/"&amp;$B180,История!$E$5:$E$300),8))</f>
        <v/>
      </c>
      <c r="E180" s="339">
        <f>IF($B180="","",ROUND(C180-D180,8))</f>
        <v/>
      </c>
    </row>
    <row r="181" ht="22" customHeight="1">
      <c r="B181" s="315" t="n"/>
      <c r="C181" s="240">
        <f>IF($B181="","",ROUND(SUMIF(Торговля!$E$5:$E$300,$B181&amp;"/*",Торговля!$F$5:$F$300)+SUMIF(Торговля!$E$5:$E$300,"*/"&amp;$B181,Торговля!$K$5:$K$300)+SUMIF(Лэндинг!$E$5:$E$300,$B181&amp;"/*",Лэндинг!$F$5:$F$300)+SUMIF(Лэндинг!$E$5:$E$300,"*/"&amp;$B181,Лэндинг!$K$5:$K$300)+SUMIF(Закрытые!$E$5:$E$300,$B181&amp;"/*",Закрытые!$F$5:$F$300)+SUMIF(Закрытые!$E$5:$E$300,"*/"&amp;$B181,Закрытые!$K$5:$K$300)+SUMIF(История!$B$5:$B$300,$B181&amp;"/*",История!$C$5:$C$300)+SUMIF(История!$B$5:$B$300,"*/"&amp;$B181,История!$H$5:$H$300),8))</f>
        <v/>
      </c>
      <c r="D181" s="240">
        <f>IF($B181="","",ROUND(SUMIF(Торговля!$E$5:$E$300,$B181&amp;"/*",Торговля!$I$5:$I$300)+SUMIF(Торговля!$E$5:$E$300,"*/"&amp;$B181,Торговля!$H$5:$H$300)+SUMIF(Лэндинг!$E$5:$E$300,$B181&amp;"/*",Лэндинг!$I$5:$I$300)+SUMIF(Лэндинг!$E$5:$E$300,"*/"&amp;$B181,Лэндинг!$H$5:$H$300)+SUMIF(Закрытые!$E$5:$E$300,$B181&amp;"/*",Закрытые!$I$5:$I$300)+SUMIF(Закрытые!$E$5:$E$300,"*/"&amp;$B181,Закрытые!$H$5:$H$300)+SUMIF(История!$B$5:$B$300,$B181&amp;"/*",История!$F$5:$F$300)+SUMIF(История!$B$5:$B$300,"*/"&amp;$B181,История!$E$5:$E$300),8))</f>
        <v/>
      </c>
      <c r="E181" s="339">
        <f>IF($B181="","",ROUND(C181-D181,8))</f>
        <v/>
      </c>
    </row>
    <row r="182" ht="22" customHeight="1">
      <c r="B182" s="320" t="n"/>
      <c r="C182" s="240">
        <f>IF($B182="","",ROUND(SUMIF(Торговля!$E$5:$E$300,$B182&amp;"/*",Торговля!$F$5:$F$300)+SUMIF(Торговля!$E$5:$E$300,"*/"&amp;$B182,Торговля!$K$5:$K$300)+SUMIF(Лэндинг!$E$5:$E$300,$B182&amp;"/*",Лэндинг!$F$5:$F$300)+SUMIF(Лэндинг!$E$5:$E$300,"*/"&amp;$B182,Лэндинг!$K$5:$K$300)+SUMIF(Закрытые!$E$5:$E$300,$B182&amp;"/*",Закрытые!$F$5:$F$300)+SUMIF(Закрытые!$E$5:$E$300,"*/"&amp;$B182,Закрытые!$K$5:$K$300)+SUMIF(История!$B$5:$B$300,$B182&amp;"/*",История!$C$5:$C$300)+SUMIF(История!$B$5:$B$300,"*/"&amp;$B182,История!$H$5:$H$300),8))</f>
        <v/>
      </c>
      <c r="D182" s="240">
        <f>IF($B182="","",ROUND(SUMIF(Торговля!$E$5:$E$300,$B182&amp;"/*",Торговля!$I$5:$I$300)+SUMIF(Торговля!$E$5:$E$300,"*/"&amp;$B182,Торговля!$H$5:$H$300)+SUMIF(Лэндинг!$E$5:$E$300,$B182&amp;"/*",Лэндинг!$I$5:$I$300)+SUMIF(Лэндинг!$E$5:$E$300,"*/"&amp;$B182,Лэндинг!$H$5:$H$300)+SUMIF(Закрытые!$E$5:$E$300,$B182&amp;"/*",Закрытые!$I$5:$I$300)+SUMIF(Закрытые!$E$5:$E$300,"*/"&amp;$B182,Закрытые!$H$5:$H$300)+SUMIF(История!$B$5:$B$300,$B182&amp;"/*",История!$F$5:$F$300)+SUMIF(История!$B$5:$B$300,"*/"&amp;$B182,История!$E$5:$E$300),8))</f>
        <v/>
      </c>
      <c r="E182" s="339">
        <f>IF($B182="","",ROUND(C182-D182,8))</f>
        <v/>
      </c>
    </row>
    <row r="183" ht="22" customHeight="1">
      <c r="B183" s="315" t="n"/>
      <c r="C183" s="240">
        <f>IF($B183="","",ROUND(SUMIF(Торговля!$E$5:$E$300,$B183&amp;"/*",Торговля!$F$5:$F$300)+SUMIF(Торговля!$E$5:$E$300,"*/"&amp;$B183,Торговля!$K$5:$K$300)+SUMIF(Лэндинг!$E$5:$E$300,$B183&amp;"/*",Лэндинг!$F$5:$F$300)+SUMIF(Лэндинг!$E$5:$E$300,"*/"&amp;$B183,Лэндинг!$K$5:$K$300)+SUMIF(Закрытые!$E$5:$E$300,$B183&amp;"/*",Закрытые!$F$5:$F$300)+SUMIF(Закрытые!$E$5:$E$300,"*/"&amp;$B183,Закрытые!$K$5:$K$300)+SUMIF(История!$B$5:$B$300,$B183&amp;"/*",История!$C$5:$C$300)+SUMIF(История!$B$5:$B$300,"*/"&amp;$B183,История!$H$5:$H$300),8))</f>
        <v/>
      </c>
      <c r="D183" s="240">
        <f>IF($B183="","",ROUND(SUMIF(Торговля!$E$5:$E$300,$B183&amp;"/*",Торговля!$I$5:$I$300)+SUMIF(Торговля!$E$5:$E$300,"*/"&amp;$B183,Торговля!$H$5:$H$300)+SUMIF(Лэндинг!$E$5:$E$300,$B183&amp;"/*",Лэндинг!$I$5:$I$300)+SUMIF(Лэндинг!$E$5:$E$300,"*/"&amp;$B183,Лэндинг!$H$5:$H$300)+SUMIF(Закрытые!$E$5:$E$300,$B183&amp;"/*",Закрытые!$I$5:$I$300)+SUMIF(Закрытые!$E$5:$E$300,"*/"&amp;$B183,Закрытые!$H$5:$H$300)+SUMIF(История!$B$5:$B$300,$B183&amp;"/*",История!$F$5:$F$300)+SUMIF(История!$B$5:$B$300,"*/"&amp;$B183,История!$E$5:$E$300),8))</f>
        <v/>
      </c>
      <c r="E183" s="339">
        <f>IF($B183="","",ROUND(C183-D183,8))</f>
        <v/>
      </c>
    </row>
    <row r="184" ht="22" customHeight="1">
      <c r="B184" s="320" t="n"/>
      <c r="C184" s="240">
        <f>IF($B184="","",ROUND(SUMIF(Торговля!$E$5:$E$300,$B184&amp;"/*",Торговля!$F$5:$F$300)+SUMIF(Торговля!$E$5:$E$300,"*/"&amp;$B184,Торговля!$K$5:$K$300)+SUMIF(Лэндинг!$E$5:$E$300,$B184&amp;"/*",Лэндинг!$F$5:$F$300)+SUMIF(Лэндинг!$E$5:$E$300,"*/"&amp;$B184,Лэндинг!$K$5:$K$300)+SUMIF(Закрытые!$E$5:$E$300,$B184&amp;"/*",Закрытые!$F$5:$F$300)+SUMIF(Закрытые!$E$5:$E$300,"*/"&amp;$B184,Закрытые!$K$5:$K$300)+SUMIF(История!$B$5:$B$300,$B184&amp;"/*",История!$C$5:$C$300)+SUMIF(История!$B$5:$B$300,"*/"&amp;$B184,История!$H$5:$H$300),8))</f>
        <v/>
      </c>
      <c r="D184" s="240">
        <f>IF($B184="","",ROUND(SUMIF(Торговля!$E$5:$E$300,$B184&amp;"/*",Торговля!$I$5:$I$300)+SUMIF(Торговля!$E$5:$E$300,"*/"&amp;$B184,Торговля!$H$5:$H$300)+SUMIF(Лэндинг!$E$5:$E$300,$B184&amp;"/*",Лэндинг!$I$5:$I$300)+SUMIF(Лэндинг!$E$5:$E$300,"*/"&amp;$B184,Лэндинг!$H$5:$H$300)+SUMIF(Закрытые!$E$5:$E$300,$B184&amp;"/*",Закрытые!$I$5:$I$300)+SUMIF(Закрытые!$E$5:$E$300,"*/"&amp;$B184,Закрытые!$H$5:$H$300)+SUMIF(История!$B$5:$B$300,$B184&amp;"/*",История!$F$5:$F$300)+SUMIF(История!$B$5:$B$300,"*/"&amp;$B184,История!$E$5:$E$300),8))</f>
        <v/>
      </c>
      <c r="E184" s="339">
        <f>IF($B184="","",ROUND(C184-D184,8))</f>
        <v/>
      </c>
    </row>
    <row r="185" ht="22" customHeight="1">
      <c r="B185" s="315" t="n"/>
      <c r="C185" s="240">
        <f>IF($B185="","",ROUND(SUMIF(Торговля!$E$5:$E$300,$B185&amp;"/*",Торговля!$F$5:$F$300)+SUMIF(Торговля!$E$5:$E$300,"*/"&amp;$B185,Торговля!$K$5:$K$300)+SUMIF(Лэндинг!$E$5:$E$300,$B185&amp;"/*",Лэндинг!$F$5:$F$300)+SUMIF(Лэндинг!$E$5:$E$300,"*/"&amp;$B185,Лэндинг!$K$5:$K$300)+SUMIF(Закрытые!$E$5:$E$300,$B185&amp;"/*",Закрытые!$F$5:$F$300)+SUMIF(Закрытые!$E$5:$E$300,"*/"&amp;$B185,Закрытые!$K$5:$K$300)+SUMIF(История!$B$5:$B$300,$B185&amp;"/*",История!$C$5:$C$300)+SUMIF(История!$B$5:$B$300,"*/"&amp;$B185,История!$H$5:$H$300),8))</f>
        <v/>
      </c>
      <c r="D185" s="240">
        <f>IF($B185="","",ROUND(SUMIF(Торговля!$E$5:$E$300,$B185&amp;"/*",Торговля!$I$5:$I$300)+SUMIF(Торговля!$E$5:$E$300,"*/"&amp;$B185,Торговля!$H$5:$H$300)+SUMIF(Лэндинг!$E$5:$E$300,$B185&amp;"/*",Лэндинг!$I$5:$I$300)+SUMIF(Лэндинг!$E$5:$E$300,"*/"&amp;$B185,Лэндинг!$H$5:$H$300)+SUMIF(Закрытые!$E$5:$E$300,$B185&amp;"/*",Закрытые!$I$5:$I$300)+SUMIF(Закрытые!$E$5:$E$300,"*/"&amp;$B185,Закрытые!$H$5:$H$300)+SUMIF(История!$B$5:$B$300,$B185&amp;"/*",История!$F$5:$F$300)+SUMIF(История!$B$5:$B$300,"*/"&amp;$B185,История!$E$5:$E$300),8))</f>
        <v/>
      </c>
      <c r="E185" s="339">
        <f>IF($B185="","",ROUND(C185-D185,8))</f>
        <v/>
      </c>
    </row>
    <row r="186" ht="22" customHeight="1">
      <c r="B186" s="320" t="n"/>
      <c r="C186" s="240">
        <f>IF($B186="","",ROUND(SUMIF(Торговля!$E$5:$E$300,$B186&amp;"/*",Торговля!$F$5:$F$300)+SUMIF(Торговля!$E$5:$E$300,"*/"&amp;$B186,Торговля!$K$5:$K$300)+SUMIF(Лэндинг!$E$5:$E$300,$B186&amp;"/*",Лэндинг!$F$5:$F$300)+SUMIF(Лэндинг!$E$5:$E$300,"*/"&amp;$B186,Лэндинг!$K$5:$K$300)+SUMIF(Закрытые!$E$5:$E$300,$B186&amp;"/*",Закрытые!$F$5:$F$300)+SUMIF(Закрытые!$E$5:$E$300,"*/"&amp;$B186,Закрытые!$K$5:$K$300)+SUMIF(История!$B$5:$B$300,$B186&amp;"/*",История!$C$5:$C$300)+SUMIF(История!$B$5:$B$300,"*/"&amp;$B186,История!$H$5:$H$300),8))</f>
        <v/>
      </c>
      <c r="D186" s="240">
        <f>IF($B186="","",ROUND(SUMIF(Торговля!$E$5:$E$300,$B186&amp;"/*",Торговля!$I$5:$I$300)+SUMIF(Торговля!$E$5:$E$300,"*/"&amp;$B186,Торговля!$H$5:$H$300)+SUMIF(Лэндинг!$E$5:$E$300,$B186&amp;"/*",Лэндинг!$I$5:$I$300)+SUMIF(Лэндинг!$E$5:$E$300,"*/"&amp;$B186,Лэндинг!$H$5:$H$300)+SUMIF(Закрытые!$E$5:$E$300,$B186&amp;"/*",Закрытые!$I$5:$I$300)+SUMIF(Закрытые!$E$5:$E$300,"*/"&amp;$B186,Закрытые!$H$5:$H$300)+SUMIF(История!$B$5:$B$300,$B186&amp;"/*",История!$F$5:$F$300)+SUMIF(История!$B$5:$B$300,"*/"&amp;$B186,История!$E$5:$E$300),8))</f>
        <v/>
      </c>
      <c r="E186" s="339">
        <f>IF($B186="","",ROUND(C186-D186,8))</f>
        <v/>
      </c>
    </row>
    <row r="187" ht="22" customHeight="1">
      <c r="B187" s="315" t="n"/>
      <c r="C187" s="240">
        <f>IF($B187="","",ROUND(SUMIF(Торговля!$E$5:$E$300,$B187&amp;"/*",Торговля!$F$5:$F$300)+SUMIF(Торговля!$E$5:$E$300,"*/"&amp;$B187,Торговля!$K$5:$K$300)+SUMIF(Лэндинг!$E$5:$E$300,$B187&amp;"/*",Лэндинг!$F$5:$F$300)+SUMIF(Лэндинг!$E$5:$E$300,"*/"&amp;$B187,Лэндинг!$K$5:$K$300)+SUMIF(Закрытые!$E$5:$E$300,$B187&amp;"/*",Закрытые!$F$5:$F$300)+SUMIF(Закрытые!$E$5:$E$300,"*/"&amp;$B187,Закрытые!$K$5:$K$300)+SUMIF(История!$B$5:$B$300,$B187&amp;"/*",История!$C$5:$C$300)+SUMIF(История!$B$5:$B$300,"*/"&amp;$B187,История!$H$5:$H$300),8))</f>
        <v/>
      </c>
      <c r="D187" s="240">
        <f>IF($B187="","",ROUND(SUMIF(Торговля!$E$5:$E$300,$B187&amp;"/*",Торговля!$I$5:$I$300)+SUMIF(Торговля!$E$5:$E$300,"*/"&amp;$B187,Торговля!$H$5:$H$300)+SUMIF(Лэндинг!$E$5:$E$300,$B187&amp;"/*",Лэндинг!$I$5:$I$300)+SUMIF(Лэндинг!$E$5:$E$300,"*/"&amp;$B187,Лэндинг!$H$5:$H$300)+SUMIF(Закрытые!$E$5:$E$300,$B187&amp;"/*",Закрытые!$I$5:$I$300)+SUMIF(Закрытые!$E$5:$E$300,"*/"&amp;$B187,Закрытые!$H$5:$H$300)+SUMIF(История!$B$5:$B$300,$B187&amp;"/*",История!$F$5:$F$300)+SUMIF(История!$B$5:$B$300,"*/"&amp;$B187,История!$E$5:$E$300),8))</f>
        <v/>
      </c>
      <c r="E187" s="339">
        <f>IF($B187="","",ROUND(C187-D187,8))</f>
        <v/>
      </c>
    </row>
    <row r="188" ht="22" customHeight="1">
      <c r="B188" s="320" t="n"/>
      <c r="C188" s="240">
        <f>IF($B188="","",ROUND(SUMIF(Торговля!$E$5:$E$300,$B188&amp;"/*",Торговля!$F$5:$F$300)+SUMIF(Торговля!$E$5:$E$300,"*/"&amp;$B188,Торговля!$K$5:$K$300)+SUMIF(Лэндинг!$E$5:$E$300,$B188&amp;"/*",Лэндинг!$F$5:$F$300)+SUMIF(Лэндинг!$E$5:$E$300,"*/"&amp;$B188,Лэндинг!$K$5:$K$300)+SUMIF(Закрытые!$E$5:$E$300,$B188&amp;"/*",Закрытые!$F$5:$F$300)+SUMIF(Закрытые!$E$5:$E$300,"*/"&amp;$B188,Закрытые!$K$5:$K$300)+SUMIF(История!$B$5:$B$300,$B188&amp;"/*",История!$C$5:$C$300)+SUMIF(История!$B$5:$B$300,"*/"&amp;$B188,История!$H$5:$H$300),8))</f>
        <v/>
      </c>
      <c r="D188" s="240">
        <f>IF($B188="","",ROUND(SUMIF(Торговля!$E$5:$E$300,$B188&amp;"/*",Торговля!$I$5:$I$300)+SUMIF(Торговля!$E$5:$E$300,"*/"&amp;$B188,Торговля!$H$5:$H$300)+SUMIF(Лэндинг!$E$5:$E$300,$B188&amp;"/*",Лэндинг!$I$5:$I$300)+SUMIF(Лэндинг!$E$5:$E$300,"*/"&amp;$B188,Лэндинг!$H$5:$H$300)+SUMIF(Закрытые!$E$5:$E$300,$B188&amp;"/*",Закрытые!$I$5:$I$300)+SUMIF(Закрытые!$E$5:$E$300,"*/"&amp;$B188,Закрытые!$H$5:$H$300)+SUMIF(История!$B$5:$B$300,$B188&amp;"/*",История!$F$5:$F$300)+SUMIF(История!$B$5:$B$300,"*/"&amp;$B188,История!$E$5:$E$300),8))</f>
        <v/>
      </c>
      <c r="E188" s="339">
        <f>IF($B188="","",ROUND(C188-D188,8))</f>
        <v/>
      </c>
    </row>
    <row r="189" ht="22" customHeight="1">
      <c r="B189" s="315" t="n"/>
      <c r="C189" s="240">
        <f>IF($B189="","",ROUND(SUMIF(Торговля!$E$5:$E$300,$B189&amp;"/*",Торговля!$F$5:$F$300)+SUMIF(Торговля!$E$5:$E$300,"*/"&amp;$B189,Торговля!$K$5:$K$300)+SUMIF(Лэндинг!$E$5:$E$300,$B189&amp;"/*",Лэндинг!$F$5:$F$300)+SUMIF(Лэндинг!$E$5:$E$300,"*/"&amp;$B189,Лэндинг!$K$5:$K$300)+SUMIF(Закрытые!$E$5:$E$300,$B189&amp;"/*",Закрытые!$F$5:$F$300)+SUMIF(Закрытые!$E$5:$E$300,"*/"&amp;$B189,Закрытые!$K$5:$K$300)+SUMIF(История!$B$5:$B$300,$B189&amp;"/*",История!$C$5:$C$300)+SUMIF(История!$B$5:$B$300,"*/"&amp;$B189,История!$H$5:$H$300),8))</f>
        <v/>
      </c>
      <c r="D189" s="240">
        <f>IF($B189="","",ROUND(SUMIF(Торговля!$E$5:$E$300,$B189&amp;"/*",Торговля!$I$5:$I$300)+SUMIF(Торговля!$E$5:$E$300,"*/"&amp;$B189,Торговля!$H$5:$H$300)+SUMIF(Лэндинг!$E$5:$E$300,$B189&amp;"/*",Лэндинг!$I$5:$I$300)+SUMIF(Лэндинг!$E$5:$E$300,"*/"&amp;$B189,Лэндинг!$H$5:$H$300)+SUMIF(Закрытые!$E$5:$E$300,$B189&amp;"/*",Закрытые!$I$5:$I$300)+SUMIF(Закрытые!$E$5:$E$300,"*/"&amp;$B189,Закрытые!$H$5:$H$300)+SUMIF(История!$B$5:$B$300,$B189&amp;"/*",История!$F$5:$F$300)+SUMIF(История!$B$5:$B$300,"*/"&amp;$B189,История!$E$5:$E$300),8))</f>
        <v/>
      </c>
      <c r="E189" s="339">
        <f>IF($B189="","",ROUND(C189-D189,8))</f>
        <v/>
      </c>
    </row>
    <row r="190" ht="22" customHeight="1">
      <c r="B190" s="320" t="n"/>
      <c r="C190" s="240">
        <f>IF($B190="","",ROUND(SUMIF(Торговля!$E$5:$E$300,$B190&amp;"/*",Торговля!$F$5:$F$300)+SUMIF(Торговля!$E$5:$E$300,"*/"&amp;$B190,Торговля!$K$5:$K$300)+SUMIF(Лэндинг!$E$5:$E$300,$B190&amp;"/*",Лэндинг!$F$5:$F$300)+SUMIF(Лэндинг!$E$5:$E$300,"*/"&amp;$B190,Лэндинг!$K$5:$K$300)+SUMIF(Закрытые!$E$5:$E$300,$B190&amp;"/*",Закрытые!$F$5:$F$300)+SUMIF(Закрытые!$E$5:$E$300,"*/"&amp;$B190,Закрытые!$K$5:$K$300)+SUMIF(История!$B$5:$B$300,$B190&amp;"/*",История!$C$5:$C$300)+SUMIF(История!$B$5:$B$300,"*/"&amp;$B190,История!$H$5:$H$300),8))</f>
        <v/>
      </c>
      <c r="D190" s="240">
        <f>IF($B190="","",ROUND(SUMIF(Торговля!$E$5:$E$300,$B190&amp;"/*",Торговля!$I$5:$I$300)+SUMIF(Торговля!$E$5:$E$300,"*/"&amp;$B190,Торговля!$H$5:$H$300)+SUMIF(Лэндинг!$E$5:$E$300,$B190&amp;"/*",Лэндинг!$I$5:$I$300)+SUMIF(Лэндинг!$E$5:$E$300,"*/"&amp;$B190,Лэндинг!$H$5:$H$300)+SUMIF(Закрытые!$E$5:$E$300,$B190&amp;"/*",Закрытые!$I$5:$I$300)+SUMIF(Закрытые!$E$5:$E$300,"*/"&amp;$B190,Закрытые!$H$5:$H$300)+SUMIF(История!$B$5:$B$300,$B190&amp;"/*",История!$F$5:$F$300)+SUMIF(История!$B$5:$B$300,"*/"&amp;$B190,История!$E$5:$E$300),8))</f>
        <v/>
      </c>
      <c r="E190" s="339">
        <f>IF($B190="","",ROUND(C190-D190,8))</f>
        <v/>
      </c>
    </row>
    <row r="191" ht="22" customHeight="1">
      <c r="B191" s="315" t="n"/>
      <c r="C191" s="240">
        <f>IF($B191="","",ROUND(SUMIF(Торговля!$E$5:$E$300,$B191&amp;"/*",Торговля!$F$5:$F$300)+SUMIF(Торговля!$E$5:$E$300,"*/"&amp;$B191,Торговля!$K$5:$K$300)+SUMIF(Лэндинг!$E$5:$E$300,$B191&amp;"/*",Лэндинг!$F$5:$F$300)+SUMIF(Лэндинг!$E$5:$E$300,"*/"&amp;$B191,Лэндинг!$K$5:$K$300)+SUMIF(Закрытые!$E$5:$E$300,$B191&amp;"/*",Закрытые!$F$5:$F$300)+SUMIF(Закрытые!$E$5:$E$300,"*/"&amp;$B191,Закрытые!$K$5:$K$300)+SUMIF(История!$B$5:$B$300,$B191&amp;"/*",История!$C$5:$C$300)+SUMIF(История!$B$5:$B$300,"*/"&amp;$B191,История!$H$5:$H$300),8))</f>
        <v/>
      </c>
      <c r="D191" s="240">
        <f>IF($B191="","",ROUND(SUMIF(Торговля!$E$5:$E$300,$B191&amp;"/*",Торговля!$I$5:$I$300)+SUMIF(Торговля!$E$5:$E$300,"*/"&amp;$B191,Торговля!$H$5:$H$300)+SUMIF(Лэндинг!$E$5:$E$300,$B191&amp;"/*",Лэндинг!$I$5:$I$300)+SUMIF(Лэндинг!$E$5:$E$300,"*/"&amp;$B191,Лэндинг!$H$5:$H$300)+SUMIF(Закрытые!$E$5:$E$300,$B191&amp;"/*",Закрытые!$I$5:$I$300)+SUMIF(Закрытые!$E$5:$E$300,"*/"&amp;$B191,Закрытые!$H$5:$H$300)+SUMIF(История!$B$5:$B$300,$B191&amp;"/*",История!$F$5:$F$300)+SUMIF(История!$B$5:$B$300,"*/"&amp;$B191,История!$E$5:$E$300),8))</f>
        <v/>
      </c>
      <c r="E191" s="339">
        <f>IF($B191="","",ROUND(C191-D191,8))</f>
        <v/>
      </c>
    </row>
    <row r="192" ht="22" customHeight="1">
      <c r="B192" s="320" t="n"/>
      <c r="C192" s="240">
        <f>IF($B192="","",ROUND(SUMIF(Торговля!$E$5:$E$300,$B192&amp;"/*",Торговля!$F$5:$F$300)+SUMIF(Торговля!$E$5:$E$300,"*/"&amp;$B192,Торговля!$K$5:$K$300)+SUMIF(Лэндинг!$E$5:$E$300,$B192&amp;"/*",Лэндинг!$F$5:$F$300)+SUMIF(Лэндинг!$E$5:$E$300,"*/"&amp;$B192,Лэндинг!$K$5:$K$300)+SUMIF(Закрытые!$E$5:$E$300,$B192&amp;"/*",Закрытые!$F$5:$F$300)+SUMIF(Закрытые!$E$5:$E$300,"*/"&amp;$B192,Закрытые!$K$5:$K$300)+SUMIF(История!$B$5:$B$300,$B192&amp;"/*",История!$C$5:$C$300)+SUMIF(История!$B$5:$B$300,"*/"&amp;$B192,История!$H$5:$H$300),8))</f>
        <v/>
      </c>
      <c r="D192" s="240">
        <f>IF($B192="","",ROUND(SUMIF(Торговля!$E$5:$E$300,$B192&amp;"/*",Торговля!$I$5:$I$300)+SUMIF(Торговля!$E$5:$E$300,"*/"&amp;$B192,Торговля!$H$5:$H$300)+SUMIF(Лэндинг!$E$5:$E$300,$B192&amp;"/*",Лэндинг!$I$5:$I$300)+SUMIF(Лэндинг!$E$5:$E$300,"*/"&amp;$B192,Лэндинг!$H$5:$H$300)+SUMIF(Закрытые!$E$5:$E$300,$B192&amp;"/*",Закрытые!$I$5:$I$300)+SUMIF(Закрытые!$E$5:$E$300,"*/"&amp;$B192,Закрытые!$H$5:$H$300)+SUMIF(История!$B$5:$B$300,$B192&amp;"/*",История!$F$5:$F$300)+SUMIF(История!$B$5:$B$300,"*/"&amp;$B192,История!$E$5:$E$300),8))</f>
        <v/>
      </c>
      <c r="E192" s="339">
        <f>IF($B192="","",ROUND(C192-D192,8))</f>
        <v/>
      </c>
    </row>
    <row r="193" ht="22" customHeight="1">
      <c r="B193" s="315" t="n"/>
      <c r="C193" s="240">
        <f>IF($B193="","",ROUND(SUMIF(Торговля!$E$5:$E$300,$B193&amp;"/*",Торговля!$F$5:$F$300)+SUMIF(Торговля!$E$5:$E$300,"*/"&amp;$B193,Торговля!$K$5:$K$300)+SUMIF(Лэндинг!$E$5:$E$300,$B193&amp;"/*",Лэндинг!$F$5:$F$300)+SUMIF(Лэндинг!$E$5:$E$300,"*/"&amp;$B193,Лэндинг!$K$5:$K$300)+SUMIF(Закрытые!$E$5:$E$300,$B193&amp;"/*",Закрытые!$F$5:$F$300)+SUMIF(Закрытые!$E$5:$E$300,"*/"&amp;$B193,Закрытые!$K$5:$K$300)+SUMIF(История!$B$5:$B$300,$B193&amp;"/*",История!$C$5:$C$300)+SUMIF(История!$B$5:$B$300,"*/"&amp;$B193,История!$H$5:$H$300),8))</f>
        <v/>
      </c>
      <c r="D193" s="240">
        <f>IF($B193="","",ROUND(SUMIF(Торговля!$E$5:$E$300,$B193&amp;"/*",Торговля!$I$5:$I$300)+SUMIF(Торговля!$E$5:$E$300,"*/"&amp;$B193,Торговля!$H$5:$H$300)+SUMIF(Лэндинг!$E$5:$E$300,$B193&amp;"/*",Лэндинг!$I$5:$I$300)+SUMIF(Лэндинг!$E$5:$E$300,"*/"&amp;$B193,Лэндинг!$H$5:$H$300)+SUMIF(Закрытые!$E$5:$E$300,$B193&amp;"/*",Закрытые!$I$5:$I$300)+SUMIF(Закрытые!$E$5:$E$300,"*/"&amp;$B193,Закрытые!$H$5:$H$300)+SUMIF(История!$B$5:$B$300,$B193&amp;"/*",История!$F$5:$F$300)+SUMIF(История!$B$5:$B$300,"*/"&amp;$B193,История!$E$5:$E$300),8))</f>
        <v/>
      </c>
      <c r="E193" s="339">
        <f>IF($B193="","",ROUND(C193-D193,8))</f>
        <v/>
      </c>
    </row>
    <row r="194" ht="22" customHeight="1">
      <c r="B194" s="320" t="n"/>
      <c r="C194" s="240">
        <f>IF($B194="","",ROUND(SUMIF(Торговля!$E$5:$E$300,$B194&amp;"/*",Торговля!$F$5:$F$300)+SUMIF(Торговля!$E$5:$E$300,"*/"&amp;$B194,Торговля!$K$5:$K$300)+SUMIF(Лэндинг!$E$5:$E$300,$B194&amp;"/*",Лэндинг!$F$5:$F$300)+SUMIF(Лэндинг!$E$5:$E$300,"*/"&amp;$B194,Лэндинг!$K$5:$K$300)+SUMIF(Закрытые!$E$5:$E$300,$B194&amp;"/*",Закрытые!$F$5:$F$300)+SUMIF(Закрытые!$E$5:$E$300,"*/"&amp;$B194,Закрытые!$K$5:$K$300)+SUMIF(История!$B$5:$B$300,$B194&amp;"/*",История!$C$5:$C$300)+SUMIF(История!$B$5:$B$300,"*/"&amp;$B194,История!$H$5:$H$300),8))</f>
        <v/>
      </c>
      <c r="D194" s="240">
        <f>IF($B194="","",ROUND(SUMIF(Торговля!$E$5:$E$300,$B194&amp;"/*",Торговля!$I$5:$I$300)+SUMIF(Торговля!$E$5:$E$300,"*/"&amp;$B194,Торговля!$H$5:$H$300)+SUMIF(Лэндинг!$E$5:$E$300,$B194&amp;"/*",Лэндинг!$I$5:$I$300)+SUMIF(Лэндинг!$E$5:$E$300,"*/"&amp;$B194,Лэндинг!$H$5:$H$300)+SUMIF(Закрытые!$E$5:$E$300,$B194&amp;"/*",Закрытые!$I$5:$I$300)+SUMIF(Закрытые!$E$5:$E$300,"*/"&amp;$B194,Закрытые!$H$5:$H$300)+SUMIF(История!$B$5:$B$300,$B194&amp;"/*",История!$F$5:$F$300)+SUMIF(История!$B$5:$B$300,"*/"&amp;$B194,История!$E$5:$E$300),8))</f>
        <v/>
      </c>
      <c r="E194" s="339">
        <f>IF($B194="","",ROUND(C194-D194,8))</f>
        <v/>
      </c>
    </row>
    <row r="195" ht="22" customHeight="1">
      <c r="B195" s="315" t="n"/>
      <c r="C195" s="240">
        <f>IF($B195="","",ROUND(SUMIF(Торговля!$E$5:$E$300,$B195&amp;"/*",Торговля!$F$5:$F$300)+SUMIF(Торговля!$E$5:$E$300,"*/"&amp;$B195,Торговля!$K$5:$K$300)+SUMIF(Лэндинг!$E$5:$E$300,$B195&amp;"/*",Лэндинг!$F$5:$F$300)+SUMIF(Лэндинг!$E$5:$E$300,"*/"&amp;$B195,Лэндинг!$K$5:$K$300)+SUMIF(Закрытые!$E$5:$E$300,$B195&amp;"/*",Закрытые!$F$5:$F$300)+SUMIF(Закрытые!$E$5:$E$300,"*/"&amp;$B195,Закрытые!$K$5:$K$300)+SUMIF(История!$B$5:$B$300,$B195&amp;"/*",История!$C$5:$C$300)+SUMIF(История!$B$5:$B$300,"*/"&amp;$B195,История!$H$5:$H$300),8))</f>
        <v/>
      </c>
      <c r="D195" s="240">
        <f>IF($B195="","",ROUND(SUMIF(Торговля!$E$5:$E$300,$B195&amp;"/*",Торговля!$I$5:$I$300)+SUMIF(Торговля!$E$5:$E$300,"*/"&amp;$B195,Торговля!$H$5:$H$300)+SUMIF(Лэндинг!$E$5:$E$300,$B195&amp;"/*",Лэндинг!$I$5:$I$300)+SUMIF(Лэндинг!$E$5:$E$300,"*/"&amp;$B195,Лэндинг!$H$5:$H$300)+SUMIF(Закрытые!$E$5:$E$300,$B195&amp;"/*",Закрытые!$I$5:$I$300)+SUMIF(Закрытые!$E$5:$E$300,"*/"&amp;$B195,Закрытые!$H$5:$H$300)+SUMIF(История!$B$5:$B$300,$B195&amp;"/*",История!$F$5:$F$300)+SUMIF(История!$B$5:$B$300,"*/"&amp;$B195,История!$E$5:$E$300),8))</f>
        <v/>
      </c>
      <c r="E195" s="339">
        <f>IF($B195="","",ROUND(C195-D195,8))</f>
        <v/>
      </c>
    </row>
    <row r="196" ht="22" customHeight="1">
      <c r="B196" s="320" t="n"/>
      <c r="C196" s="240">
        <f>IF($B196="","",ROUND(SUMIF(Торговля!$E$5:$E$300,$B196&amp;"/*",Торговля!$F$5:$F$300)+SUMIF(Торговля!$E$5:$E$300,"*/"&amp;$B196,Торговля!$K$5:$K$300)+SUMIF(Лэндинг!$E$5:$E$300,$B196&amp;"/*",Лэндинг!$F$5:$F$300)+SUMIF(Лэндинг!$E$5:$E$300,"*/"&amp;$B196,Лэндинг!$K$5:$K$300)+SUMIF(Закрытые!$E$5:$E$300,$B196&amp;"/*",Закрытые!$F$5:$F$300)+SUMIF(Закрытые!$E$5:$E$300,"*/"&amp;$B196,Закрытые!$K$5:$K$300)+SUMIF(История!$B$5:$B$300,$B196&amp;"/*",История!$C$5:$C$300)+SUMIF(История!$B$5:$B$300,"*/"&amp;$B196,История!$H$5:$H$300),8))</f>
        <v/>
      </c>
      <c r="D196" s="240">
        <f>IF($B196="","",ROUND(SUMIF(Торговля!$E$5:$E$300,$B196&amp;"/*",Торговля!$I$5:$I$300)+SUMIF(Торговля!$E$5:$E$300,"*/"&amp;$B196,Торговля!$H$5:$H$300)+SUMIF(Лэндинг!$E$5:$E$300,$B196&amp;"/*",Лэндинг!$I$5:$I$300)+SUMIF(Лэндинг!$E$5:$E$300,"*/"&amp;$B196,Лэндинг!$H$5:$H$300)+SUMIF(Закрытые!$E$5:$E$300,$B196&amp;"/*",Закрытые!$I$5:$I$300)+SUMIF(Закрытые!$E$5:$E$300,"*/"&amp;$B196,Закрытые!$H$5:$H$300)+SUMIF(История!$B$5:$B$300,$B196&amp;"/*",История!$F$5:$F$300)+SUMIF(История!$B$5:$B$300,"*/"&amp;$B196,История!$E$5:$E$300),8))</f>
        <v/>
      </c>
      <c r="E196" s="339">
        <f>IF($B196="","",ROUND(C196-D196,8))</f>
        <v/>
      </c>
    </row>
    <row r="197" ht="22" customHeight="1">
      <c r="B197" s="315" t="n"/>
      <c r="C197" s="240">
        <f>IF($B197="","",ROUND(SUMIF(Торговля!$E$5:$E$300,$B197&amp;"/*",Торговля!$F$5:$F$300)+SUMIF(Торговля!$E$5:$E$300,"*/"&amp;$B197,Торговля!$K$5:$K$300)+SUMIF(Лэндинг!$E$5:$E$300,$B197&amp;"/*",Лэндинг!$F$5:$F$300)+SUMIF(Лэндинг!$E$5:$E$300,"*/"&amp;$B197,Лэндинг!$K$5:$K$300)+SUMIF(Закрытые!$E$5:$E$300,$B197&amp;"/*",Закрытые!$F$5:$F$300)+SUMIF(Закрытые!$E$5:$E$300,"*/"&amp;$B197,Закрытые!$K$5:$K$300)+SUMIF(История!$B$5:$B$300,$B197&amp;"/*",История!$C$5:$C$300)+SUMIF(История!$B$5:$B$300,"*/"&amp;$B197,История!$H$5:$H$300),8))</f>
        <v/>
      </c>
      <c r="D197" s="240">
        <f>IF($B197="","",ROUND(SUMIF(Торговля!$E$5:$E$300,$B197&amp;"/*",Торговля!$I$5:$I$300)+SUMIF(Торговля!$E$5:$E$300,"*/"&amp;$B197,Торговля!$H$5:$H$300)+SUMIF(Лэндинг!$E$5:$E$300,$B197&amp;"/*",Лэндинг!$I$5:$I$300)+SUMIF(Лэндинг!$E$5:$E$300,"*/"&amp;$B197,Лэндинг!$H$5:$H$300)+SUMIF(Закрытые!$E$5:$E$300,$B197&amp;"/*",Закрытые!$I$5:$I$300)+SUMIF(Закрытые!$E$5:$E$300,"*/"&amp;$B197,Закрытые!$H$5:$H$300)+SUMIF(История!$B$5:$B$300,$B197&amp;"/*",История!$F$5:$F$300)+SUMIF(История!$B$5:$B$300,"*/"&amp;$B197,История!$E$5:$E$300),8))</f>
        <v/>
      </c>
      <c r="E197" s="339">
        <f>IF($B197="","",ROUND(C197-D197,8))</f>
        <v/>
      </c>
    </row>
    <row r="198" ht="22" customHeight="1">
      <c r="B198" s="320" t="n"/>
      <c r="C198" s="240">
        <f>IF($B198="","",ROUND(SUMIF(Торговля!$E$5:$E$300,$B198&amp;"/*",Торговля!$F$5:$F$300)+SUMIF(Торговля!$E$5:$E$300,"*/"&amp;$B198,Торговля!$K$5:$K$300)+SUMIF(Лэндинг!$E$5:$E$300,$B198&amp;"/*",Лэндинг!$F$5:$F$300)+SUMIF(Лэндинг!$E$5:$E$300,"*/"&amp;$B198,Лэндинг!$K$5:$K$300)+SUMIF(Закрытые!$E$5:$E$300,$B198&amp;"/*",Закрытые!$F$5:$F$300)+SUMIF(Закрытые!$E$5:$E$300,"*/"&amp;$B198,Закрытые!$K$5:$K$300)+SUMIF(История!$B$5:$B$300,$B198&amp;"/*",История!$C$5:$C$300)+SUMIF(История!$B$5:$B$300,"*/"&amp;$B198,История!$H$5:$H$300),8))</f>
        <v/>
      </c>
      <c r="D198" s="240">
        <f>IF($B198="","",ROUND(SUMIF(Торговля!$E$5:$E$300,$B198&amp;"/*",Торговля!$I$5:$I$300)+SUMIF(Торговля!$E$5:$E$300,"*/"&amp;$B198,Торговля!$H$5:$H$300)+SUMIF(Лэндинг!$E$5:$E$300,$B198&amp;"/*",Лэндинг!$I$5:$I$300)+SUMIF(Лэндинг!$E$5:$E$300,"*/"&amp;$B198,Лэндинг!$H$5:$H$300)+SUMIF(Закрытые!$E$5:$E$300,$B198&amp;"/*",Закрытые!$I$5:$I$300)+SUMIF(Закрытые!$E$5:$E$300,"*/"&amp;$B198,Закрытые!$H$5:$H$300)+SUMIF(История!$B$5:$B$300,$B198&amp;"/*",История!$F$5:$F$300)+SUMIF(История!$B$5:$B$300,"*/"&amp;$B198,История!$E$5:$E$300),8))</f>
        <v/>
      </c>
      <c r="E198" s="339">
        <f>IF($B198="","",ROUND(C198-D198,8))</f>
        <v/>
      </c>
    </row>
    <row r="199" ht="22" customHeight="1">
      <c r="B199" s="315" t="n"/>
      <c r="C199" s="240">
        <f>IF($B199="","",ROUND(SUMIF(Торговля!$E$5:$E$300,$B199&amp;"/*",Торговля!$F$5:$F$300)+SUMIF(Торговля!$E$5:$E$300,"*/"&amp;$B199,Торговля!$K$5:$K$300)+SUMIF(Лэндинг!$E$5:$E$300,$B199&amp;"/*",Лэндинг!$F$5:$F$300)+SUMIF(Лэндинг!$E$5:$E$300,"*/"&amp;$B199,Лэндинг!$K$5:$K$300)+SUMIF(Закрытые!$E$5:$E$300,$B199&amp;"/*",Закрытые!$F$5:$F$300)+SUMIF(Закрытые!$E$5:$E$300,"*/"&amp;$B199,Закрытые!$K$5:$K$300)+SUMIF(История!$B$5:$B$300,$B199&amp;"/*",История!$C$5:$C$300)+SUMIF(История!$B$5:$B$300,"*/"&amp;$B199,История!$H$5:$H$300),8))</f>
        <v/>
      </c>
      <c r="D199" s="240">
        <f>IF($B199="","",ROUND(SUMIF(Торговля!$E$5:$E$300,$B199&amp;"/*",Торговля!$I$5:$I$300)+SUMIF(Торговля!$E$5:$E$300,"*/"&amp;$B199,Торговля!$H$5:$H$300)+SUMIF(Лэндинг!$E$5:$E$300,$B199&amp;"/*",Лэндинг!$I$5:$I$300)+SUMIF(Лэндинг!$E$5:$E$300,"*/"&amp;$B199,Лэндинг!$H$5:$H$300)+SUMIF(Закрытые!$E$5:$E$300,$B199&amp;"/*",Закрытые!$I$5:$I$300)+SUMIF(Закрытые!$E$5:$E$300,"*/"&amp;$B199,Закрытые!$H$5:$H$300)+SUMIF(История!$B$5:$B$300,$B199&amp;"/*",История!$F$5:$F$300)+SUMIF(История!$B$5:$B$300,"*/"&amp;$B199,История!$E$5:$E$300),8))</f>
        <v/>
      </c>
      <c r="E199" s="339">
        <f>IF($B199="","",ROUND(C199-D199,8))</f>
        <v/>
      </c>
    </row>
    <row r="200" ht="22" customHeight="1">
      <c r="B200" s="320" t="n"/>
      <c r="C200" s="240">
        <f>IF($B200="","",ROUND(SUMIF(Торговля!$E$5:$E$300,$B200&amp;"/*",Торговля!$F$5:$F$300)+SUMIF(Торговля!$E$5:$E$300,"*/"&amp;$B200,Торговля!$K$5:$K$300)+SUMIF(Лэндинг!$E$5:$E$300,$B200&amp;"/*",Лэндинг!$F$5:$F$300)+SUMIF(Лэндинг!$E$5:$E$300,"*/"&amp;$B200,Лэндинг!$K$5:$K$300)+SUMIF(Закрытые!$E$5:$E$300,$B200&amp;"/*",Закрытые!$F$5:$F$300)+SUMIF(Закрытые!$E$5:$E$300,"*/"&amp;$B200,Закрытые!$K$5:$K$300)+SUMIF(История!$B$5:$B$300,$B200&amp;"/*",История!$C$5:$C$300)+SUMIF(История!$B$5:$B$300,"*/"&amp;$B200,История!$H$5:$H$300),8))</f>
        <v/>
      </c>
      <c r="D200" s="240">
        <f>IF($B200="","",ROUND(SUMIF(Торговля!$E$5:$E$300,$B200&amp;"/*",Торговля!$I$5:$I$300)+SUMIF(Торговля!$E$5:$E$300,"*/"&amp;$B200,Торговля!$H$5:$H$300)+SUMIF(Лэндинг!$E$5:$E$300,$B200&amp;"/*",Лэндинг!$I$5:$I$300)+SUMIF(Лэндинг!$E$5:$E$300,"*/"&amp;$B200,Лэндинг!$H$5:$H$300)+SUMIF(Закрытые!$E$5:$E$300,$B200&amp;"/*",Закрытые!$I$5:$I$300)+SUMIF(Закрытые!$E$5:$E$300,"*/"&amp;$B200,Закрытые!$H$5:$H$300)+SUMIF(История!$B$5:$B$300,$B200&amp;"/*",История!$F$5:$F$300)+SUMIF(История!$B$5:$B$300,"*/"&amp;$B200,История!$E$5:$E$300),8))</f>
        <v/>
      </c>
      <c r="E200" s="339">
        <f>IF($B200="","",ROUND(C200-D200,8))</f>
        <v/>
      </c>
    </row>
    <row r="201" ht="22" customHeight="1">
      <c r="B201" s="315" t="n"/>
      <c r="C201" s="240">
        <f>IF($B201="","",ROUND(SUMIF(Торговля!$E$5:$E$300,$B201&amp;"/*",Торговля!$F$5:$F$300)+SUMIF(Торговля!$E$5:$E$300,"*/"&amp;$B201,Торговля!$K$5:$K$300)+SUMIF(Лэндинг!$E$5:$E$300,$B201&amp;"/*",Лэндинг!$F$5:$F$300)+SUMIF(Лэндинг!$E$5:$E$300,"*/"&amp;$B201,Лэндинг!$K$5:$K$300)+SUMIF(Закрытые!$E$5:$E$300,$B201&amp;"/*",Закрытые!$F$5:$F$300)+SUMIF(Закрытые!$E$5:$E$300,"*/"&amp;$B201,Закрытые!$K$5:$K$300)+SUMIF(История!$B$5:$B$300,$B201&amp;"/*",История!$C$5:$C$300)+SUMIF(История!$B$5:$B$300,"*/"&amp;$B201,История!$H$5:$H$300),8))</f>
        <v/>
      </c>
      <c r="D201" s="240">
        <f>IF($B201="","",ROUND(SUMIF(Торговля!$E$5:$E$300,$B201&amp;"/*",Торговля!$I$5:$I$300)+SUMIF(Торговля!$E$5:$E$300,"*/"&amp;$B201,Торговля!$H$5:$H$300)+SUMIF(Лэндинг!$E$5:$E$300,$B201&amp;"/*",Лэндинг!$I$5:$I$300)+SUMIF(Лэндинг!$E$5:$E$300,"*/"&amp;$B201,Лэндинг!$H$5:$H$300)+SUMIF(Закрытые!$E$5:$E$300,$B201&amp;"/*",Закрытые!$I$5:$I$300)+SUMIF(Закрытые!$E$5:$E$300,"*/"&amp;$B201,Закрытые!$H$5:$H$300)+SUMIF(История!$B$5:$B$300,$B201&amp;"/*",История!$F$5:$F$300)+SUMIF(История!$B$5:$B$300,"*/"&amp;$B201,История!$E$5:$E$300),8))</f>
        <v/>
      </c>
      <c r="E201" s="339">
        <f>IF($B201="","",ROUND(C201-D201,8))</f>
        <v/>
      </c>
    </row>
    <row r="202" ht="22" customHeight="1">
      <c r="B202" s="320" t="n"/>
      <c r="C202" s="240">
        <f>IF($B202="","",ROUND(SUMIF(Торговля!$E$5:$E$300,$B202&amp;"/*",Торговля!$F$5:$F$300)+SUMIF(Торговля!$E$5:$E$300,"*/"&amp;$B202,Торговля!$K$5:$K$300)+SUMIF(Лэндинг!$E$5:$E$300,$B202&amp;"/*",Лэндинг!$F$5:$F$300)+SUMIF(Лэндинг!$E$5:$E$300,"*/"&amp;$B202,Лэндинг!$K$5:$K$300)+SUMIF(Закрытые!$E$5:$E$300,$B202&amp;"/*",Закрытые!$F$5:$F$300)+SUMIF(Закрытые!$E$5:$E$300,"*/"&amp;$B202,Закрытые!$K$5:$K$300)+SUMIF(История!$B$5:$B$300,$B202&amp;"/*",История!$C$5:$C$300)+SUMIF(История!$B$5:$B$300,"*/"&amp;$B202,История!$H$5:$H$300),8))</f>
        <v/>
      </c>
      <c r="D202" s="240">
        <f>IF($B202="","",ROUND(SUMIF(Торговля!$E$5:$E$300,$B202&amp;"/*",Торговля!$I$5:$I$300)+SUMIF(Торговля!$E$5:$E$300,"*/"&amp;$B202,Торговля!$H$5:$H$300)+SUMIF(Лэндинг!$E$5:$E$300,$B202&amp;"/*",Лэндинг!$I$5:$I$300)+SUMIF(Лэндинг!$E$5:$E$300,"*/"&amp;$B202,Лэндинг!$H$5:$H$300)+SUMIF(Закрытые!$E$5:$E$300,$B202&amp;"/*",Закрытые!$I$5:$I$300)+SUMIF(Закрытые!$E$5:$E$300,"*/"&amp;$B202,Закрытые!$H$5:$H$300)+SUMIF(История!$B$5:$B$300,$B202&amp;"/*",История!$F$5:$F$300)+SUMIF(История!$B$5:$B$300,"*/"&amp;$B202,История!$E$5:$E$300),8))</f>
        <v/>
      </c>
      <c r="E202" s="339">
        <f>IF($B202="","",ROUND(C202-D202,8))</f>
        <v/>
      </c>
    </row>
    <row r="203" ht="22" customHeight="1">
      <c r="B203" s="315" t="n"/>
      <c r="C203" s="240">
        <f>IF($B203="","",ROUND(SUMIF(Торговля!$E$5:$E$300,$B203&amp;"/*",Торговля!$F$5:$F$300)+SUMIF(Торговля!$E$5:$E$300,"*/"&amp;$B203,Торговля!$K$5:$K$300)+SUMIF(Лэндинг!$E$5:$E$300,$B203&amp;"/*",Лэндинг!$F$5:$F$300)+SUMIF(Лэндинг!$E$5:$E$300,"*/"&amp;$B203,Лэндинг!$K$5:$K$300)+SUMIF(Закрытые!$E$5:$E$300,$B203&amp;"/*",Закрытые!$F$5:$F$300)+SUMIF(Закрытые!$E$5:$E$300,"*/"&amp;$B203,Закрытые!$K$5:$K$300)+SUMIF(История!$B$5:$B$300,$B203&amp;"/*",История!$C$5:$C$300)+SUMIF(История!$B$5:$B$300,"*/"&amp;$B203,История!$H$5:$H$300),8))</f>
        <v/>
      </c>
      <c r="D203" s="240">
        <f>IF($B203="","",ROUND(SUMIF(Торговля!$E$5:$E$300,$B203&amp;"/*",Торговля!$I$5:$I$300)+SUMIF(Торговля!$E$5:$E$300,"*/"&amp;$B203,Торговля!$H$5:$H$300)+SUMIF(Лэндинг!$E$5:$E$300,$B203&amp;"/*",Лэндинг!$I$5:$I$300)+SUMIF(Лэндинг!$E$5:$E$300,"*/"&amp;$B203,Лэндинг!$H$5:$H$300)+SUMIF(Закрытые!$E$5:$E$300,$B203&amp;"/*",Закрытые!$I$5:$I$300)+SUMIF(Закрытые!$E$5:$E$300,"*/"&amp;$B203,Закрытые!$H$5:$H$300)+SUMIF(История!$B$5:$B$300,$B203&amp;"/*",История!$F$5:$F$300)+SUMIF(История!$B$5:$B$300,"*/"&amp;$B203,История!$E$5:$E$300),8))</f>
        <v/>
      </c>
      <c r="E203" s="339">
        <f>IF($B203="","",ROUND(C203-D203,8))</f>
        <v/>
      </c>
    </row>
    <row r="204" ht="22" customHeight="1">
      <c r="B204" s="320" t="n"/>
      <c r="C204" s="240">
        <f>IF($B204="","",ROUND(SUMIF(Торговля!$E$5:$E$300,$B204&amp;"/*",Торговля!$F$5:$F$300)+SUMIF(Торговля!$E$5:$E$300,"*/"&amp;$B204,Торговля!$K$5:$K$300)+SUMIF(Лэндинг!$E$5:$E$300,$B204&amp;"/*",Лэндинг!$F$5:$F$300)+SUMIF(Лэндинг!$E$5:$E$300,"*/"&amp;$B204,Лэндинг!$K$5:$K$300)+SUMIF(Закрытые!$E$5:$E$300,$B204&amp;"/*",Закрытые!$F$5:$F$300)+SUMIF(Закрытые!$E$5:$E$300,"*/"&amp;$B204,Закрытые!$K$5:$K$300)+SUMIF(История!$B$5:$B$300,$B204&amp;"/*",История!$C$5:$C$300)+SUMIF(История!$B$5:$B$300,"*/"&amp;$B204,История!$H$5:$H$300),8))</f>
        <v/>
      </c>
      <c r="D204" s="240">
        <f>IF($B204="","",ROUND(SUMIF(Торговля!$E$5:$E$300,$B204&amp;"/*",Торговля!$I$5:$I$300)+SUMIF(Торговля!$E$5:$E$300,"*/"&amp;$B204,Торговля!$H$5:$H$300)+SUMIF(Лэндинг!$E$5:$E$300,$B204&amp;"/*",Лэндинг!$I$5:$I$300)+SUMIF(Лэндинг!$E$5:$E$300,"*/"&amp;$B204,Лэндинг!$H$5:$H$300)+SUMIF(Закрытые!$E$5:$E$300,$B204&amp;"/*",Закрытые!$I$5:$I$300)+SUMIF(Закрытые!$E$5:$E$300,"*/"&amp;$B204,Закрытые!$H$5:$H$300)+SUMIF(История!$B$5:$B$300,$B204&amp;"/*",История!$F$5:$F$300)+SUMIF(История!$B$5:$B$300,"*/"&amp;$B204,История!$E$5:$E$300),8))</f>
        <v/>
      </c>
      <c r="E204" s="339">
        <f>IF($B204="","",ROUND(C204-D204,8))</f>
        <v/>
      </c>
    </row>
    <row r="205" ht="22" customHeight="1">
      <c r="B205" s="315" t="n"/>
      <c r="C205" s="240">
        <f>IF($B205="","",ROUND(SUMIF(Торговля!$E$5:$E$300,$B205&amp;"/*",Торговля!$F$5:$F$300)+SUMIF(Торговля!$E$5:$E$300,"*/"&amp;$B205,Торговля!$K$5:$K$300)+SUMIF(Лэндинг!$E$5:$E$300,$B205&amp;"/*",Лэндинг!$F$5:$F$300)+SUMIF(Лэндинг!$E$5:$E$300,"*/"&amp;$B205,Лэндинг!$K$5:$K$300)+SUMIF(Закрытые!$E$5:$E$300,$B205&amp;"/*",Закрытые!$F$5:$F$300)+SUMIF(Закрытые!$E$5:$E$300,"*/"&amp;$B205,Закрытые!$K$5:$K$300)+SUMIF(История!$B$5:$B$300,$B205&amp;"/*",История!$C$5:$C$300)+SUMIF(История!$B$5:$B$300,"*/"&amp;$B205,История!$H$5:$H$300),8))</f>
        <v/>
      </c>
      <c r="D205" s="240">
        <f>IF($B205="","",ROUND(SUMIF(Торговля!$E$5:$E$300,$B205&amp;"/*",Торговля!$I$5:$I$300)+SUMIF(Торговля!$E$5:$E$300,"*/"&amp;$B205,Торговля!$H$5:$H$300)+SUMIF(Лэндинг!$E$5:$E$300,$B205&amp;"/*",Лэндинг!$I$5:$I$300)+SUMIF(Лэндинг!$E$5:$E$300,"*/"&amp;$B205,Лэндинг!$H$5:$H$300)+SUMIF(Закрытые!$E$5:$E$300,$B205&amp;"/*",Закрытые!$I$5:$I$300)+SUMIF(Закрытые!$E$5:$E$300,"*/"&amp;$B205,Закрытые!$H$5:$H$300)+SUMIF(История!$B$5:$B$300,$B205&amp;"/*",История!$F$5:$F$300)+SUMIF(История!$B$5:$B$300,"*/"&amp;$B205,История!$E$5:$E$300),8))</f>
        <v/>
      </c>
      <c r="E205" s="339">
        <f>IF($B205="","",ROUND(C205-D205,8))</f>
        <v/>
      </c>
    </row>
    <row r="206" ht="22" customHeight="1">
      <c r="B206" s="320" t="n"/>
      <c r="C206" s="240">
        <f>IF($B206="","",ROUND(SUMIF(Торговля!$E$5:$E$300,$B206&amp;"/*",Торговля!$F$5:$F$300)+SUMIF(Торговля!$E$5:$E$300,"*/"&amp;$B206,Торговля!$K$5:$K$300)+SUMIF(Лэндинг!$E$5:$E$300,$B206&amp;"/*",Лэндинг!$F$5:$F$300)+SUMIF(Лэндинг!$E$5:$E$300,"*/"&amp;$B206,Лэндинг!$K$5:$K$300)+SUMIF(Закрытые!$E$5:$E$300,$B206&amp;"/*",Закрытые!$F$5:$F$300)+SUMIF(Закрытые!$E$5:$E$300,"*/"&amp;$B206,Закрытые!$K$5:$K$300)+SUMIF(История!$B$5:$B$300,$B206&amp;"/*",История!$C$5:$C$300)+SUMIF(История!$B$5:$B$300,"*/"&amp;$B206,История!$H$5:$H$300),8))</f>
        <v/>
      </c>
      <c r="D206" s="240">
        <f>IF($B206="","",ROUND(SUMIF(Торговля!$E$5:$E$300,$B206&amp;"/*",Торговля!$I$5:$I$300)+SUMIF(Торговля!$E$5:$E$300,"*/"&amp;$B206,Торговля!$H$5:$H$300)+SUMIF(Лэндинг!$E$5:$E$300,$B206&amp;"/*",Лэндинг!$I$5:$I$300)+SUMIF(Лэндинг!$E$5:$E$300,"*/"&amp;$B206,Лэндинг!$H$5:$H$300)+SUMIF(Закрытые!$E$5:$E$300,$B206&amp;"/*",Закрытые!$I$5:$I$300)+SUMIF(Закрытые!$E$5:$E$300,"*/"&amp;$B206,Закрытые!$H$5:$H$300)+SUMIF(История!$B$5:$B$300,$B206&amp;"/*",История!$F$5:$F$300)+SUMIF(История!$B$5:$B$300,"*/"&amp;$B206,История!$E$5:$E$300),8))</f>
        <v/>
      </c>
      <c r="E206" s="339">
        <f>IF($B206="","",ROUND(C206-D206,8))</f>
        <v/>
      </c>
    </row>
    <row r="207" ht="22" customHeight="1">
      <c r="B207" s="315" t="n"/>
      <c r="C207" s="240">
        <f>IF($B207="","",ROUND(SUMIF(Торговля!$E$5:$E$300,$B207&amp;"/*",Торговля!$F$5:$F$300)+SUMIF(Торговля!$E$5:$E$300,"*/"&amp;$B207,Торговля!$K$5:$K$300)+SUMIF(Лэндинг!$E$5:$E$300,$B207&amp;"/*",Лэндинг!$F$5:$F$300)+SUMIF(Лэндинг!$E$5:$E$300,"*/"&amp;$B207,Лэндинг!$K$5:$K$300)+SUMIF(Закрытые!$E$5:$E$300,$B207&amp;"/*",Закрытые!$F$5:$F$300)+SUMIF(Закрытые!$E$5:$E$300,"*/"&amp;$B207,Закрытые!$K$5:$K$300)+SUMIF(История!$B$5:$B$300,$B207&amp;"/*",История!$C$5:$C$300)+SUMIF(История!$B$5:$B$300,"*/"&amp;$B207,История!$H$5:$H$300),8))</f>
        <v/>
      </c>
      <c r="D207" s="240">
        <f>IF($B207="","",ROUND(SUMIF(Торговля!$E$5:$E$300,$B207&amp;"/*",Торговля!$I$5:$I$300)+SUMIF(Торговля!$E$5:$E$300,"*/"&amp;$B207,Торговля!$H$5:$H$300)+SUMIF(Лэндинг!$E$5:$E$300,$B207&amp;"/*",Лэндинг!$I$5:$I$300)+SUMIF(Лэндинг!$E$5:$E$300,"*/"&amp;$B207,Лэндинг!$H$5:$H$300)+SUMIF(Закрытые!$E$5:$E$300,$B207&amp;"/*",Закрытые!$I$5:$I$300)+SUMIF(Закрытые!$E$5:$E$300,"*/"&amp;$B207,Закрытые!$H$5:$H$300)+SUMIF(История!$B$5:$B$300,$B207&amp;"/*",История!$F$5:$F$300)+SUMIF(История!$B$5:$B$300,"*/"&amp;$B207,История!$E$5:$E$300),8))</f>
        <v/>
      </c>
      <c r="E207" s="339">
        <f>IF($B207="","",ROUND(C207-D207,8))</f>
        <v/>
      </c>
    </row>
    <row r="208" ht="22" customHeight="1">
      <c r="B208" s="320" t="n"/>
      <c r="C208" s="240">
        <f>IF($B208="","",ROUND(SUMIF(Торговля!$E$5:$E$300,$B208&amp;"/*",Торговля!$F$5:$F$300)+SUMIF(Торговля!$E$5:$E$300,"*/"&amp;$B208,Торговля!$K$5:$K$300)+SUMIF(Лэндинг!$E$5:$E$300,$B208&amp;"/*",Лэндинг!$F$5:$F$300)+SUMIF(Лэндинг!$E$5:$E$300,"*/"&amp;$B208,Лэндинг!$K$5:$K$300)+SUMIF(Закрытые!$E$5:$E$300,$B208&amp;"/*",Закрытые!$F$5:$F$300)+SUMIF(Закрытые!$E$5:$E$300,"*/"&amp;$B208,Закрытые!$K$5:$K$300)+SUMIF(История!$B$5:$B$300,$B208&amp;"/*",История!$C$5:$C$300)+SUMIF(История!$B$5:$B$300,"*/"&amp;$B208,История!$H$5:$H$300),8))</f>
        <v/>
      </c>
      <c r="D208" s="240">
        <f>IF($B208="","",ROUND(SUMIF(Торговля!$E$5:$E$300,$B208&amp;"/*",Торговля!$I$5:$I$300)+SUMIF(Торговля!$E$5:$E$300,"*/"&amp;$B208,Торговля!$H$5:$H$300)+SUMIF(Лэндинг!$E$5:$E$300,$B208&amp;"/*",Лэндинг!$I$5:$I$300)+SUMIF(Лэндинг!$E$5:$E$300,"*/"&amp;$B208,Лэндинг!$H$5:$H$300)+SUMIF(Закрытые!$E$5:$E$300,$B208&amp;"/*",Закрытые!$I$5:$I$300)+SUMIF(Закрытые!$E$5:$E$300,"*/"&amp;$B208,Закрытые!$H$5:$H$300)+SUMIF(История!$B$5:$B$300,$B208&amp;"/*",История!$F$5:$F$300)+SUMIF(История!$B$5:$B$300,"*/"&amp;$B208,История!$E$5:$E$300),8))</f>
        <v/>
      </c>
      <c r="E208" s="339">
        <f>IF($B208="","",ROUND(C208-D208,8))</f>
        <v/>
      </c>
    </row>
    <row r="209" ht="22" customHeight="1">
      <c r="B209" s="315" t="n"/>
      <c r="C209" s="240">
        <f>IF($B209="","",ROUND(SUMIF(Торговля!$E$5:$E$300,$B209&amp;"/*",Торговля!$F$5:$F$300)+SUMIF(Торговля!$E$5:$E$300,"*/"&amp;$B209,Торговля!$K$5:$K$300)+SUMIF(Лэндинг!$E$5:$E$300,$B209&amp;"/*",Лэндинг!$F$5:$F$300)+SUMIF(Лэндинг!$E$5:$E$300,"*/"&amp;$B209,Лэндинг!$K$5:$K$300)+SUMIF(Закрытые!$E$5:$E$300,$B209&amp;"/*",Закрытые!$F$5:$F$300)+SUMIF(Закрытые!$E$5:$E$300,"*/"&amp;$B209,Закрытые!$K$5:$K$300)+SUMIF(История!$B$5:$B$300,$B209&amp;"/*",История!$C$5:$C$300)+SUMIF(История!$B$5:$B$300,"*/"&amp;$B209,История!$H$5:$H$300),8))</f>
        <v/>
      </c>
      <c r="D209" s="240">
        <f>IF($B209="","",ROUND(SUMIF(Торговля!$E$5:$E$300,$B209&amp;"/*",Торговля!$I$5:$I$300)+SUMIF(Торговля!$E$5:$E$300,"*/"&amp;$B209,Торговля!$H$5:$H$300)+SUMIF(Лэндинг!$E$5:$E$300,$B209&amp;"/*",Лэндинг!$I$5:$I$300)+SUMIF(Лэндинг!$E$5:$E$300,"*/"&amp;$B209,Лэндинг!$H$5:$H$300)+SUMIF(Закрытые!$E$5:$E$300,$B209&amp;"/*",Закрытые!$I$5:$I$300)+SUMIF(Закрытые!$E$5:$E$300,"*/"&amp;$B209,Закрытые!$H$5:$H$300)+SUMIF(История!$B$5:$B$300,$B209&amp;"/*",История!$F$5:$F$300)+SUMIF(История!$B$5:$B$300,"*/"&amp;$B209,История!$E$5:$E$300),8))</f>
        <v/>
      </c>
      <c r="E209" s="339">
        <f>IF($B209="","",ROUND(C209-D209,8))</f>
        <v/>
      </c>
    </row>
    <row r="210" ht="22" customHeight="1">
      <c r="B210" s="320" t="n"/>
      <c r="C210" s="240">
        <f>IF($B210="","",ROUND(SUMIF(Торговля!$E$5:$E$300,$B210&amp;"/*",Торговля!$F$5:$F$300)+SUMIF(Торговля!$E$5:$E$300,"*/"&amp;$B210,Торговля!$K$5:$K$300)+SUMIF(Лэндинг!$E$5:$E$300,$B210&amp;"/*",Лэндинг!$F$5:$F$300)+SUMIF(Лэндинг!$E$5:$E$300,"*/"&amp;$B210,Лэндинг!$K$5:$K$300)+SUMIF(Закрытые!$E$5:$E$300,$B210&amp;"/*",Закрытые!$F$5:$F$300)+SUMIF(Закрытые!$E$5:$E$300,"*/"&amp;$B210,Закрытые!$K$5:$K$300)+SUMIF(История!$B$5:$B$300,$B210&amp;"/*",История!$C$5:$C$300)+SUMIF(История!$B$5:$B$300,"*/"&amp;$B210,История!$H$5:$H$300),8))</f>
        <v/>
      </c>
      <c r="D210" s="240">
        <f>IF($B210="","",ROUND(SUMIF(Торговля!$E$5:$E$300,$B210&amp;"/*",Торговля!$I$5:$I$300)+SUMIF(Торговля!$E$5:$E$300,"*/"&amp;$B210,Торговля!$H$5:$H$300)+SUMIF(Лэндинг!$E$5:$E$300,$B210&amp;"/*",Лэндинг!$I$5:$I$300)+SUMIF(Лэндинг!$E$5:$E$300,"*/"&amp;$B210,Лэндинг!$H$5:$H$300)+SUMIF(Закрытые!$E$5:$E$300,$B210&amp;"/*",Закрытые!$I$5:$I$300)+SUMIF(Закрытые!$E$5:$E$300,"*/"&amp;$B210,Закрытые!$H$5:$H$300)+SUMIF(История!$B$5:$B$300,$B210&amp;"/*",История!$F$5:$F$300)+SUMIF(История!$B$5:$B$300,"*/"&amp;$B210,История!$E$5:$E$300),8))</f>
        <v/>
      </c>
      <c r="E210" s="339">
        <f>IF($B210="","",ROUND(C210-D210,8))</f>
        <v/>
      </c>
    </row>
    <row r="211" ht="22" customHeight="1">
      <c r="B211" s="315" t="n"/>
      <c r="C211" s="240">
        <f>IF($B211="","",ROUND(SUMIF(Торговля!$E$5:$E$300,$B211&amp;"/*",Торговля!$F$5:$F$300)+SUMIF(Торговля!$E$5:$E$300,"*/"&amp;$B211,Торговля!$K$5:$K$300)+SUMIF(Лэндинг!$E$5:$E$300,$B211&amp;"/*",Лэндинг!$F$5:$F$300)+SUMIF(Лэндинг!$E$5:$E$300,"*/"&amp;$B211,Лэндинг!$K$5:$K$300)+SUMIF(Закрытые!$E$5:$E$300,$B211&amp;"/*",Закрытые!$F$5:$F$300)+SUMIF(Закрытые!$E$5:$E$300,"*/"&amp;$B211,Закрытые!$K$5:$K$300)+SUMIF(История!$B$5:$B$300,$B211&amp;"/*",История!$C$5:$C$300)+SUMIF(История!$B$5:$B$300,"*/"&amp;$B211,История!$H$5:$H$300),8))</f>
        <v/>
      </c>
      <c r="D211" s="240">
        <f>IF($B211="","",ROUND(SUMIF(Торговля!$E$5:$E$300,$B211&amp;"/*",Торговля!$I$5:$I$300)+SUMIF(Торговля!$E$5:$E$300,"*/"&amp;$B211,Торговля!$H$5:$H$300)+SUMIF(Лэндинг!$E$5:$E$300,$B211&amp;"/*",Лэндинг!$I$5:$I$300)+SUMIF(Лэндинг!$E$5:$E$300,"*/"&amp;$B211,Лэндинг!$H$5:$H$300)+SUMIF(Закрытые!$E$5:$E$300,$B211&amp;"/*",Закрытые!$I$5:$I$300)+SUMIF(Закрытые!$E$5:$E$300,"*/"&amp;$B211,Закрытые!$H$5:$H$300)+SUMIF(История!$B$5:$B$300,$B211&amp;"/*",История!$F$5:$F$300)+SUMIF(История!$B$5:$B$300,"*/"&amp;$B211,История!$E$5:$E$300),8))</f>
        <v/>
      </c>
      <c r="E211" s="339">
        <f>IF($B211="","",ROUND(C211-D211,8))</f>
        <v/>
      </c>
    </row>
    <row r="212" ht="22" customHeight="1">
      <c r="B212" s="320" t="n"/>
      <c r="C212" s="240">
        <f>IF($B212="","",ROUND(SUMIF(Торговля!$E$5:$E$300,$B212&amp;"/*",Торговля!$F$5:$F$300)+SUMIF(Торговля!$E$5:$E$300,"*/"&amp;$B212,Торговля!$K$5:$K$300)+SUMIF(Лэндинг!$E$5:$E$300,$B212&amp;"/*",Лэндинг!$F$5:$F$300)+SUMIF(Лэндинг!$E$5:$E$300,"*/"&amp;$B212,Лэндинг!$K$5:$K$300)+SUMIF(Закрытые!$E$5:$E$300,$B212&amp;"/*",Закрытые!$F$5:$F$300)+SUMIF(Закрытые!$E$5:$E$300,"*/"&amp;$B212,Закрытые!$K$5:$K$300)+SUMIF(История!$B$5:$B$300,$B212&amp;"/*",История!$C$5:$C$300)+SUMIF(История!$B$5:$B$300,"*/"&amp;$B212,История!$H$5:$H$300),8))</f>
        <v/>
      </c>
      <c r="D212" s="240">
        <f>IF($B212="","",ROUND(SUMIF(Торговля!$E$5:$E$300,$B212&amp;"/*",Торговля!$I$5:$I$300)+SUMIF(Торговля!$E$5:$E$300,"*/"&amp;$B212,Торговля!$H$5:$H$300)+SUMIF(Лэндинг!$E$5:$E$300,$B212&amp;"/*",Лэндинг!$I$5:$I$300)+SUMIF(Лэндинг!$E$5:$E$300,"*/"&amp;$B212,Лэндинг!$H$5:$H$300)+SUMIF(Закрытые!$E$5:$E$300,$B212&amp;"/*",Закрытые!$I$5:$I$300)+SUMIF(Закрытые!$E$5:$E$300,"*/"&amp;$B212,Закрытые!$H$5:$H$300)+SUMIF(История!$B$5:$B$300,$B212&amp;"/*",История!$F$5:$F$300)+SUMIF(История!$B$5:$B$300,"*/"&amp;$B212,История!$E$5:$E$300),8))</f>
        <v/>
      </c>
      <c r="E212" s="339">
        <f>IF($B212="","",ROUND(C212-D212,8))</f>
        <v/>
      </c>
    </row>
    <row r="213" ht="22" customHeight="1">
      <c r="B213" s="315" t="n"/>
      <c r="C213" s="240">
        <f>IF($B213="","",ROUND(SUMIF(Торговля!$E$5:$E$300,$B213&amp;"/*",Торговля!$F$5:$F$300)+SUMIF(Торговля!$E$5:$E$300,"*/"&amp;$B213,Торговля!$K$5:$K$300)+SUMIF(Лэндинг!$E$5:$E$300,$B213&amp;"/*",Лэндинг!$F$5:$F$300)+SUMIF(Лэндинг!$E$5:$E$300,"*/"&amp;$B213,Лэндинг!$K$5:$K$300)+SUMIF(Закрытые!$E$5:$E$300,$B213&amp;"/*",Закрытые!$F$5:$F$300)+SUMIF(Закрытые!$E$5:$E$300,"*/"&amp;$B213,Закрытые!$K$5:$K$300)+SUMIF(История!$B$5:$B$300,$B213&amp;"/*",История!$C$5:$C$300)+SUMIF(История!$B$5:$B$300,"*/"&amp;$B213,История!$H$5:$H$300),8))</f>
        <v/>
      </c>
      <c r="D213" s="240">
        <f>IF($B213="","",ROUND(SUMIF(Торговля!$E$5:$E$300,$B213&amp;"/*",Торговля!$I$5:$I$300)+SUMIF(Торговля!$E$5:$E$300,"*/"&amp;$B213,Торговля!$H$5:$H$300)+SUMIF(Лэндинг!$E$5:$E$300,$B213&amp;"/*",Лэндинг!$I$5:$I$300)+SUMIF(Лэндинг!$E$5:$E$300,"*/"&amp;$B213,Лэндинг!$H$5:$H$300)+SUMIF(Закрытые!$E$5:$E$300,$B213&amp;"/*",Закрытые!$I$5:$I$300)+SUMIF(Закрытые!$E$5:$E$300,"*/"&amp;$B213,Закрытые!$H$5:$H$300)+SUMIF(История!$B$5:$B$300,$B213&amp;"/*",История!$F$5:$F$300)+SUMIF(История!$B$5:$B$300,"*/"&amp;$B213,История!$E$5:$E$300),8))</f>
        <v/>
      </c>
      <c r="E213" s="339">
        <f>IF($B213="","",ROUND(C213-D213,8))</f>
        <v/>
      </c>
    </row>
    <row r="214" ht="22" customHeight="1">
      <c r="B214" s="320" t="n"/>
      <c r="C214" s="240">
        <f>IF($B214="","",ROUND(SUMIF(Торговля!$E$5:$E$300,$B214&amp;"/*",Торговля!$F$5:$F$300)+SUMIF(Торговля!$E$5:$E$300,"*/"&amp;$B214,Торговля!$K$5:$K$300)+SUMIF(Лэндинг!$E$5:$E$300,$B214&amp;"/*",Лэндинг!$F$5:$F$300)+SUMIF(Лэндинг!$E$5:$E$300,"*/"&amp;$B214,Лэндинг!$K$5:$K$300)+SUMIF(Закрытые!$E$5:$E$300,$B214&amp;"/*",Закрытые!$F$5:$F$300)+SUMIF(Закрытые!$E$5:$E$300,"*/"&amp;$B214,Закрытые!$K$5:$K$300)+SUMIF(История!$B$5:$B$300,$B214&amp;"/*",История!$C$5:$C$300)+SUMIF(История!$B$5:$B$300,"*/"&amp;$B214,История!$H$5:$H$300),8))</f>
        <v/>
      </c>
      <c r="D214" s="240">
        <f>IF($B214="","",ROUND(SUMIF(Торговля!$E$5:$E$300,$B214&amp;"/*",Торговля!$I$5:$I$300)+SUMIF(Торговля!$E$5:$E$300,"*/"&amp;$B214,Торговля!$H$5:$H$300)+SUMIF(Лэндинг!$E$5:$E$300,$B214&amp;"/*",Лэндинг!$I$5:$I$300)+SUMIF(Лэндинг!$E$5:$E$300,"*/"&amp;$B214,Лэндинг!$H$5:$H$300)+SUMIF(Закрытые!$E$5:$E$300,$B214&amp;"/*",Закрытые!$I$5:$I$300)+SUMIF(Закрытые!$E$5:$E$300,"*/"&amp;$B214,Закрытые!$H$5:$H$300)+SUMIF(История!$B$5:$B$300,$B214&amp;"/*",История!$F$5:$F$300)+SUMIF(История!$B$5:$B$300,"*/"&amp;$B214,История!$E$5:$E$300),8))</f>
        <v/>
      </c>
      <c r="E214" s="339">
        <f>IF($B214="","",ROUND(C214-D214,8))</f>
        <v/>
      </c>
    </row>
    <row r="215" ht="22" customHeight="1">
      <c r="B215" s="315" t="n"/>
      <c r="C215" s="240">
        <f>IF($B215="","",ROUND(SUMIF(Торговля!$E$5:$E$300,$B215&amp;"/*",Торговля!$F$5:$F$300)+SUMIF(Торговля!$E$5:$E$300,"*/"&amp;$B215,Торговля!$K$5:$K$300)+SUMIF(Лэндинг!$E$5:$E$300,$B215&amp;"/*",Лэндинг!$F$5:$F$300)+SUMIF(Лэндинг!$E$5:$E$300,"*/"&amp;$B215,Лэндинг!$K$5:$K$300)+SUMIF(Закрытые!$E$5:$E$300,$B215&amp;"/*",Закрытые!$F$5:$F$300)+SUMIF(Закрытые!$E$5:$E$300,"*/"&amp;$B215,Закрытые!$K$5:$K$300)+SUMIF(История!$B$5:$B$300,$B215&amp;"/*",История!$C$5:$C$300)+SUMIF(История!$B$5:$B$300,"*/"&amp;$B215,История!$H$5:$H$300),8))</f>
        <v/>
      </c>
      <c r="D215" s="240">
        <f>IF($B215="","",ROUND(SUMIF(Торговля!$E$5:$E$300,$B215&amp;"/*",Торговля!$I$5:$I$300)+SUMIF(Торговля!$E$5:$E$300,"*/"&amp;$B215,Торговля!$H$5:$H$300)+SUMIF(Лэндинг!$E$5:$E$300,$B215&amp;"/*",Лэндинг!$I$5:$I$300)+SUMIF(Лэндинг!$E$5:$E$300,"*/"&amp;$B215,Лэндинг!$H$5:$H$300)+SUMIF(Закрытые!$E$5:$E$300,$B215&amp;"/*",Закрытые!$I$5:$I$300)+SUMIF(Закрытые!$E$5:$E$300,"*/"&amp;$B215,Закрытые!$H$5:$H$300)+SUMIF(История!$B$5:$B$300,$B215&amp;"/*",История!$F$5:$F$300)+SUMIF(История!$B$5:$B$300,"*/"&amp;$B215,История!$E$5:$E$300),8))</f>
        <v/>
      </c>
      <c r="E215" s="339">
        <f>IF($B215="","",ROUND(C215-D215,8))</f>
        <v/>
      </c>
    </row>
    <row r="216" ht="22" customHeight="1">
      <c r="B216" s="320" t="n"/>
      <c r="C216" s="240">
        <f>IF($B216="","",ROUND(SUMIF(Торговля!$E$5:$E$300,$B216&amp;"/*",Торговля!$F$5:$F$300)+SUMIF(Торговля!$E$5:$E$300,"*/"&amp;$B216,Торговля!$K$5:$K$300)+SUMIF(Лэндинг!$E$5:$E$300,$B216&amp;"/*",Лэндинг!$F$5:$F$300)+SUMIF(Лэндинг!$E$5:$E$300,"*/"&amp;$B216,Лэндинг!$K$5:$K$300)+SUMIF(Закрытые!$E$5:$E$300,$B216&amp;"/*",Закрытые!$F$5:$F$300)+SUMIF(Закрытые!$E$5:$E$300,"*/"&amp;$B216,Закрытые!$K$5:$K$300)+SUMIF(История!$B$5:$B$300,$B216&amp;"/*",История!$C$5:$C$300)+SUMIF(История!$B$5:$B$300,"*/"&amp;$B216,История!$H$5:$H$300),8))</f>
        <v/>
      </c>
      <c r="D216" s="240">
        <f>IF($B216="","",ROUND(SUMIF(Торговля!$E$5:$E$300,$B216&amp;"/*",Торговля!$I$5:$I$300)+SUMIF(Торговля!$E$5:$E$300,"*/"&amp;$B216,Торговля!$H$5:$H$300)+SUMIF(Лэндинг!$E$5:$E$300,$B216&amp;"/*",Лэндинг!$I$5:$I$300)+SUMIF(Лэндинг!$E$5:$E$300,"*/"&amp;$B216,Лэндинг!$H$5:$H$300)+SUMIF(Закрытые!$E$5:$E$300,$B216&amp;"/*",Закрытые!$I$5:$I$300)+SUMIF(Закрытые!$E$5:$E$300,"*/"&amp;$B216,Закрытые!$H$5:$H$300)+SUMIF(История!$B$5:$B$300,$B216&amp;"/*",История!$F$5:$F$300)+SUMIF(История!$B$5:$B$300,"*/"&amp;$B216,История!$E$5:$E$300),8))</f>
        <v/>
      </c>
      <c r="E216" s="339">
        <f>IF($B216="","",ROUND(C216-D216,8))</f>
        <v/>
      </c>
    </row>
    <row r="217" ht="22" customHeight="1">
      <c r="B217" s="315" t="n"/>
      <c r="C217" s="240">
        <f>IF($B217="","",ROUND(SUMIF(Торговля!$E$5:$E$300,$B217&amp;"/*",Торговля!$F$5:$F$300)+SUMIF(Торговля!$E$5:$E$300,"*/"&amp;$B217,Торговля!$K$5:$K$300)+SUMIF(Лэндинг!$E$5:$E$300,$B217&amp;"/*",Лэндинг!$F$5:$F$300)+SUMIF(Лэндинг!$E$5:$E$300,"*/"&amp;$B217,Лэндинг!$K$5:$K$300)+SUMIF(Закрытые!$E$5:$E$300,$B217&amp;"/*",Закрытые!$F$5:$F$300)+SUMIF(Закрытые!$E$5:$E$300,"*/"&amp;$B217,Закрытые!$K$5:$K$300)+SUMIF(История!$B$5:$B$300,$B217&amp;"/*",История!$C$5:$C$300)+SUMIF(История!$B$5:$B$300,"*/"&amp;$B217,История!$H$5:$H$300),8))</f>
        <v/>
      </c>
      <c r="D217" s="240">
        <f>IF($B217="","",ROUND(SUMIF(Торговля!$E$5:$E$300,$B217&amp;"/*",Торговля!$I$5:$I$300)+SUMIF(Торговля!$E$5:$E$300,"*/"&amp;$B217,Торговля!$H$5:$H$300)+SUMIF(Лэндинг!$E$5:$E$300,$B217&amp;"/*",Лэндинг!$I$5:$I$300)+SUMIF(Лэндинг!$E$5:$E$300,"*/"&amp;$B217,Лэндинг!$H$5:$H$300)+SUMIF(Закрытые!$E$5:$E$300,$B217&amp;"/*",Закрытые!$I$5:$I$300)+SUMIF(Закрытые!$E$5:$E$300,"*/"&amp;$B217,Закрытые!$H$5:$H$300)+SUMIF(История!$B$5:$B$300,$B217&amp;"/*",История!$F$5:$F$300)+SUMIF(История!$B$5:$B$300,"*/"&amp;$B217,История!$E$5:$E$300),8))</f>
        <v/>
      </c>
      <c r="E217" s="339">
        <f>IF($B217="","",ROUND(C217-D217,8))</f>
        <v/>
      </c>
    </row>
    <row r="218" ht="22" customHeight="1">
      <c r="B218" s="320" t="n"/>
      <c r="C218" s="240">
        <f>IF($B218="","",ROUND(SUMIF(Торговля!$E$5:$E$300,$B218&amp;"/*",Торговля!$F$5:$F$300)+SUMIF(Торговля!$E$5:$E$300,"*/"&amp;$B218,Торговля!$K$5:$K$300)+SUMIF(Лэндинг!$E$5:$E$300,$B218&amp;"/*",Лэндинг!$F$5:$F$300)+SUMIF(Лэндинг!$E$5:$E$300,"*/"&amp;$B218,Лэндинг!$K$5:$K$300)+SUMIF(Закрытые!$E$5:$E$300,$B218&amp;"/*",Закрытые!$F$5:$F$300)+SUMIF(Закрытые!$E$5:$E$300,"*/"&amp;$B218,Закрытые!$K$5:$K$300)+SUMIF(История!$B$5:$B$300,$B218&amp;"/*",История!$C$5:$C$300)+SUMIF(История!$B$5:$B$300,"*/"&amp;$B218,История!$H$5:$H$300),8))</f>
        <v/>
      </c>
      <c r="D218" s="240">
        <f>IF($B218="","",ROUND(SUMIF(Торговля!$E$5:$E$300,$B218&amp;"/*",Торговля!$I$5:$I$300)+SUMIF(Торговля!$E$5:$E$300,"*/"&amp;$B218,Торговля!$H$5:$H$300)+SUMIF(Лэндинг!$E$5:$E$300,$B218&amp;"/*",Лэндинг!$I$5:$I$300)+SUMIF(Лэндинг!$E$5:$E$300,"*/"&amp;$B218,Лэндинг!$H$5:$H$300)+SUMIF(Закрытые!$E$5:$E$300,$B218&amp;"/*",Закрытые!$I$5:$I$300)+SUMIF(Закрытые!$E$5:$E$300,"*/"&amp;$B218,Закрытые!$H$5:$H$300)+SUMIF(История!$B$5:$B$300,$B218&amp;"/*",История!$F$5:$F$300)+SUMIF(История!$B$5:$B$300,"*/"&amp;$B218,История!$E$5:$E$300),8))</f>
        <v/>
      </c>
      <c r="E218" s="339">
        <f>IF($B218="","",ROUND(C218-D218,8))</f>
        <v/>
      </c>
    </row>
    <row r="219" ht="22" customHeight="1">
      <c r="B219" s="315" t="n"/>
      <c r="C219" s="240">
        <f>IF($B219="","",ROUND(SUMIF(Торговля!$E$5:$E$300,$B219&amp;"/*",Торговля!$F$5:$F$300)+SUMIF(Торговля!$E$5:$E$300,"*/"&amp;$B219,Торговля!$K$5:$K$300)+SUMIF(Лэндинг!$E$5:$E$300,$B219&amp;"/*",Лэндинг!$F$5:$F$300)+SUMIF(Лэндинг!$E$5:$E$300,"*/"&amp;$B219,Лэндинг!$K$5:$K$300)+SUMIF(Закрытые!$E$5:$E$300,$B219&amp;"/*",Закрытые!$F$5:$F$300)+SUMIF(Закрытые!$E$5:$E$300,"*/"&amp;$B219,Закрытые!$K$5:$K$300)+SUMIF(История!$B$5:$B$300,$B219&amp;"/*",История!$C$5:$C$300)+SUMIF(История!$B$5:$B$300,"*/"&amp;$B219,История!$H$5:$H$300),8))</f>
        <v/>
      </c>
      <c r="D219" s="240">
        <f>IF($B219="","",ROUND(SUMIF(Торговля!$E$5:$E$300,$B219&amp;"/*",Торговля!$I$5:$I$300)+SUMIF(Торговля!$E$5:$E$300,"*/"&amp;$B219,Торговля!$H$5:$H$300)+SUMIF(Лэндинг!$E$5:$E$300,$B219&amp;"/*",Лэндинг!$I$5:$I$300)+SUMIF(Лэндинг!$E$5:$E$300,"*/"&amp;$B219,Лэндинг!$H$5:$H$300)+SUMIF(Закрытые!$E$5:$E$300,$B219&amp;"/*",Закрытые!$I$5:$I$300)+SUMIF(Закрытые!$E$5:$E$300,"*/"&amp;$B219,Закрытые!$H$5:$H$300)+SUMIF(История!$B$5:$B$300,$B219&amp;"/*",История!$F$5:$F$300)+SUMIF(История!$B$5:$B$300,"*/"&amp;$B219,История!$E$5:$E$300),8))</f>
        <v/>
      </c>
      <c r="E219" s="339">
        <f>IF($B219="","",ROUND(C219-D219,8))</f>
        <v/>
      </c>
    </row>
    <row r="220" ht="22" customHeight="1">
      <c r="B220" s="320" t="n"/>
      <c r="C220" s="240">
        <f>IF($B220="","",ROUND(SUMIF(Торговля!$E$5:$E$300,$B220&amp;"/*",Торговля!$F$5:$F$300)+SUMIF(Торговля!$E$5:$E$300,"*/"&amp;$B220,Торговля!$K$5:$K$300)+SUMIF(Лэндинг!$E$5:$E$300,$B220&amp;"/*",Лэндинг!$F$5:$F$300)+SUMIF(Лэндинг!$E$5:$E$300,"*/"&amp;$B220,Лэндинг!$K$5:$K$300)+SUMIF(Закрытые!$E$5:$E$300,$B220&amp;"/*",Закрытые!$F$5:$F$300)+SUMIF(Закрытые!$E$5:$E$300,"*/"&amp;$B220,Закрытые!$K$5:$K$300)+SUMIF(История!$B$5:$B$300,$B220&amp;"/*",История!$C$5:$C$300)+SUMIF(История!$B$5:$B$300,"*/"&amp;$B220,История!$H$5:$H$300),8))</f>
        <v/>
      </c>
      <c r="D220" s="240">
        <f>IF($B220="","",ROUND(SUMIF(Торговля!$E$5:$E$300,$B220&amp;"/*",Торговля!$I$5:$I$300)+SUMIF(Торговля!$E$5:$E$300,"*/"&amp;$B220,Торговля!$H$5:$H$300)+SUMIF(Лэндинг!$E$5:$E$300,$B220&amp;"/*",Лэндинг!$I$5:$I$300)+SUMIF(Лэндинг!$E$5:$E$300,"*/"&amp;$B220,Лэндинг!$H$5:$H$300)+SUMIF(Закрытые!$E$5:$E$300,$B220&amp;"/*",Закрытые!$I$5:$I$300)+SUMIF(Закрытые!$E$5:$E$300,"*/"&amp;$B220,Закрытые!$H$5:$H$300)+SUMIF(История!$B$5:$B$300,$B220&amp;"/*",История!$F$5:$F$300)+SUMIF(История!$B$5:$B$300,"*/"&amp;$B220,История!$E$5:$E$300),8))</f>
        <v/>
      </c>
      <c r="E220" s="339">
        <f>IF($B220="","",ROUND(C220-D220,8))</f>
        <v/>
      </c>
    </row>
    <row r="221" ht="22" customHeight="1">
      <c r="B221" s="315" t="n"/>
      <c r="C221" s="240">
        <f>IF($B221="","",ROUND(SUMIF(Торговля!$E$5:$E$300,$B221&amp;"/*",Торговля!$F$5:$F$300)+SUMIF(Торговля!$E$5:$E$300,"*/"&amp;$B221,Торговля!$K$5:$K$300)+SUMIF(Лэндинг!$E$5:$E$300,$B221&amp;"/*",Лэндинг!$F$5:$F$300)+SUMIF(Лэндинг!$E$5:$E$300,"*/"&amp;$B221,Лэндинг!$K$5:$K$300)+SUMIF(Закрытые!$E$5:$E$300,$B221&amp;"/*",Закрытые!$F$5:$F$300)+SUMIF(Закрытые!$E$5:$E$300,"*/"&amp;$B221,Закрытые!$K$5:$K$300)+SUMIF(История!$B$5:$B$300,$B221&amp;"/*",История!$C$5:$C$300)+SUMIF(История!$B$5:$B$300,"*/"&amp;$B221,История!$H$5:$H$300),8))</f>
        <v/>
      </c>
      <c r="D221" s="240">
        <f>IF($B221="","",ROUND(SUMIF(Торговля!$E$5:$E$300,$B221&amp;"/*",Торговля!$I$5:$I$300)+SUMIF(Торговля!$E$5:$E$300,"*/"&amp;$B221,Торговля!$H$5:$H$300)+SUMIF(Лэндинг!$E$5:$E$300,$B221&amp;"/*",Лэндинг!$I$5:$I$300)+SUMIF(Лэндинг!$E$5:$E$300,"*/"&amp;$B221,Лэндинг!$H$5:$H$300)+SUMIF(Закрытые!$E$5:$E$300,$B221&amp;"/*",Закрытые!$I$5:$I$300)+SUMIF(Закрытые!$E$5:$E$300,"*/"&amp;$B221,Закрытые!$H$5:$H$300)+SUMIF(История!$B$5:$B$300,$B221&amp;"/*",История!$F$5:$F$300)+SUMIF(История!$B$5:$B$300,"*/"&amp;$B221,История!$E$5:$E$300),8))</f>
        <v/>
      </c>
      <c r="E221" s="339">
        <f>IF($B221="","",ROUND(C221-D221,8))</f>
        <v/>
      </c>
    </row>
    <row r="222" ht="22" customHeight="1">
      <c r="B222" s="320" t="n"/>
      <c r="C222" s="240">
        <f>IF($B222="","",ROUND(SUMIF(Торговля!$E$5:$E$300,$B222&amp;"/*",Торговля!$F$5:$F$300)+SUMIF(Торговля!$E$5:$E$300,"*/"&amp;$B222,Торговля!$K$5:$K$300)+SUMIF(Лэндинг!$E$5:$E$300,$B222&amp;"/*",Лэндинг!$F$5:$F$300)+SUMIF(Лэндинг!$E$5:$E$300,"*/"&amp;$B222,Лэндинг!$K$5:$K$300)+SUMIF(Закрытые!$E$5:$E$300,$B222&amp;"/*",Закрытые!$F$5:$F$300)+SUMIF(Закрытые!$E$5:$E$300,"*/"&amp;$B222,Закрытые!$K$5:$K$300)+SUMIF(История!$B$5:$B$300,$B222&amp;"/*",История!$C$5:$C$300)+SUMIF(История!$B$5:$B$300,"*/"&amp;$B222,История!$H$5:$H$300),8))</f>
        <v/>
      </c>
      <c r="D222" s="240">
        <f>IF($B222="","",ROUND(SUMIF(Торговля!$E$5:$E$300,$B222&amp;"/*",Торговля!$I$5:$I$300)+SUMIF(Торговля!$E$5:$E$300,"*/"&amp;$B222,Торговля!$H$5:$H$300)+SUMIF(Лэндинг!$E$5:$E$300,$B222&amp;"/*",Лэндинг!$I$5:$I$300)+SUMIF(Лэндинг!$E$5:$E$300,"*/"&amp;$B222,Лэндинг!$H$5:$H$300)+SUMIF(Закрытые!$E$5:$E$300,$B222&amp;"/*",Закрытые!$I$5:$I$300)+SUMIF(Закрытые!$E$5:$E$300,"*/"&amp;$B222,Закрытые!$H$5:$H$300)+SUMIF(История!$B$5:$B$300,$B222&amp;"/*",История!$F$5:$F$300)+SUMIF(История!$B$5:$B$300,"*/"&amp;$B222,История!$E$5:$E$300),8))</f>
        <v/>
      </c>
      <c r="E222" s="339">
        <f>IF($B222="","",ROUND(C222-D222,8))</f>
        <v/>
      </c>
    </row>
    <row r="223" ht="22" customHeight="1">
      <c r="B223" s="315" t="n"/>
      <c r="C223" s="240">
        <f>IF($B223="","",ROUND(SUMIF(Торговля!$E$5:$E$300,$B223&amp;"/*",Торговля!$F$5:$F$300)+SUMIF(Торговля!$E$5:$E$300,"*/"&amp;$B223,Торговля!$K$5:$K$300)+SUMIF(Лэндинг!$E$5:$E$300,$B223&amp;"/*",Лэндинг!$F$5:$F$300)+SUMIF(Лэндинг!$E$5:$E$300,"*/"&amp;$B223,Лэндинг!$K$5:$K$300)+SUMIF(Закрытые!$E$5:$E$300,$B223&amp;"/*",Закрытые!$F$5:$F$300)+SUMIF(Закрытые!$E$5:$E$300,"*/"&amp;$B223,Закрытые!$K$5:$K$300)+SUMIF(История!$B$5:$B$300,$B223&amp;"/*",История!$C$5:$C$300)+SUMIF(История!$B$5:$B$300,"*/"&amp;$B223,История!$H$5:$H$300),8))</f>
        <v/>
      </c>
      <c r="D223" s="240">
        <f>IF($B223="","",ROUND(SUMIF(Торговля!$E$5:$E$300,$B223&amp;"/*",Торговля!$I$5:$I$300)+SUMIF(Торговля!$E$5:$E$300,"*/"&amp;$B223,Торговля!$H$5:$H$300)+SUMIF(Лэндинг!$E$5:$E$300,$B223&amp;"/*",Лэндинг!$I$5:$I$300)+SUMIF(Лэндинг!$E$5:$E$300,"*/"&amp;$B223,Лэндинг!$H$5:$H$300)+SUMIF(Закрытые!$E$5:$E$300,$B223&amp;"/*",Закрытые!$I$5:$I$300)+SUMIF(Закрытые!$E$5:$E$300,"*/"&amp;$B223,Закрытые!$H$5:$H$300)+SUMIF(История!$B$5:$B$300,$B223&amp;"/*",История!$F$5:$F$300)+SUMIF(История!$B$5:$B$300,"*/"&amp;$B223,История!$E$5:$E$300),8))</f>
        <v/>
      </c>
      <c r="E223" s="339">
        <f>IF($B223="","",ROUND(C223-D223,8))</f>
        <v/>
      </c>
    </row>
    <row r="224" ht="22" customHeight="1">
      <c r="B224" s="320" t="n"/>
      <c r="C224" s="240">
        <f>IF($B224="","",ROUND(SUMIF(Торговля!$E$5:$E$300,$B224&amp;"/*",Торговля!$F$5:$F$300)+SUMIF(Торговля!$E$5:$E$300,"*/"&amp;$B224,Торговля!$K$5:$K$300)+SUMIF(Лэндинг!$E$5:$E$300,$B224&amp;"/*",Лэндинг!$F$5:$F$300)+SUMIF(Лэндинг!$E$5:$E$300,"*/"&amp;$B224,Лэндинг!$K$5:$K$300)+SUMIF(Закрытые!$E$5:$E$300,$B224&amp;"/*",Закрытые!$F$5:$F$300)+SUMIF(Закрытые!$E$5:$E$300,"*/"&amp;$B224,Закрытые!$K$5:$K$300)+SUMIF(История!$B$5:$B$300,$B224&amp;"/*",История!$C$5:$C$300)+SUMIF(История!$B$5:$B$300,"*/"&amp;$B224,История!$H$5:$H$300),8))</f>
        <v/>
      </c>
      <c r="D224" s="240">
        <f>IF($B224="","",ROUND(SUMIF(Торговля!$E$5:$E$300,$B224&amp;"/*",Торговля!$I$5:$I$300)+SUMIF(Торговля!$E$5:$E$300,"*/"&amp;$B224,Торговля!$H$5:$H$300)+SUMIF(Лэндинг!$E$5:$E$300,$B224&amp;"/*",Лэндинг!$I$5:$I$300)+SUMIF(Лэндинг!$E$5:$E$300,"*/"&amp;$B224,Лэндинг!$H$5:$H$300)+SUMIF(Закрытые!$E$5:$E$300,$B224&amp;"/*",Закрытые!$I$5:$I$300)+SUMIF(Закрытые!$E$5:$E$300,"*/"&amp;$B224,Закрытые!$H$5:$H$300)+SUMIF(История!$B$5:$B$300,$B224&amp;"/*",История!$F$5:$F$300)+SUMIF(История!$B$5:$B$300,"*/"&amp;$B224,История!$E$5:$E$300),8))</f>
        <v/>
      </c>
      <c r="E224" s="339">
        <f>IF($B224="","",ROUND(C224-D224,8))</f>
        <v/>
      </c>
    </row>
    <row r="225" ht="22" customHeight="1">
      <c r="B225" s="315" t="n"/>
      <c r="C225" s="240">
        <f>IF($B225="","",ROUND(SUMIF(Торговля!$E$5:$E$300,$B225&amp;"/*",Торговля!$F$5:$F$300)+SUMIF(Торговля!$E$5:$E$300,"*/"&amp;$B225,Торговля!$K$5:$K$300)+SUMIF(Лэндинг!$E$5:$E$300,$B225&amp;"/*",Лэндинг!$F$5:$F$300)+SUMIF(Лэндинг!$E$5:$E$300,"*/"&amp;$B225,Лэндинг!$K$5:$K$300)+SUMIF(Закрытые!$E$5:$E$300,$B225&amp;"/*",Закрытые!$F$5:$F$300)+SUMIF(Закрытые!$E$5:$E$300,"*/"&amp;$B225,Закрытые!$K$5:$K$300)+SUMIF(История!$B$5:$B$300,$B225&amp;"/*",История!$C$5:$C$300)+SUMIF(История!$B$5:$B$300,"*/"&amp;$B225,История!$H$5:$H$300),8))</f>
        <v/>
      </c>
      <c r="D225" s="240">
        <f>IF($B225="","",ROUND(SUMIF(Торговля!$E$5:$E$300,$B225&amp;"/*",Торговля!$I$5:$I$300)+SUMIF(Торговля!$E$5:$E$300,"*/"&amp;$B225,Торговля!$H$5:$H$300)+SUMIF(Лэндинг!$E$5:$E$300,$B225&amp;"/*",Лэндинг!$I$5:$I$300)+SUMIF(Лэндинг!$E$5:$E$300,"*/"&amp;$B225,Лэндинг!$H$5:$H$300)+SUMIF(Закрытые!$E$5:$E$300,$B225&amp;"/*",Закрытые!$I$5:$I$300)+SUMIF(Закрытые!$E$5:$E$300,"*/"&amp;$B225,Закрытые!$H$5:$H$300)+SUMIF(История!$B$5:$B$300,$B225&amp;"/*",История!$F$5:$F$300)+SUMIF(История!$B$5:$B$300,"*/"&amp;$B225,История!$E$5:$E$300),8))</f>
        <v/>
      </c>
      <c r="E225" s="339">
        <f>IF($B225="","",ROUND(C225-D225,8))</f>
        <v/>
      </c>
    </row>
    <row r="226" ht="22" customHeight="1">
      <c r="B226" s="320" t="n"/>
      <c r="C226" s="240">
        <f>IF($B226="","",ROUND(SUMIF(Торговля!$E$5:$E$300,$B226&amp;"/*",Торговля!$F$5:$F$300)+SUMIF(Торговля!$E$5:$E$300,"*/"&amp;$B226,Торговля!$K$5:$K$300)+SUMIF(Лэндинг!$E$5:$E$300,$B226&amp;"/*",Лэндинг!$F$5:$F$300)+SUMIF(Лэндинг!$E$5:$E$300,"*/"&amp;$B226,Лэндинг!$K$5:$K$300)+SUMIF(Закрытые!$E$5:$E$300,$B226&amp;"/*",Закрытые!$F$5:$F$300)+SUMIF(Закрытые!$E$5:$E$300,"*/"&amp;$B226,Закрытые!$K$5:$K$300)+SUMIF(История!$B$5:$B$300,$B226&amp;"/*",История!$C$5:$C$300)+SUMIF(История!$B$5:$B$300,"*/"&amp;$B226,История!$H$5:$H$300),8))</f>
        <v/>
      </c>
      <c r="D226" s="240">
        <f>IF($B226="","",ROUND(SUMIF(Торговля!$E$5:$E$300,$B226&amp;"/*",Торговля!$I$5:$I$300)+SUMIF(Торговля!$E$5:$E$300,"*/"&amp;$B226,Торговля!$H$5:$H$300)+SUMIF(Лэндинг!$E$5:$E$300,$B226&amp;"/*",Лэндинг!$I$5:$I$300)+SUMIF(Лэндинг!$E$5:$E$300,"*/"&amp;$B226,Лэндинг!$H$5:$H$300)+SUMIF(Закрытые!$E$5:$E$300,$B226&amp;"/*",Закрытые!$I$5:$I$300)+SUMIF(Закрытые!$E$5:$E$300,"*/"&amp;$B226,Закрытые!$H$5:$H$300)+SUMIF(История!$B$5:$B$300,$B226&amp;"/*",История!$F$5:$F$300)+SUMIF(История!$B$5:$B$300,"*/"&amp;$B226,История!$E$5:$E$300),8))</f>
        <v/>
      </c>
      <c r="E226" s="339">
        <f>IF($B226="","",ROUND(C226-D226,8))</f>
        <v/>
      </c>
    </row>
    <row r="227" ht="22" customHeight="1">
      <c r="B227" s="315" t="n"/>
      <c r="C227" s="240">
        <f>IF($B227="","",ROUND(SUMIF(Торговля!$E$5:$E$300,$B227&amp;"/*",Торговля!$F$5:$F$300)+SUMIF(Торговля!$E$5:$E$300,"*/"&amp;$B227,Торговля!$K$5:$K$300)+SUMIF(Лэндинг!$E$5:$E$300,$B227&amp;"/*",Лэндинг!$F$5:$F$300)+SUMIF(Лэндинг!$E$5:$E$300,"*/"&amp;$B227,Лэндинг!$K$5:$K$300)+SUMIF(Закрытые!$E$5:$E$300,$B227&amp;"/*",Закрытые!$F$5:$F$300)+SUMIF(Закрытые!$E$5:$E$300,"*/"&amp;$B227,Закрытые!$K$5:$K$300)+SUMIF(История!$B$5:$B$300,$B227&amp;"/*",История!$C$5:$C$300)+SUMIF(История!$B$5:$B$300,"*/"&amp;$B227,История!$H$5:$H$300),8))</f>
        <v/>
      </c>
      <c r="D227" s="240">
        <f>IF($B227="","",ROUND(SUMIF(Торговля!$E$5:$E$300,$B227&amp;"/*",Торговля!$I$5:$I$300)+SUMIF(Торговля!$E$5:$E$300,"*/"&amp;$B227,Торговля!$H$5:$H$300)+SUMIF(Лэндинг!$E$5:$E$300,$B227&amp;"/*",Лэндинг!$I$5:$I$300)+SUMIF(Лэндинг!$E$5:$E$300,"*/"&amp;$B227,Лэндинг!$H$5:$H$300)+SUMIF(Закрытые!$E$5:$E$300,$B227&amp;"/*",Закрытые!$I$5:$I$300)+SUMIF(Закрытые!$E$5:$E$300,"*/"&amp;$B227,Закрытые!$H$5:$H$300)+SUMIF(История!$B$5:$B$300,$B227&amp;"/*",История!$F$5:$F$300)+SUMIF(История!$B$5:$B$300,"*/"&amp;$B227,История!$E$5:$E$300),8))</f>
        <v/>
      </c>
      <c r="E227" s="339">
        <f>IF($B227="","",ROUND(C227-D227,8))</f>
        <v/>
      </c>
    </row>
    <row r="228" ht="22" customHeight="1">
      <c r="B228" s="320" t="n"/>
      <c r="C228" s="240">
        <f>IF($B228="","",ROUND(SUMIF(Торговля!$E$5:$E$300,$B228&amp;"/*",Торговля!$F$5:$F$300)+SUMIF(Торговля!$E$5:$E$300,"*/"&amp;$B228,Торговля!$K$5:$K$300)+SUMIF(Лэндинг!$E$5:$E$300,$B228&amp;"/*",Лэндинг!$F$5:$F$300)+SUMIF(Лэндинг!$E$5:$E$300,"*/"&amp;$B228,Лэндинг!$K$5:$K$300)+SUMIF(Закрытые!$E$5:$E$300,$B228&amp;"/*",Закрытые!$F$5:$F$300)+SUMIF(Закрытые!$E$5:$E$300,"*/"&amp;$B228,Закрытые!$K$5:$K$300)+SUMIF(История!$B$5:$B$300,$B228&amp;"/*",История!$C$5:$C$300)+SUMIF(История!$B$5:$B$300,"*/"&amp;$B228,История!$H$5:$H$300),8))</f>
        <v/>
      </c>
      <c r="D228" s="240">
        <f>IF($B228="","",ROUND(SUMIF(Торговля!$E$5:$E$300,$B228&amp;"/*",Торговля!$I$5:$I$300)+SUMIF(Торговля!$E$5:$E$300,"*/"&amp;$B228,Торговля!$H$5:$H$300)+SUMIF(Лэндинг!$E$5:$E$300,$B228&amp;"/*",Лэндинг!$I$5:$I$300)+SUMIF(Лэндинг!$E$5:$E$300,"*/"&amp;$B228,Лэндинг!$H$5:$H$300)+SUMIF(Закрытые!$E$5:$E$300,$B228&amp;"/*",Закрытые!$I$5:$I$300)+SUMIF(Закрытые!$E$5:$E$300,"*/"&amp;$B228,Закрытые!$H$5:$H$300)+SUMIF(История!$B$5:$B$300,$B228&amp;"/*",История!$F$5:$F$300)+SUMIF(История!$B$5:$B$300,"*/"&amp;$B228,История!$E$5:$E$300),8))</f>
        <v/>
      </c>
      <c r="E228" s="339">
        <f>IF($B228="","",ROUND(C228-D228,8))</f>
        <v/>
      </c>
    </row>
    <row r="229" ht="22" customHeight="1">
      <c r="B229" s="315" t="n"/>
      <c r="C229" s="240">
        <f>IF($B229="","",ROUND(SUMIF(Торговля!$E$5:$E$300,$B229&amp;"/*",Торговля!$F$5:$F$300)+SUMIF(Торговля!$E$5:$E$300,"*/"&amp;$B229,Торговля!$K$5:$K$300)+SUMIF(Лэндинг!$E$5:$E$300,$B229&amp;"/*",Лэндинг!$F$5:$F$300)+SUMIF(Лэндинг!$E$5:$E$300,"*/"&amp;$B229,Лэндинг!$K$5:$K$300)+SUMIF(Закрытые!$E$5:$E$300,$B229&amp;"/*",Закрытые!$F$5:$F$300)+SUMIF(Закрытые!$E$5:$E$300,"*/"&amp;$B229,Закрытые!$K$5:$K$300)+SUMIF(История!$B$5:$B$300,$B229&amp;"/*",История!$C$5:$C$300)+SUMIF(История!$B$5:$B$300,"*/"&amp;$B229,История!$H$5:$H$300),8))</f>
        <v/>
      </c>
      <c r="D229" s="240">
        <f>IF($B229="","",ROUND(SUMIF(Торговля!$E$5:$E$300,$B229&amp;"/*",Торговля!$I$5:$I$300)+SUMIF(Торговля!$E$5:$E$300,"*/"&amp;$B229,Торговля!$H$5:$H$300)+SUMIF(Лэндинг!$E$5:$E$300,$B229&amp;"/*",Лэндинг!$I$5:$I$300)+SUMIF(Лэндинг!$E$5:$E$300,"*/"&amp;$B229,Лэндинг!$H$5:$H$300)+SUMIF(Закрытые!$E$5:$E$300,$B229&amp;"/*",Закрытые!$I$5:$I$300)+SUMIF(Закрытые!$E$5:$E$300,"*/"&amp;$B229,Закрытые!$H$5:$H$300)+SUMIF(История!$B$5:$B$300,$B229&amp;"/*",История!$F$5:$F$300)+SUMIF(История!$B$5:$B$300,"*/"&amp;$B229,История!$E$5:$E$300),8))</f>
        <v/>
      </c>
      <c r="E229" s="339">
        <f>IF($B229="","",ROUND(C229-D229,8))</f>
        <v/>
      </c>
    </row>
    <row r="230" ht="22" customHeight="1">
      <c r="B230" s="320" t="n"/>
      <c r="C230" s="240">
        <f>IF($B230="","",ROUND(SUMIF(Торговля!$E$5:$E$300,$B230&amp;"/*",Торговля!$F$5:$F$300)+SUMIF(Торговля!$E$5:$E$300,"*/"&amp;$B230,Торговля!$K$5:$K$300)+SUMIF(Лэндинг!$E$5:$E$300,$B230&amp;"/*",Лэндинг!$F$5:$F$300)+SUMIF(Лэндинг!$E$5:$E$300,"*/"&amp;$B230,Лэндинг!$K$5:$K$300)+SUMIF(Закрытые!$E$5:$E$300,$B230&amp;"/*",Закрытые!$F$5:$F$300)+SUMIF(Закрытые!$E$5:$E$300,"*/"&amp;$B230,Закрытые!$K$5:$K$300)+SUMIF(История!$B$5:$B$300,$B230&amp;"/*",История!$C$5:$C$300)+SUMIF(История!$B$5:$B$300,"*/"&amp;$B230,История!$H$5:$H$300),8))</f>
        <v/>
      </c>
      <c r="D230" s="240">
        <f>IF($B230="","",ROUND(SUMIF(Торговля!$E$5:$E$300,$B230&amp;"/*",Торговля!$I$5:$I$300)+SUMIF(Торговля!$E$5:$E$300,"*/"&amp;$B230,Торговля!$H$5:$H$300)+SUMIF(Лэндинг!$E$5:$E$300,$B230&amp;"/*",Лэндинг!$I$5:$I$300)+SUMIF(Лэндинг!$E$5:$E$300,"*/"&amp;$B230,Лэндинг!$H$5:$H$300)+SUMIF(Закрытые!$E$5:$E$300,$B230&amp;"/*",Закрытые!$I$5:$I$300)+SUMIF(Закрытые!$E$5:$E$300,"*/"&amp;$B230,Закрытые!$H$5:$H$300)+SUMIF(История!$B$5:$B$300,$B230&amp;"/*",История!$F$5:$F$300)+SUMIF(История!$B$5:$B$300,"*/"&amp;$B230,История!$E$5:$E$300),8))</f>
        <v/>
      </c>
      <c r="E230" s="339">
        <f>IF($B230="","",ROUND(C230-D230,8))</f>
        <v/>
      </c>
    </row>
    <row r="231" ht="22" customHeight="1">
      <c r="B231" s="315" t="n"/>
      <c r="C231" s="240">
        <f>IF($B231="","",ROUND(SUMIF(Торговля!$E$5:$E$300,$B231&amp;"/*",Торговля!$F$5:$F$300)+SUMIF(Торговля!$E$5:$E$300,"*/"&amp;$B231,Торговля!$K$5:$K$300)+SUMIF(Лэндинг!$E$5:$E$300,$B231&amp;"/*",Лэндинг!$F$5:$F$300)+SUMIF(Лэндинг!$E$5:$E$300,"*/"&amp;$B231,Лэндинг!$K$5:$K$300)+SUMIF(Закрытые!$E$5:$E$300,$B231&amp;"/*",Закрытые!$F$5:$F$300)+SUMIF(Закрытые!$E$5:$E$300,"*/"&amp;$B231,Закрытые!$K$5:$K$300)+SUMIF(История!$B$5:$B$300,$B231&amp;"/*",История!$C$5:$C$300)+SUMIF(История!$B$5:$B$300,"*/"&amp;$B231,История!$H$5:$H$300),8))</f>
        <v/>
      </c>
      <c r="D231" s="240">
        <f>IF($B231="","",ROUND(SUMIF(Торговля!$E$5:$E$300,$B231&amp;"/*",Торговля!$I$5:$I$300)+SUMIF(Торговля!$E$5:$E$300,"*/"&amp;$B231,Торговля!$H$5:$H$300)+SUMIF(Лэндинг!$E$5:$E$300,$B231&amp;"/*",Лэндинг!$I$5:$I$300)+SUMIF(Лэндинг!$E$5:$E$300,"*/"&amp;$B231,Лэндинг!$H$5:$H$300)+SUMIF(Закрытые!$E$5:$E$300,$B231&amp;"/*",Закрытые!$I$5:$I$300)+SUMIF(Закрытые!$E$5:$E$300,"*/"&amp;$B231,Закрытые!$H$5:$H$300)+SUMIF(История!$B$5:$B$300,$B231&amp;"/*",История!$F$5:$F$300)+SUMIF(История!$B$5:$B$300,"*/"&amp;$B231,История!$E$5:$E$300),8))</f>
        <v/>
      </c>
      <c r="E231" s="339">
        <f>IF($B231="","",ROUND(C231-D231,8))</f>
        <v/>
      </c>
    </row>
    <row r="232" ht="22" customHeight="1">
      <c r="B232" s="320" t="n"/>
      <c r="C232" s="240">
        <f>IF($B232="","",ROUND(SUMIF(Торговля!$E$5:$E$300,$B232&amp;"/*",Торговля!$F$5:$F$300)+SUMIF(Торговля!$E$5:$E$300,"*/"&amp;$B232,Торговля!$K$5:$K$300)+SUMIF(Лэндинг!$E$5:$E$300,$B232&amp;"/*",Лэндинг!$F$5:$F$300)+SUMIF(Лэндинг!$E$5:$E$300,"*/"&amp;$B232,Лэндинг!$K$5:$K$300)+SUMIF(Закрытые!$E$5:$E$300,$B232&amp;"/*",Закрытые!$F$5:$F$300)+SUMIF(Закрытые!$E$5:$E$300,"*/"&amp;$B232,Закрытые!$K$5:$K$300)+SUMIF(История!$B$5:$B$300,$B232&amp;"/*",История!$C$5:$C$300)+SUMIF(История!$B$5:$B$300,"*/"&amp;$B232,История!$H$5:$H$300),8))</f>
        <v/>
      </c>
      <c r="D232" s="240">
        <f>IF($B232="","",ROUND(SUMIF(Торговля!$E$5:$E$300,$B232&amp;"/*",Торговля!$I$5:$I$300)+SUMIF(Торговля!$E$5:$E$300,"*/"&amp;$B232,Торговля!$H$5:$H$300)+SUMIF(Лэндинг!$E$5:$E$300,$B232&amp;"/*",Лэндинг!$I$5:$I$300)+SUMIF(Лэндинг!$E$5:$E$300,"*/"&amp;$B232,Лэндинг!$H$5:$H$300)+SUMIF(Закрытые!$E$5:$E$300,$B232&amp;"/*",Закрытые!$I$5:$I$300)+SUMIF(Закрытые!$E$5:$E$300,"*/"&amp;$B232,Закрытые!$H$5:$H$300)+SUMIF(История!$B$5:$B$300,$B232&amp;"/*",История!$F$5:$F$300)+SUMIF(История!$B$5:$B$300,"*/"&amp;$B232,История!$E$5:$E$300),8))</f>
        <v/>
      </c>
      <c r="E232" s="339">
        <f>IF($B232="","",ROUND(C232-D232,8))</f>
        <v/>
      </c>
    </row>
    <row r="233" ht="22" customHeight="1">
      <c r="B233" s="315" t="n"/>
      <c r="C233" s="240">
        <f>IF($B233="","",ROUND(SUMIF(Торговля!$E$5:$E$300,$B233&amp;"/*",Торговля!$F$5:$F$300)+SUMIF(Торговля!$E$5:$E$300,"*/"&amp;$B233,Торговля!$K$5:$K$300)+SUMIF(Лэндинг!$E$5:$E$300,$B233&amp;"/*",Лэндинг!$F$5:$F$300)+SUMIF(Лэндинг!$E$5:$E$300,"*/"&amp;$B233,Лэндинг!$K$5:$K$300)+SUMIF(Закрытые!$E$5:$E$300,$B233&amp;"/*",Закрытые!$F$5:$F$300)+SUMIF(Закрытые!$E$5:$E$300,"*/"&amp;$B233,Закрытые!$K$5:$K$300)+SUMIF(История!$B$5:$B$300,$B233&amp;"/*",История!$C$5:$C$300)+SUMIF(История!$B$5:$B$300,"*/"&amp;$B233,История!$H$5:$H$300),8))</f>
        <v/>
      </c>
      <c r="D233" s="240">
        <f>IF($B233="","",ROUND(SUMIF(Торговля!$E$5:$E$300,$B233&amp;"/*",Торговля!$I$5:$I$300)+SUMIF(Торговля!$E$5:$E$300,"*/"&amp;$B233,Торговля!$H$5:$H$300)+SUMIF(Лэндинг!$E$5:$E$300,$B233&amp;"/*",Лэндинг!$I$5:$I$300)+SUMIF(Лэндинг!$E$5:$E$300,"*/"&amp;$B233,Лэндинг!$H$5:$H$300)+SUMIF(Закрытые!$E$5:$E$300,$B233&amp;"/*",Закрытые!$I$5:$I$300)+SUMIF(Закрытые!$E$5:$E$300,"*/"&amp;$B233,Закрытые!$H$5:$H$300)+SUMIF(История!$B$5:$B$300,$B233&amp;"/*",История!$F$5:$F$300)+SUMIF(История!$B$5:$B$300,"*/"&amp;$B233,История!$E$5:$E$300),8))</f>
        <v/>
      </c>
      <c r="E233" s="339">
        <f>IF($B233="","",ROUND(C233-D233,8))</f>
        <v/>
      </c>
    </row>
    <row r="234" ht="22" customHeight="1">
      <c r="B234" s="320" t="n"/>
      <c r="C234" s="240">
        <f>IF($B234="","",ROUND(SUMIF(Торговля!$E$5:$E$300,$B234&amp;"/*",Торговля!$F$5:$F$300)+SUMIF(Торговля!$E$5:$E$300,"*/"&amp;$B234,Торговля!$K$5:$K$300)+SUMIF(Лэндинг!$E$5:$E$300,$B234&amp;"/*",Лэндинг!$F$5:$F$300)+SUMIF(Лэндинг!$E$5:$E$300,"*/"&amp;$B234,Лэндинг!$K$5:$K$300)+SUMIF(Закрытые!$E$5:$E$300,$B234&amp;"/*",Закрытые!$F$5:$F$300)+SUMIF(Закрытые!$E$5:$E$300,"*/"&amp;$B234,Закрытые!$K$5:$K$300)+SUMIF(История!$B$5:$B$300,$B234&amp;"/*",История!$C$5:$C$300)+SUMIF(История!$B$5:$B$300,"*/"&amp;$B234,История!$H$5:$H$300),8))</f>
        <v/>
      </c>
      <c r="D234" s="240">
        <f>IF($B234="","",ROUND(SUMIF(Торговля!$E$5:$E$300,$B234&amp;"/*",Торговля!$I$5:$I$300)+SUMIF(Торговля!$E$5:$E$300,"*/"&amp;$B234,Торговля!$H$5:$H$300)+SUMIF(Лэндинг!$E$5:$E$300,$B234&amp;"/*",Лэндинг!$I$5:$I$300)+SUMIF(Лэндинг!$E$5:$E$300,"*/"&amp;$B234,Лэндинг!$H$5:$H$300)+SUMIF(Закрытые!$E$5:$E$300,$B234&amp;"/*",Закрытые!$I$5:$I$300)+SUMIF(Закрытые!$E$5:$E$300,"*/"&amp;$B234,Закрытые!$H$5:$H$300)+SUMIF(История!$B$5:$B$300,$B234&amp;"/*",История!$F$5:$F$300)+SUMIF(История!$B$5:$B$300,"*/"&amp;$B234,История!$E$5:$E$300),8))</f>
        <v/>
      </c>
      <c r="E234" s="339">
        <f>IF($B234="","",ROUND(C234-D234,8))</f>
        <v/>
      </c>
    </row>
    <row r="235" ht="22" customHeight="1">
      <c r="B235" s="315" t="n"/>
      <c r="C235" s="240">
        <f>IF($B235="","",ROUND(SUMIF(Торговля!$E$5:$E$300,$B235&amp;"/*",Торговля!$F$5:$F$300)+SUMIF(Торговля!$E$5:$E$300,"*/"&amp;$B235,Торговля!$K$5:$K$300)+SUMIF(Лэндинг!$E$5:$E$300,$B235&amp;"/*",Лэндинг!$F$5:$F$300)+SUMIF(Лэндинг!$E$5:$E$300,"*/"&amp;$B235,Лэндинг!$K$5:$K$300)+SUMIF(Закрытые!$E$5:$E$300,$B235&amp;"/*",Закрытые!$F$5:$F$300)+SUMIF(Закрытые!$E$5:$E$300,"*/"&amp;$B235,Закрытые!$K$5:$K$300)+SUMIF(История!$B$5:$B$300,$B235&amp;"/*",История!$C$5:$C$300)+SUMIF(История!$B$5:$B$300,"*/"&amp;$B235,История!$H$5:$H$300),8))</f>
        <v/>
      </c>
      <c r="D235" s="240">
        <f>IF($B235="","",ROUND(SUMIF(Торговля!$E$5:$E$300,$B235&amp;"/*",Торговля!$I$5:$I$300)+SUMIF(Торговля!$E$5:$E$300,"*/"&amp;$B235,Торговля!$H$5:$H$300)+SUMIF(Лэндинг!$E$5:$E$300,$B235&amp;"/*",Лэндинг!$I$5:$I$300)+SUMIF(Лэндинг!$E$5:$E$300,"*/"&amp;$B235,Лэндинг!$H$5:$H$300)+SUMIF(Закрытые!$E$5:$E$300,$B235&amp;"/*",Закрытые!$I$5:$I$300)+SUMIF(Закрытые!$E$5:$E$300,"*/"&amp;$B235,Закрытые!$H$5:$H$300)+SUMIF(История!$B$5:$B$300,$B235&amp;"/*",История!$F$5:$F$300)+SUMIF(История!$B$5:$B$300,"*/"&amp;$B235,История!$E$5:$E$300),8))</f>
        <v/>
      </c>
      <c r="E235" s="339">
        <f>IF($B235="","",ROUND(C235-D235,8))</f>
        <v/>
      </c>
    </row>
    <row r="236" ht="22" customHeight="1">
      <c r="B236" s="320" t="n"/>
      <c r="C236" s="240">
        <f>IF($B236="","",ROUND(SUMIF(Торговля!$E$5:$E$300,$B236&amp;"/*",Торговля!$F$5:$F$300)+SUMIF(Торговля!$E$5:$E$300,"*/"&amp;$B236,Торговля!$K$5:$K$300)+SUMIF(Лэндинг!$E$5:$E$300,$B236&amp;"/*",Лэндинг!$F$5:$F$300)+SUMIF(Лэндинг!$E$5:$E$300,"*/"&amp;$B236,Лэндинг!$K$5:$K$300)+SUMIF(Закрытые!$E$5:$E$300,$B236&amp;"/*",Закрытые!$F$5:$F$300)+SUMIF(Закрытые!$E$5:$E$300,"*/"&amp;$B236,Закрытые!$K$5:$K$300)+SUMIF(История!$B$5:$B$300,$B236&amp;"/*",История!$C$5:$C$300)+SUMIF(История!$B$5:$B$300,"*/"&amp;$B236,История!$H$5:$H$300),8))</f>
        <v/>
      </c>
      <c r="D236" s="240">
        <f>IF($B236="","",ROUND(SUMIF(Торговля!$E$5:$E$300,$B236&amp;"/*",Торговля!$I$5:$I$300)+SUMIF(Торговля!$E$5:$E$300,"*/"&amp;$B236,Торговля!$H$5:$H$300)+SUMIF(Лэндинг!$E$5:$E$300,$B236&amp;"/*",Лэндинг!$I$5:$I$300)+SUMIF(Лэндинг!$E$5:$E$300,"*/"&amp;$B236,Лэндинг!$H$5:$H$300)+SUMIF(Закрытые!$E$5:$E$300,$B236&amp;"/*",Закрытые!$I$5:$I$300)+SUMIF(Закрытые!$E$5:$E$300,"*/"&amp;$B236,Закрытые!$H$5:$H$300)+SUMIF(История!$B$5:$B$300,$B236&amp;"/*",История!$F$5:$F$300)+SUMIF(История!$B$5:$B$300,"*/"&amp;$B236,История!$E$5:$E$300),8))</f>
        <v/>
      </c>
      <c r="E236" s="339">
        <f>IF($B236="","",ROUND(C236-D236,8))</f>
        <v/>
      </c>
    </row>
    <row r="237" ht="22" customHeight="1">
      <c r="B237" s="315" t="n"/>
      <c r="C237" s="240">
        <f>IF($B237="","",ROUND(SUMIF(Торговля!$E$5:$E$300,$B237&amp;"/*",Торговля!$F$5:$F$300)+SUMIF(Торговля!$E$5:$E$300,"*/"&amp;$B237,Торговля!$K$5:$K$300)+SUMIF(Лэндинг!$E$5:$E$300,$B237&amp;"/*",Лэндинг!$F$5:$F$300)+SUMIF(Лэндинг!$E$5:$E$300,"*/"&amp;$B237,Лэндинг!$K$5:$K$300)+SUMIF(Закрытые!$E$5:$E$300,$B237&amp;"/*",Закрытые!$F$5:$F$300)+SUMIF(Закрытые!$E$5:$E$300,"*/"&amp;$B237,Закрытые!$K$5:$K$300)+SUMIF(История!$B$5:$B$300,$B237&amp;"/*",История!$C$5:$C$300)+SUMIF(История!$B$5:$B$300,"*/"&amp;$B237,История!$H$5:$H$300),8))</f>
        <v/>
      </c>
      <c r="D237" s="240">
        <f>IF($B237="","",ROUND(SUMIF(Торговля!$E$5:$E$300,$B237&amp;"/*",Торговля!$I$5:$I$300)+SUMIF(Торговля!$E$5:$E$300,"*/"&amp;$B237,Торговля!$H$5:$H$300)+SUMIF(Лэндинг!$E$5:$E$300,$B237&amp;"/*",Лэндинг!$I$5:$I$300)+SUMIF(Лэндинг!$E$5:$E$300,"*/"&amp;$B237,Лэндинг!$H$5:$H$300)+SUMIF(Закрытые!$E$5:$E$300,$B237&amp;"/*",Закрытые!$I$5:$I$300)+SUMIF(Закрытые!$E$5:$E$300,"*/"&amp;$B237,Закрытые!$H$5:$H$300)+SUMIF(История!$B$5:$B$300,$B237&amp;"/*",История!$F$5:$F$300)+SUMIF(История!$B$5:$B$300,"*/"&amp;$B237,История!$E$5:$E$300),8))</f>
        <v/>
      </c>
      <c r="E237" s="339">
        <f>IF($B237="","",ROUND(C237-D237,8))</f>
        <v/>
      </c>
    </row>
    <row r="238" ht="22" customHeight="1">
      <c r="B238" s="320" t="n"/>
      <c r="C238" s="240">
        <f>IF($B238="","",ROUND(SUMIF(Торговля!$E$5:$E$300,$B238&amp;"/*",Торговля!$F$5:$F$300)+SUMIF(Торговля!$E$5:$E$300,"*/"&amp;$B238,Торговля!$K$5:$K$300)+SUMIF(Лэндинг!$E$5:$E$300,$B238&amp;"/*",Лэндинг!$F$5:$F$300)+SUMIF(Лэндинг!$E$5:$E$300,"*/"&amp;$B238,Лэндинг!$K$5:$K$300)+SUMIF(Закрытые!$E$5:$E$300,$B238&amp;"/*",Закрытые!$F$5:$F$300)+SUMIF(Закрытые!$E$5:$E$300,"*/"&amp;$B238,Закрытые!$K$5:$K$300)+SUMIF(История!$B$5:$B$300,$B238&amp;"/*",История!$C$5:$C$300)+SUMIF(История!$B$5:$B$300,"*/"&amp;$B238,История!$H$5:$H$300),8))</f>
        <v/>
      </c>
      <c r="D238" s="240">
        <f>IF($B238="","",ROUND(SUMIF(Торговля!$E$5:$E$300,$B238&amp;"/*",Торговля!$I$5:$I$300)+SUMIF(Торговля!$E$5:$E$300,"*/"&amp;$B238,Торговля!$H$5:$H$300)+SUMIF(Лэндинг!$E$5:$E$300,$B238&amp;"/*",Лэндинг!$I$5:$I$300)+SUMIF(Лэндинг!$E$5:$E$300,"*/"&amp;$B238,Лэндинг!$H$5:$H$300)+SUMIF(Закрытые!$E$5:$E$300,$B238&amp;"/*",Закрытые!$I$5:$I$300)+SUMIF(Закрытые!$E$5:$E$300,"*/"&amp;$B238,Закрытые!$H$5:$H$300)+SUMIF(История!$B$5:$B$300,$B238&amp;"/*",История!$F$5:$F$300)+SUMIF(История!$B$5:$B$300,"*/"&amp;$B238,История!$E$5:$E$300),8))</f>
        <v/>
      </c>
      <c r="E238" s="339">
        <f>IF($B238="","",ROUND(C238-D238,8))</f>
        <v/>
      </c>
    </row>
    <row r="239" ht="22" customHeight="1">
      <c r="B239" s="315" t="n"/>
      <c r="C239" s="240">
        <f>IF($B239="","",ROUND(SUMIF(Торговля!$E$5:$E$300,$B239&amp;"/*",Торговля!$F$5:$F$300)+SUMIF(Торговля!$E$5:$E$300,"*/"&amp;$B239,Торговля!$K$5:$K$300)+SUMIF(Лэндинг!$E$5:$E$300,$B239&amp;"/*",Лэндинг!$F$5:$F$300)+SUMIF(Лэндинг!$E$5:$E$300,"*/"&amp;$B239,Лэндинг!$K$5:$K$300)+SUMIF(Закрытые!$E$5:$E$300,$B239&amp;"/*",Закрытые!$F$5:$F$300)+SUMIF(Закрытые!$E$5:$E$300,"*/"&amp;$B239,Закрытые!$K$5:$K$300)+SUMIF(История!$B$5:$B$300,$B239&amp;"/*",История!$C$5:$C$300)+SUMIF(История!$B$5:$B$300,"*/"&amp;$B239,История!$H$5:$H$300),8))</f>
        <v/>
      </c>
      <c r="D239" s="240">
        <f>IF($B239="","",ROUND(SUMIF(Торговля!$E$5:$E$300,$B239&amp;"/*",Торговля!$I$5:$I$300)+SUMIF(Торговля!$E$5:$E$300,"*/"&amp;$B239,Торговля!$H$5:$H$300)+SUMIF(Лэндинг!$E$5:$E$300,$B239&amp;"/*",Лэндинг!$I$5:$I$300)+SUMIF(Лэндинг!$E$5:$E$300,"*/"&amp;$B239,Лэндинг!$H$5:$H$300)+SUMIF(Закрытые!$E$5:$E$300,$B239&amp;"/*",Закрытые!$I$5:$I$300)+SUMIF(Закрытые!$E$5:$E$300,"*/"&amp;$B239,Закрытые!$H$5:$H$300)+SUMIF(История!$B$5:$B$300,$B239&amp;"/*",История!$F$5:$F$300)+SUMIF(История!$B$5:$B$300,"*/"&amp;$B239,История!$E$5:$E$300),8))</f>
        <v/>
      </c>
      <c r="E239" s="339">
        <f>IF($B239="","",ROUND(C239-D239,8))</f>
        <v/>
      </c>
    </row>
    <row r="240" ht="22" customHeight="1">
      <c r="B240" s="320" t="n"/>
      <c r="C240" s="240">
        <f>IF($B240="","",ROUND(SUMIF(Торговля!$E$5:$E$300,$B240&amp;"/*",Торговля!$F$5:$F$300)+SUMIF(Торговля!$E$5:$E$300,"*/"&amp;$B240,Торговля!$K$5:$K$300)+SUMIF(Лэндинг!$E$5:$E$300,$B240&amp;"/*",Лэндинг!$F$5:$F$300)+SUMIF(Лэндинг!$E$5:$E$300,"*/"&amp;$B240,Лэндинг!$K$5:$K$300)+SUMIF(Закрытые!$E$5:$E$300,$B240&amp;"/*",Закрытые!$F$5:$F$300)+SUMIF(Закрытые!$E$5:$E$300,"*/"&amp;$B240,Закрытые!$K$5:$K$300)+SUMIF(История!$B$5:$B$300,$B240&amp;"/*",История!$C$5:$C$300)+SUMIF(История!$B$5:$B$300,"*/"&amp;$B240,История!$H$5:$H$300),8))</f>
        <v/>
      </c>
      <c r="D240" s="240">
        <f>IF($B240="","",ROUND(SUMIF(Торговля!$E$5:$E$300,$B240&amp;"/*",Торговля!$I$5:$I$300)+SUMIF(Торговля!$E$5:$E$300,"*/"&amp;$B240,Торговля!$H$5:$H$300)+SUMIF(Лэндинг!$E$5:$E$300,$B240&amp;"/*",Лэндинг!$I$5:$I$300)+SUMIF(Лэндинг!$E$5:$E$300,"*/"&amp;$B240,Лэндинг!$H$5:$H$300)+SUMIF(Закрытые!$E$5:$E$300,$B240&amp;"/*",Закрытые!$I$5:$I$300)+SUMIF(Закрытые!$E$5:$E$300,"*/"&amp;$B240,Закрытые!$H$5:$H$300)+SUMIF(История!$B$5:$B$300,$B240&amp;"/*",История!$F$5:$F$300)+SUMIF(История!$B$5:$B$300,"*/"&amp;$B240,История!$E$5:$E$300),8))</f>
        <v/>
      </c>
      <c r="E240" s="339">
        <f>IF($B240="","",ROUND(C240-D240,8))</f>
        <v/>
      </c>
    </row>
    <row r="241" ht="22" customHeight="1">
      <c r="B241" s="315" t="n"/>
      <c r="C241" s="240">
        <f>IF($B241="","",ROUND(SUMIF(Торговля!$E$5:$E$300,$B241&amp;"/*",Торговля!$F$5:$F$300)+SUMIF(Торговля!$E$5:$E$300,"*/"&amp;$B241,Торговля!$K$5:$K$300)+SUMIF(Лэндинг!$E$5:$E$300,$B241&amp;"/*",Лэндинг!$F$5:$F$300)+SUMIF(Лэндинг!$E$5:$E$300,"*/"&amp;$B241,Лэндинг!$K$5:$K$300)+SUMIF(Закрытые!$E$5:$E$300,$B241&amp;"/*",Закрытые!$F$5:$F$300)+SUMIF(Закрытые!$E$5:$E$300,"*/"&amp;$B241,Закрытые!$K$5:$K$300)+SUMIF(История!$B$5:$B$300,$B241&amp;"/*",История!$C$5:$C$300)+SUMIF(История!$B$5:$B$300,"*/"&amp;$B241,История!$H$5:$H$300),8))</f>
        <v/>
      </c>
      <c r="D241" s="240">
        <f>IF($B241="","",ROUND(SUMIF(Торговля!$E$5:$E$300,$B241&amp;"/*",Торговля!$I$5:$I$300)+SUMIF(Торговля!$E$5:$E$300,"*/"&amp;$B241,Торговля!$H$5:$H$300)+SUMIF(Лэндинг!$E$5:$E$300,$B241&amp;"/*",Лэндинг!$I$5:$I$300)+SUMIF(Лэндинг!$E$5:$E$300,"*/"&amp;$B241,Лэндинг!$H$5:$H$300)+SUMIF(Закрытые!$E$5:$E$300,$B241&amp;"/*",Закрытые!$I$5:$I$300)+SUMIF(Закрытые!$E$5:$E$300,"*/"&amp;$B241,Закрытые!$H$5:$H$300)+SUMIF(История!$B$5:$B$300,$B241&amp;"/*",История!$F$5:$F$300)+SUMIF(История!$B$5:$B$300,"*/"&amp;$B241,История!$E$5:$E$300),8))</f>
        <v/>
      </c>
      <c r="E241" s="339">
        <f>IF($B241="","",ROUND(C241-D241,8))</f>
        <v/>
      </c>
    </row>
    <row r="242" ht="22" customHeight="1">
      <c r="B242" s="320" t="n"/>
      <c r="C242" s="240">
        <f>IF($B242="","",ROUND(SUMIF(Торговля!$E$5:$E$300,$B242&amp;"/*",Торговля!$F$5:$F$300)+SUMIF(Торговля!$E$5:$E$300,"*/"&amp;$B242,Торговля!$K$5:$K$300)+SUMIF(Лэндинг!$E$5:$E$300,$B242&amp;"/*",Лэндинг!$F$5:$F$300)+SUMIF(Лэндинг!$E$5:$E$300,"*/"&amp;$B242,Лэндинг!$K$5:$K$300)+SUMIF(Закрытые!$E$5:$E$300,$B242&amp;"/*",Закрытые!$F$5:$F$300)+SUMIF(Закрытые!$E$5:$E$300,"*/"&amp;$B242,Закрытые!$K$5:$K$300)+SUMIF(История!$B$5:$B$300,$B242&amp;"/*",История!$C$5:$C$300)+SUMIF(История!$B$5:$B$300,"*/"&amp;$B242,История!$H$5:$H$300),8))</f>
        <v/>
      </c>
      <c r="D242" s="240">
        <f>IF($B242="","",ROUND(SUMIF(Торговля!$E$5:$E$300,$B242&amp;"/*",Торговля!$I$5:$I$300)+SUMIF(Торговля!$E$5:$E$300,"*/"&amp;$B242,Торговля!$H$5:$H$300)+SUMIF(Лэндинг!$E$5:$E$300,$B242&amp;"/*",Лэндинг!$I$5:$I$300)+SUMIF(Лэндинг!$E$5:$E$300,"*/"&amp;$B242,Лэндинг!$H$5:$H$300)+SUMIF(Закрытые!$E$5:$E$300,$B242&amp;"/*",Закрытые!$I$5:$I$300)+SUMIF(Закрытые!$E$5:$E$300,"*/"&amp;$B242,Закрытые!$H$5:$H$300)+SUMIF(История!$B$5:$B$300,$B242&amp;"/*",История!$F$5:$F$300)+SUMIF(История!$B$5:$B$300,"*/"&amp;$B242,История!$E$5:$E$300),8))</f>
        <v/>
      </c>
      <c r="E242" s="339">
        <f>IF($B242="","",ROUND(C242-D242,8))</f>
        <v/>
      </c>
    </row>
    <row r="243" ht="22" customHeight="1">
      <c r="B243" s="315" t="n"/>
      <c r="C243" s="240">
        <f>IF($B243="","",ROUND(SUMIF(Торговля!$E$5:$E$300,$B243&amp;"/*",Торговля!$F$5:$F$300)+SUMIF(Торговля!$E$5:$E$300,"*/"&amp;$B243,Торговля!$K$5:$K$300)+SUMIF(Лэндинг!$E$5:$E$300,$B243&amp;"/*",Лэндинг!$F$5:$F$300)+SUMIF(Лэндинг!$E$5:$E$300,"*/"&amp;$B243,Лэндинг!$K$5:$K$300)+SUMIF(Закрытые!$E$5:$E$300,$B243&amp;"/*",Закрытые!$F$5:$F$300)+SUMIF(Закрытые!$E$5:$E$300,"*/"&amp;$B243,Закрытые!$K$5:$K$300)+SUMIF(История!$B$5:$B$300,$B243&amp;"/*",История!$C$5:$C$300)+SUMIF(История!$B$5:$B$300,"*/"&amp;$B243,История!$H$5:$H$300),8))</f>
        <v/>
      </c>
      <c r="D243" s="240">
        <f>IF($B243="","",ROUND(SUMIF(Торговля!$E$5:$E$300,$B243&amp;"/*",Торговля!$I$5:$I$300)+SUMIF(Торговля!$E$5:$E$300,"*/"&amp;$B243,Торговля!$H$5:$H$300)+SUMIF(Лэндинг!$E$5:$E$300,$B243&amp;"/*",Лэндинг!$I$5:$I$300)+SUMIF(Лэндинг!$E$5:$E$300,"*/"&amp;$B243,Лэндинг!$H$5:$H$300)+SUMIF(Закрытые!$E$5:$E$300,$B243&amp;"/*",Закрытые!$I$5:$I$300)+SUMIF(Закрытые!$E$5:$E$300,"*/"&amp;$B243,Закрытые!$H$5:$H$300)+SUMIF(История!$B$5:$B$300,$B243&amp;"/*",История!$F$5:$F$300)+SUMIF(История!$B$5:$B$300,"*/"&amp;$B243,История!$E$5:$E$300),8))</f>
        <v/>
      </c>
      <c r="E243" s="339">
        <f>IF($B243="","",ROUND(C243-D243,8))</f>
        <v/>
      </c>
    </row>
    <row r="244" ht="22" customHeight="1">
      <c r="B244" s="320" t="n"/>
      <c r="C244" s="240">
        <f>IF($B244="","",ROUND(SUMIF(Торговля!$E$5:$E$300,$B244&amp;"/*",Торговля!$F$5:$F$300)+SUMIF(Торговля!$E$5:$E$300,"*/"&amp;$B244,Торговля!$K$5:$K$300)+SUMIF(Лэндинг!$E$5:$E$300,$B244&amp;"/*",Лэндинг!$F$5:$F$300)+SUMIF(Лэндинг!$E$5:$E$300,"*/"&amp;$B244,Лэндинг!$K$5:$K$300)+SUMIF(Закрытые!$E$5:$E$300,$B244&amp;"/*",Закрытые!$F$5:$F$300)+SUMIF(Закрытые!$E$5:$E$300,"*/"&amp;$B244,Закрытые!$K$5:$K$300)+SUMIF(История!$B$5:$B$300,$B244&amp;"/*",История!$C$5:$C$300)+SUMIF(История!$B$5:$B$300,"*/"&amp;$B244,История!$H$5:$H$300),8))</f>
        <v/>
      </c>
      <c r="D244" s="240">
        <f>IF($B244="","",ROUND(SUMIF(Торговля!$E$5:$E$300,$B244&amp;"/*",Торговля!$I$5:$I$300)+SUMIF(Торговля!$E$5:$E$300,"*/"&amp;$B244,Торговля!$H$5:$H$300)+SUMIF(Лэндинг!$E$5:$E$300,$B244&amp;"/*",Лэндинг!$I$5:$I$300)+SUMIF(Лэндинг!$E$5:$E$300,"*/"&amp;$B244,Лэндинг!$H$5:$H$300)+SUMIF(Закрытые!$E$5:$E$300,$B244&amp;"/*",Закрытые!$I$5:$I$300)+SUMIF(Закрытые!$E$5:$E$300,"*/"&amp;$B244,Закрытые!$H$5:$H$300)+SUMIF(История!$B$5:$B$300,$B244&amp;"/*",История!$F$5:$F$300)+SUMIF(История!$B$5:$B$300,"*/"&amp;$B244,История!$E$5:$E$300),8))</f>
        <v/>
      </c>
      <c r="E244" s="339">
        <f>IF($B244="","",ROUND(C244-D244,8))</f>
        <v/>
      </c>
    </row>
    <row r="245" ht="22" customHeight="1">
      <c r="B245" s="315" t="n"/>
      <c r="C245" s="240">
        <f>IF($B245="","",ROUND(SUMIF(Торговля!$E$5:$E$300,$B245&amp;"/*",Торговля!$F$5:$F$300)+SUMIF(Торговля!$E$5:$E$300,"*/"&amp;$B245,Торговля!$K$5:$K$300)+SUMIF(Лэндинг!$E$5:$E$300,$B245&amp;"/*",Лэндинг!$F$5:$F$300)+SUMIF(Лэндинг!$E$5:$E$300,"*/"&amp;$B245,Лэндинг!$K$5:$K$300)+SUMIF(Закрытые!$E$5:$E$300,$B245&amp;"/*",Закрытые!$F$5:$F$300)+SUMIF(Закрытые!$E$5:$E$300,"*/"&amp;$B245,Закрытые!$K$5:$K$300)+SUMIF(История!$B$5:$B$300,$B245&amp;"/*",История!$C$5:$C$300)+SUMIF(История!$B$5:$B$300,"*/"&amp;$B245,История!$H$5:$H$300),8))</f>
        <v/>
      </c>
      <c r="D245" s="240">
        <f>IF($B245="","",ROUND(SUMIF(Торговля!$E$5:$E$300,$B245&amp;"/*",Торговля!$I$5:$I$300)+SUMIF(Торговля!$E$5:$E$300,"*/"&amp;$B245,Торговля!$H$5:$H$300)+SUMIF(Лэндинг!$E$5:$E$300,$B245&amp;"/*",Лэндинг!$I$5:$I$300)+SUMIF(Лэндинг!$E$5:$E$300,"*/"&amp;$B245,Лэндинг!$H$5:$H$300)+SUMIF(Закрытые!$E$5:$E$300,$B245&amp;"/*",Закрытые!$I$5:$I$300)+SUMIF(Закрытые!$E$5:$E$300,"*/"&amp;$B245,Закрытые!$H$5:$H$300)+SUMIF(История!$B$5:$B$300,$B245&amp;"/*",История!$F$5:$F$300)+SUMIF(История!$B$5:$B$300,"*/"&amp;$B245,История!$E$5:$E$300),8))</f>
        <v/>
      </c>
      <c r="E245" s="339">
        <f>IF($B245="","",ROUND(C245-D245,8))</f>
        <v/>
      </c>
    </row>
    <row r="246" ht="22" customHeight="1">
      <c r="B246" s="320" t="n"/>
      <c r="C246" s="240">
        <f>IF($B246="","",ROUND(SUMIF(Торговля!$E$5:$E$300,$B246&amp;"/*",Торговля!$F$5:$F$300)+SUMIF(Торговля!$E$5:$E$300,"*/"&amp;$B246,Торговля!$K$5:$K$300)+SUMIF(Лэндинг!$E$5:$E$300,$B246&amp;"/*",Лэндинг!$F$5:$F$300)+SUMIF(Лэндинг!$E$5:$E$300,"*/"&amp;$B246,Лэндинг!$K$5:$K$300)+SUMIF(Закрытые!$E$5:$E$300,$B246&amp;"/*",Закрытые!$F$5:$F$300)+SUMIF(Закрытые!$E$5:$E$300,"*/"&amp;$B246,Закрытые!$K$5:$K$300)+SUMIF(История!$B$5:$B$300,$B246&amp;"/*",История!$C$5:$C$300)+SUMIF(История!$B$5:$B$300,"*/"&amp;$B246,История!$H$5:$H$300),8))</f>
        <v/>
      </c>
      <c r="D246" s="240">
        <f>IF($B246="","",ROUND(SUMIF(Торговля!$E$5:$E$300,$B246&amp;"/*",Торговля!$I$5:$I$300)+SUMIF(Торговля!$E$5:$E$300,"*/"&amp;$B246,Торговля!$H$5:$H$300)+SUMIF(Лэндинг!$E$5:$E$300,$B246&amp;"/*",Лэндинг!$I$5:$I$300)+SUMIF(Лэндинг!$E$5:$E$300,"*/"&amp;$B246,Лэндинг!$H$5:$H$300)+SUMIF(Закрытые!$E$5:$E$300,$B246&amp;"/*",Закрытые!$I$5:$I$300)+SUMIF(Закрытые!$E$5:$E$300,"*/"&amp;$B246,Закрытые!$H$5:$H$300)+SUMIF(История!$B$5:$B$300,$B246&amp;"/*",История!$F$5:$F$300)+SUMIF(История!$B$5:$B$300,"*/"&amp;$B246,История!$E$5:$E$300),8))</f>
        <v/>
      </c>
      <c r="E246" s="339">
        <f>IF($B246="","",ROUND(C246-D246,8))</f>
        <v/>
      </c>
    </row>
    <row r="247" ht="22" customHeight="1">
      <c r="B247" s="315" t="n"/>
      <c r="C247" s="240">
        <f>IF($B247="","",ROUND(SUMIF(Торговля!$E$5:$E$300,$B247&amp;"/*",Торговля!$F$5:$F$300)+SUMIF(Торговля!$E$5:$E$300,"*/"&amp;$B247,Торговля!$K$5:$K$300)+SUMIF(Лэндинг!$E$5:$E$300,$B247&amp;"/*",Лэндинг!$F$5:$F$300)+SUMIF(Лэндинг!$E$5:$E$300,"*/"&amp;$B247,Лэндинг!$K$5:$K$300)+SUMIF(Закрытые!$E$5:$E$300,$B247&amp;"/*",Закрытые!$F$5:$F$300)+SUMIF(Закрытые!$E$5:$E$300,"*/"&amp;$B247,Закрытые!$K$5:$K$300)+SUMIF(История!$B$5:$B$300,$B247&amp;"/*",История!$C$5:$C$300)+SUMIF(История!$B$5:$B$300,"*/"&amp;$B247,История!$H$5:$H$300),8))</f>
        <v/>
      </c>
      <c r="D247" s="240">
        <f>IF($B247="","",ROUND(SUMIF(Торговля!$E$5:$E$300,$B247&amp;"/*",Торговля!$I$5:$I$300)+SUMIF(Торговля!$E$5:$E$300,"*/"&amp;$B247,Торговля!$H$5:$H$300)+SUMIF(Лэндинг!$E$5:$E$300,$B247&amp;"/*",Лэндинг!$I$5:$I$300)+SUMIF(Лэндинг!$E$5:$E$300,"*/"&amp;$B247,Лэндинг!$H$5:$H$300)+SUMIF(Закрытые!$E$5:$E$300,$B247&amp;"/*",Закрытые!$I$5:$I$300)+SUMIF(Закрытые!$E$5:$E$300,"*/"&amp;$B247,Закрытые!$H$5:$H$300)+SUMIF(История!$B$5:$B$300,$B247&amp;"/*",История!$F$5:$F$300)+SUMIF(История!$B$5:$B$300,"*/"&amp;$B247,История!$E$5:$E$300),8))</f>
        <v/>
      </c>
      <c r="E247" s="339">
        <f>IF($B247="","",ROUND(C247-D247,8))</f>
        <v/>
      </c>
    </row>
    <row r="248" ht="22" customHeight="1">
      <c r="B248" s="320" t="n"/>
      <c r="C248" s="240">
        <f>IF($B248="","",ROUND(SUMIF(Торговля!$E$5:$E$300,$B248&amp;"/*",Торговля!$F$5:$F$300)+SUMIF(Торговля!$E$5:$E$300,"*/"&amp;$B248,Торговля!$K$5:$K$300)+SUMIF(Лэндинг!$E$5:$E$300,$B248&amp;"/*",Лэндинг!$F$5:$F$300)+SUMIF(Лэндинг!$E$5:$E$300,"*/"&amp;$B248,Лэндинг!$K$5:$K$300)+SUMIF(Закрытые!$E$5:$E$300,$B248&amp;"/*",Закрытые!$F$5:$F$300)+SUMIF(Закрытые!$E$5:$E$300,"*/"&amp;$B248,Закрытые!$K$5:$K$300)+SUMIF(История!$B$5:$B$300,$B248&amp;"/*",История!$C$5:$C$300)+SUMIF(История!$B$5:$B$300,"*/"&amp;$B248,История!$H$5:$H$300),8))</f>
        <v/>
      </c>
      <c r="D248" s="240">
        <f>IF($B248="","",ROUND(SUMIF(Торговля!$E$5:$E$300,$B248&amp;"/*",Торговля!$I$5:$I$300)+SUMIF(Торговля!$E$5:$E$300,"*/"&amp;$B248,Торговля!$H$5:$H$300)+SUMIF(Лэндинг!$E$5:$E$300,$B248&amp;"/*",Лэндинг!$I$5:$I$300)+SUMIF(Лэндинг!$E$5:$E$300,"*/"&amp;$B248,Лэндинг!$H$5:$H$300)+SUMIF(Закрытые!$E$5:$E$300,$B248&amp;"/*",Закрытые!$I$5:$I$300)+SUMIF(Закрытые!$E$5:$E$300,"*/"&amp;$B248,Закрытые!$H$5:$H$300)+SUMIF(История!$B$5:$B$300,$B248&amp;"/*",История!$F$5:$F$300)+SUMIF(История!$B$5:$B$300,"*/"&amp;$B248,История!$E$5:$E$300),8))</f>
        <v/>
      </c>
      <c r="E248" s="339">
        <f>IF($B248="","",ROUND(C248-D248,8))</f>
        <v/>
      </c>
    </row>
    <row r="249" ht="22" customHeight="1">
      <c r="B249" s="315" t="n"/>
      <c r="C249" s="240">
        <f>IF($B249="","",ROUND(SUMIF(Торговля!$E$5:$E$300,$B249&amp;"/*",Торговля!$F$5:$F$300)+SUMIF(Торговля!$E$5:$E$300,"*/"&amp;$B249,Торговля!$K$5:$K$300)+SUMIF(Лэндинг!$E$5:$E$300,$B249&amp;"/*",Лэндинг!$F$5:$F$300)+SUMIF(Лэндинг!$E$5:$E$300,"*/"&amp;$B249,Лэндинг!$K$5:$K$300)+SUMIF(Закрытые!$E$5:$E$300,$B249&amp;"/*",Закрытые!$F$5:$F$300)+SUMIF(Закрытые!$E$5:$E$300,"*/"&amp;$B249,Закрытые!$K$5:$K$300)+SUMIF(История!$B$5:$B$300,$B249&amp;"/*",История!$C$5:$C$300)+SUMIF(История!$B$5:$B$300,"*/"&amp;$B249,История!$H$5:$H$300),8))</f>
        <v/>
      </c>
      <c r="D249" s="240">
        <f>IF($B249="","",ROUND(SUMIF(Торговля!$E$5:$E$300,$B249&amp;"/*",Торговля!$I$5:$I$300)+SUMIF(Торговля!$E$5:$E$300,"*/"&amp;$B249,Торговля!$H$5:$H$300)+SUMIF(Лэндинг!$E$5:$E$300,$B249&amp;"/*",Лэндинг!$I$5:$I$300)+SUMIF(Лэндинг!$E$5:$E$300,"*/"&amp;$B249,Лэндинг!$H$5:$H$300)+SUMIF(Закрытые!$E$5:$E$300,$B249&amp;"/*",Закрытые!$I$5:$I$300)+SUMIF(Закрытые!$E$5:$E$300,"*/"&amp;$B249,Закрытые!$H$5:$H$300)+SUMIF(История!$B$5:$B$300,$B249&amp;"/*",История!$F$5:$F$300)+SUMIF(История!$B$5:$B$300,"*/"&amp;$B249,История!$E$5:$E$300),8))</f>
        <v/>
      </c>
      <c r="E249" s="339">
        <f>IF($B249="","",ROUND(C249-D249,8))</f>
        <v/>
      </c>
    </row>
    <row r="250" ht="22" customHeight="1">
      <c r="B250" s="320" t="n"/>
      <c r="C250" s="240">
        <f>IF($B250="","",ROUND(SUMIF(Торговля!$E$5:$E$300,$B250&amp;"/*",Торговля!$F$5:$F$300)+SUMIF(Торговля!$E$5:$E$300,"*/"&amp;$B250,Торговля!$K$5:$K$300)+SUMIF(Лэндинг!$E$5:$E$300,$B250&amp;"/*",Лэндинг!$F$5:$F$300)+SUMIF(Лэндинг!$E$5:$E$300,"*/"&amp;$B250,Лэндинг!$K$5:$K$300)+SUMIF(Закрытые!$E$5:$E$300,$B250&amp;"/*",Закрытые!$F$5:$F$300)+SUMIF(Закрытые!$E$5:$E$300,"*/"&amp;$B250,Закрытые!$K$5:$K$300)+SUMIF(История!$B$5:$B$300,$B250&amp;"/*",История!$C$5:$C$300)+SUMIF(История!$B$5:$B$300,"*/"&amp;$B250,История!$H$5:$H$300),8))</f>
        <v/>
      </c>
      <c r="D250" s="240">
        <f>IF($B250="","",ROUND(SUMIF(Торговля!$E$5:$E$300,$B250&amp;"/*",Торговля!$I$5:$I$300)+SUMIF(Торговля!$E$5:$E$300,"*/"&amp;$B250,Торговля!$H$5:$H$300)+SUMIF(Лэндинг!$E$5:$E$300,$B250&amp;"/*",Лэндинг!$I$5:$I$300)+SUMIF(Лэндинг!$E$5:$E$300,"*/"&amp;$B250,Лэндинг!$H$5:$H$300)+SUMIF(Закрытые!$E$5:$E$300,$B250&amp;"/*",Закрытые!$I$5:$I$300)+SUMIF(Закрытые!$E$5:$E$300,"*/"&amp;$B250,Закрытые!$H$5:$H$300)+SUMIF(История!$B$5:$B$300,$B250&amp;"/*",История!$F$5:$F$300)+SUMIF(История!$B$5:$B$300,"*/"&amp;$B250,История!$E$5:$E$300),8))</f>
        <v/>
      </c>
      <c r="E250" s="339">
        <f>IF($B250="","",ROUND(C250-D250,8))</f>
        <v/>
      </c>
    </row>
    <row r="251" ht="22" customHeight="1">
      <c r="B251" s="315" t="n"/>
      <c r="C251" s="240">
        <f>IF($B251="","",ROUND(SUMIF(Торговля!$E$5:$E$300,$B251&amp;"/*",Торговля!$F$5:$F$300)+SUMIF(Торговля!$E$5:$E$300,"*/"&amp;$B251,Торговля!$K$5:$K$300)+SUMIF(Лэндинг!$E$5:$E$300,$B251&amp;"/*",Лэндинг!$F$5:$F$300)+SUMIF(Лэндинг!$E$5:$E$300,"*/"&amp;$B251,Лэндинг!$K$5:$K$300)+SUMIF(Закрытые!$E$5:$E$300,$B251&amp;"/*",Закрытые!$F$5:$F$300)+SUMIF(Закрытые!$E$5:$E$300,"*/"&amp;$B251,Закрытые!$K$5:$K$300)+SUMIF(История!$B$5:$B$300,$B251&amp;"/*",История!$C$5:$C$300)+SUMIF(История!$B$5:$B$300,"*/"&amp;$B251,История!$H$5:$H$300),8))</f>
        <v/>
      </c>
      <c r="D251" s="240">
        <f>IF($B251="","",ROUND(SUMIF(Торговля!$E$5:$E$300,$B251&amp;"/*",Торговля!$I$5:$I$300)+SUMIF(Торговля!$E$5:$E$300,"*/"&amp;$B251,Торговля!$H$5:$H$300)+SUMIF(Лэндинг!$E$5:$E$300,$B251&amp;"/*",Лэндинг!$I$5:$I$300)+SUMIF(Лэндинг!$E$5:$E$300,"*/"&amp;$B251,Лэндинг!$H$5:$H$300)+SUMIF(Закрытые!$E$5:$E$300,$B251&amp;"/*",Закрытые!$I$5:$I$300)+SUMIF(Закрытые!$E$5:$E$300,"*/"&amp;$B251,Закрытые!$H$5:$H$300)+SUMIF(История!$B$5:$B$300,$B251&amp;"/*",История!$F$5:$F$300)+SUMIF(История!$B$5:$B$300,"*/"&amp;$B251,История!$E$5:$E$300),8))</f>
        <v/>
      </c>
      <c r="E251" s="339">
        <f>IF($B251="","",ROUND(C251-D251,8))</f>
        <v/>
      </c>
    </row>
    <row r="252" ht="22" customHeight="1">
      <c r="B252" s="320" t="n"/>
      <c r="C252" s="240">
        <f>IF($B252="","",ROUND(SUMIF(Торговля!$E$5:$E$300,$B252&amp;"/*",Торговля!$F$5:$F$300)+SUMIF(Торговля!$E$5:$E$300,"*/"&amp;$B252,Торговля!$K$5:$K$300)+SUMIF(Лэндинг!$E$5:$E$300,$B252&amp;"/*",Лэндинг!$F$5:$F$300)+SUMIF(Лэндинг!$E$5:$E$300,"*/"&amp;$B252,Лэндинг!$K$5:$K$300)+SUMIF(Закрытые!$E$5:$E$300,$B252&amp;"/*",Закрытые!$F$5:$F$300)+SUMIF(Закрытые!$E$5:$E$300,"*/"&amp;$B252,Закрытые!$K$5:$K$300)+SUMIF(История!$B$5:$B$300,$B252&amp;"/*",История!$C$5:$C$300)+SUMIF(История!$B$5:$B$300,"*/"&amp;$B252,История!$H$5:$H$300),8))</f>
        <v/>
      </c>
      <c r="D252" s="240">
        <f>IF($B252="","",ROUND(SUMIF(Торговля!$E$5:$E$300,$B252&amp;"/*",Торговля!$I$5:$I$300)+SUMIF(Торговля!$E$5:$E$300,"*/"&amp;$B252,Торговля!$H$5:$H$300)+SUMIF(Лэндинг!$E$5:$E$300,$B252&amp;"/*",Лэндинг!$I$5:$I$300)+SUMIF(Лэндинг!$E$5:$E$300,"*/"&amp;$B252,Лэндинг!$H$5:$H$300)+SUMIF(Закрытые!$E$5:$E$300,$B252&amp;"/*",Закрытые!$I$5:$I$300)+SUMIF(Закрытые!$E$5:$E$300,"*/"&amp;$B252,Закрытые!$H$5:$H$300)+SUMIF(История!$B$5:$B$300,$B252&amp;"/*",История!$F$5:$F$300)+SUMIF(История!$B$5:$B$300,"*/"&amp;$B252,История!$E$5:$E$300),8))</f>
        <v/>
      </c>
      <c r="E252" s="339">
        <f>IF($B252="","",ROUND(C252-D252,8))</f>
        <v/>
      </c>
    </row>
    <row r="253" ht="22" customHeight="1">
      <c r="B253" s="315" t="n"/>
      <c r="C253" s="240">
        <f>IF($B253="","",ROUND(SUMIF(Торговля!$E$5:$E$300,$B253&amp;"/*",Торговля!$F$5:$F$300)+SUMIF(Торговля!$E$5:$E$300,"*/"&amp;$B253,Торговля!$K$5:$K$300)+SUMIF(Лэндинг!$E$5:$E$300,$B253&amp;"/*",Лэндинг!$F$5:$F$300)+SUMIF(Лэндинг!$E$5:$E$300,"*/"&amp;$B253,Лэндинг!$K$5:$K$300)+SUMIF(Закрытые!$E$5:$E$300,$B253&amp;"/*",Закрытые!$F$5:$F$300)+SUMIF(Закрытые!$E$5:$E$300,"*/"&amp;$B253,Закрытые!$K$5:$K$300)+SUMIF(История!$B$5:$B$300,$B253&amp;"/*",История!$C$5:$C$300)+SUMIF(История!$B$5:$B$300,"*/"&amp;$B253,История!$H$5:$H$300),8))</f>
        <v/>
      </c>
      <c r="D253" s="240">
        <f>IF($B253="","",ROUND(SUMIF(Торговля!$E$5:$E$300,$B253&amp;"/*",Торговля!$I$5:$I$300)+SUMIF(Торговля!$E$5:$E$300,"*/"&amp;$B253,Торговля!$H$5:$H$300)+SUMIF(Лэндинг!$E$5:$E$300,$B253&amp;"/*",Лэндинг!$I$5:$I$300)+SUMIF(Лэндинг!$E$5:$E$300,"*/"&amp;$B253,Лэндинг!$H$5:$H$300)+SUMIF(Закрытые!$E$5:$E$300,$B253&amp;"/*",Закрытые!$I$5:$I$300)+SUMIF(Закрытые!$E$5:$E$300,"*/"&amp;$B253,Закрытые!$H$5:$H$300)+SUMIF(История!$B$5:$B$300,$B253&amp;"/*",История!$F$5:$F$300)+SUMIF(История!$B$5:$B$300,"*/"&amp;$B253,История!$E$5:$E$300),8))</f>
        <v/>
      </c>
      <c r="E253" s="339">
        <f>IF($B253="","",ROUND(C253-D253,8))</f>
        <v/>
      </c>
    </row>
    <row r="254" ht="22" customHeight="1">
      <c r="B254" s="320" t="n"/>
      <c r="C254" s="240">
        <f>IF($B254="","",ROUND(SUMIF(Торговля!$E$5:$E$300,$B254&amp;"/*",Торговля!$F$5:$F$300)+SUMIF(Торговля!$E$5:$E$300,"*/"&amp;$B254,Торговля!$K$5:$K$300)+SUMIF(Лэндинг!$E$5:$E$300,$B254&amp;"/*",Лэндинг!$F$5:$F$300)+SUMIF(Лэндинг!$E$5:$E$300,"*/"&amp;$B254,Лэндинг!$K$5:$K$300)+SUMIF(Закрытые!$E$5:$E$300,$B254&amp;"/*",Закрытые!$F$5:$F$300)+SUMIF(Закрытые!$E$5:$E$300,"*/"&amp;$B254,Закрытые!$K$5:$K$300)+SUMIF(История!$B$5:$B$300,$B254&amp;"/*",История!$C$5:$C$300)+SUMIF(История!$B$5:$B$300,"*/"&amp;$B254,История!$H$5:$H$300),8))</f>
        <v/>
      </c>
      <c r="D254" s="240">
        <f>IF($B254="","",ROUND(SUMIF(Торговля!$E$5:$E$300,$B254&amp;"/*",Торговля!$I$5:$I$300)+SUMIF(Торговля!$E$5:$E$300,"*/"&amp;$B254,Торговля!$H$5:$H$300)+SUMIF(Лэндинг!$E$5:$E$300,$B254&amp;"/*",Лэндинг!$I$5:$I$300)+SUMIF(Лэндинг!$E$5:$E$300,"*/"&amp;$B254,Лэндинг!$H$5:$H$300)+SUMIF(Закрытые!$E$5:$E$300,$B254&amp;"/*",Закрытые!$I$5:$I$300)+SUMIF(Закрытые!$E$5:$E$300,"*/"&amp;$B254,Закрытые!$H$5:$H$300)+SUMIF(История!$B$5:$B$300,$B254&amp;"/*",История!$F$5:$F$300)+SUMIF(История!$B$5:$B$300,"*/"&amp;$B254,История!$E$5:$E$300),8))</f>
        <v/>
      </c>
      <c r="E254" s="339">
        <f>IF($B254="","",ROUND(C254-D254,8))</f>
        <v/>
      </c>
    </row>
    <row r="255" ht="22" customHeight="1">
      <c r="B255" s="315" t="n"/>
      <c r="C255" s="240">
        <f>IF($B255="","",ROUND(SUMIF(Торговля!$E$5:$E$300,$B255&amp;"/*",Торговля!$F$5:$F$300)+SUMIF(Торговля!$E$5:$E$300,"*/"&amp;$B255,Торговля!$K$5:$K$300)+SUMIF(Лэндинг!$E$5:$E$300,$B255&amp;"/*",Лэндинг!$F$5:$F$300)+SUMIF(Лэндинг!$E$5:$E$300,"*/"&amp;$B255,Лэндинг!$K$5:$K$300)+SUMIF(Закрытые!$E$5:$E$300,$B255&amp;"/*",Закрытые!$F$5:$F$300)+SUMIF(Закрытые!$E$5:$E$300,"*/"&amp;$B255,Закрытые!$K$5:$K$300)+SUMIF(История!$B$5:$B$300,$B255&amp;"/*",История!$C$5:$C$300)+SUMIF(История!$B$5:$B$300,"*/"&amp;$B255,История!$H$5:$H$300),8))</f>
        <v/>
      </c>
      <c r="D255" s="240">
        <f>IF($B255="","",ROUND(SUMIF(Торговля!$E$5:$E$300,$B255&amp;"/*",Торговля!$I$5:$I$300)+SUMIF(Торговля!$E$5:$E$300,"*/"&amp;$B255,Торговля!$H$5:$H$300)+SUMIF(Лэндинг!$E$5:$E$300,$B255&amp;"/*",Лэндинг!$I$5:$I$300)+SUMIF(Лэндинг!$E$5:$E$300,"*/"&amp;$B255,Лэндинг!$H$5:$H$300)+SUMIF(Закрытые!$E$5:$E$300,$B255&amp;"/*",Закрытые!$I$5:$I$300)+SUMIF(Закрытые!$E$5:$E$300,"*/"&amp;$B255,Закрытые!$H$5:$H$300)+SUMIF(История!$B$5:$B$300,$B255&amp;"/*",История!$F$5:$F$300)+SUMIF(История!$B$5:$B$300,"*/"&amp;$B255,История!$E$5:$E$300),8))</f>
        <v/>
      </c>
      <c r="E255" s="339">
        <f>IF($B255="","",ROUND(C255-D255,8))</f>
        <v/>
      </c>
    </row>
    <row r="256" ht="22" customHeight="1">
      <c r="B256" s="320" t="n"/>
      <c r="C256" s="240">
        <f>IF($B256="","",ROUND(SUMIF(Торговля!$E$5:$E$300,$B256&amp;"/*",Торговля!$F$5:$F$300)+SUMIF(Торговля!$E$5:$E$300,"*/"&amp;$B256,Торговля!$K$5:$K$300)+SUMIF(Лэндинг!$E$5:$E$300,$B256&amp;"/*",Лэндинг!$F$5:$F$300)+SUMIF(Лэндинг!$E$5:$E$300,"*/"&amp;$B256,Лэндинг!$K$5:$K$300)+SUMIF(Закрытые!$E$5:$E$300,$B256&amp;"/*",Закрытые!$F$5:$F$300)+SUMIF(Закрытые!$E$5:$E$300,"*/"&amp;$B256,Закрытые!$K$5:$K$300)+SUMIF(История!$B$5:$B$300,$B256&amp;"/*",История!$C$5:$C$300)+SUMIF(История!$B$5:$B$300,"*/"&amp;$B256,История!$H$5:$H$300),8))</f>
        <v/>
      </c>
      <c r="D256" s="240">
        <f>IF($B256="","",ROUND(SUMIF(Торговля!$E$5:$E$300,$B256&amp;"/*",Торговля!$I$5:$I$300)+SUMIF(Торговля!$E$5:$E$300,"*/"&amp;$B256,Торговля!$H$5:$H$300)+SUMIF(Лэндинг!$E$5:$E$300,$B256&amp;"/*",Лэндинг!$I$5:$I$300)+SUMIF(Лэндинг!$E$5:$E$300,"*/"&amp;$B256,Лэндинг!$H$5:$H$300)+SUMIF(Закрытые!$E$5:$E$300,$B256&amp;"/*",Закрытые!$I$5:$I$300)+SUMIF(Закрытые!$E$5:$E$300,"*/"&amp;$B256,Закрытые!$H$5:$H$300)+SUMIF(История!$B$5:$B$300,$B256&amp;"/*",История!$F$5:$F$300)+SUMIF(История!$B$5:$B$300,"*/"&amp;$B256,История!$E$5:$E$300),8))</f>
        <v/>
      </c>
      <c r="E256" s="339">
        <f>IF($B256="","",ROUND(C256-D256,8))</f>
        <v/>
      </c>
    </row>
    <row r="257" ht="22" customHeight="1">
      <c r="B257" s="315" t="n"/>
      <c r="C257" s="240">
        <f>IF($B257="","",ROUND(SUMIF(Торговля!$E$5:$E$300,$B257&amp;"/*",Торговля!$F$5:$F$300)+SUMIF(Торговля!$E$5:$E$300,"*/"&amp;$B257,Торговля!$K$5:$K$300)+SUMIF(Лэндинг!$E$5:$E$300,$B257&amp;"/*",Лэндинг!$F$5:$F$300)+SUMIF(Лэндинг!$E$5:$E$300,"*/"&amp;$B257,Лэндинг!$K$5:$K$300)+SUMIF(Закрытые!$E$5:$E$300,$B257&amp;"/*",Закрытые!$F$5:$F$300)+SUMIF(Закрытые!$E$5:$E$300,"*/"&amp;$B257,Закрытые!$K$5:$K$300)+SUMIF(История!$B$5:$B$300,$B257&amp;"/*",История!$C$5:$C$300)+SUMIF(История!$B$5:$B$300,"*/"&amp;$B257,История!$H$5:$H$300),8))</f>
        <v/>
      </c>
      <c r="D257" s="240">
        <f>IF($B257="","",ROUND(SUMIF(Торговля!$E$5:$E$300,$B257&amp;"/*",Торговля!$I$5:$I$300)+SUMIF(Торговля!$E$5:$E$300,"*/"&amp;$B257,Торговля!$H$5:$H$300)+SUMIF(Лэндинг!$E$5:$E$300,$B257&amp;"/*",Лэндинг!$I$5:$I$300)+SUMIF(Лэндинг!$E$5:$E$300,"*/"&amp;$B257,Лэндинг!$H$5:$H$300)+SUMIF(Закрытые!$E$5:$E$300,$B257&amp;"/*",Закрытые!$I$5:$I$300)+SUMIF(Закрытые!$E$5:$E$300,"*/"&amp;$B257,Закрытые!$H$5:$H$300)+SUMIF(История!$B$5:$B$300,$B257&amp;"/*",История!$F$5:$F$300)+SUMIF(История!$B$5:$B$300,"*/"&amp;$B257,История!$E$5:$E$300),8))</f>
        <v/>
      </c>
      <c r="E257" s="339">
        <f>IF($B257="","",ROUND(C257-D257,8))</f>
        <v/>
      </c>
    </row>
    <row r="258" ht="22" customHeight="1">
      <c r="B258" s="320" t="n"/>
      <c r="C258" s="240">
        <f>IF($B258="","",ROUND(SUMIF(Торговля!$E$5:$E$300,$B258&amp;"/*",Торговля!$F$5:$F$300)+SUMIF(Торговля!$E$5:$E$300,"*/"&amp;$B258,Торговля!$K$5:$K$300)+SUMIF(Лэндинг!$E$5:$E$300,$B258&amp;"/*",Лэндинг!$F$5:$F$300)+SUMIF(Лэндинг!$E$5:$E$300,"*/"&amp;$B258,Лэндинг!$K$5:$K$300)+SUMIF(Закрытые!$E$5:$E$300,$B258&amp;"/*",Закрытые!$F$5:$F$300)+SUMIF(Закрытые!$E$5:$E$300,"*/"&amp;$B258,Закрытые!$K$5:$K$300)+SUMIF(История!$B$5:$B$300,$B258&amp;"/*",История!$C$5:$C$300)+SUMIF(История!$B$5:$B$300,"*/"&amp;$B258,История!$H$5:$H$300),8))</f>
        <v/>
      </c>
      <c r="D258" s="240">
        <f>IF($B258="","",ROUND(SUMIF(Торговля!$E$5:$E$300,$B258&amp;"/*",Торговля!$I$5:$I$300)+SUMIF(Торговля!$E$5:$E$300,"*/"&amp;$B258,Торговля!$H$5:$H$300)+SUMIF(Лэндинг!$E$5:$E$300,$B258&amp;"/*",Лэндинг!$I$5:$I$300)+SUMIF(Лэндинг!$E$5:$E$300,"*/"&amp;$B258,Лэндинг!$H$5:$H$300)+SUMIF(Закрытые!$E$5:$E$300,$B258&amp;"/*",Закрытые!$I$5:$I$300)+SUMIF(Закрытые!$E$5:$E$300,"*/"&amp;$B258,Закрытые!$H$5:$H$300)+SUMIF(История!$B$5:$B$300,$B258&amp;"/*",История!$F$5:$F$300)+SUMIF(История!$B$5:$B$300,"*/"&amp;$B258,История!$E$5:$E$300),8))</f>
        <v/>
      </c>
      <c r="E258" s="339">
        <f>IF($B258="","",ROUND(C258-D258,8))</f>
        <v/>
      </c>
    </row>
    <row r="259" ht="22" customHeight="1">
      <c r="B259" s="315" t="n"/>
      <c r="C259" s="240">
        <f>IF($B259="","",ROUND(SUMIF(Торговля!$E$5:$E$300,$B259&amp;"/*",Торговля!$F$5:$F$300)+SUMIF(Торговля!$E$5:$E$300,"*/"&amp;$B259,Торговля!$K$5:$K$300)+SUMIF(Лэндинг!$E$5:$E$300,$B259&amp;"/*",Лэндинг!$F$5:$F$300)+SUMIF(Лэндинг!$E$5:$E$300,"*/"&amp;$B259,Лэндинг!$K$5:$K$300)+SUMIF(Закрытые!$E$5:$E$300,$B259&amp;"/*",Закрытые!$F$5:$F$300)+SUMIF(Закрытые!$E$5:$E$300,"*/"&amp;$B259,Закрытые!$K$5:$K$300)+SUMIF(История!$B$5:$B$300,$B259&amp;"/*",История!$C$5:$C$300)+SUMIF(История!$B$5:$B$300,"*/"&amp;$B259,История!$H$5:$H$300),8))</f>
        <v/>
      </c>
      <c r="D259" s="240">
        <f>IF($B259="","",ROUND(SUMIF(Торговля!$E$5:$E$300,$B259&amp;"/*",Торговля!$I$5:$I$300)+SUMIF(Торговля!$E$5:$E$300,"*/"&amp;$B259,Торговля!$H$5:$H$300)+SUMIF(Лэндинг!$E$5:$E$300,$B259&amp;"/*",Лэндинг!$I$5:$I$300)+SUMIF(Лэндинг!$E$5:$E$300,"*/"&amp;$B259,Лэндинг!$H$5:$H$300)+SUMIF(Закрытые!$E$5:$E$300,$B259&amp;"/*",Закрытые!$I$5:$I$300)+SUMIF(Закрытые!$E$5:$E$300,"*/"&amp;$B259,Закрытые!$H$5:$H$300)+SUMIF(История!$B$5:$B$300,$B259&amp;"/*",История!$F$5:$F$300)+SUMIF(История!$B$5:$B$300,"*/"&amp;$B259,История!$E$5:$E$300),8))</f>
        <v/>
      </c>
      <c r="E259" s="339">
        <f>IF($B259="","",ROUND(C259-D259,8))</f>
        <v/>
      </c>
    </row>
    <row r="260" ht="22" customHeight="1">
      <c r="B260" s="320" t="n"/>
      <c r="C260" s="240">
        <f>IF($B260="","",ROUND(SUMIF(Торговля!$E$5:$E$300,$B260&amp;"/*",Торговля!$F$5:$F$300)+SUMIF(Торговля!$E$5:$E$300,"*/"&amp;$B260,Торговля!$K$5:$K$300)+SUMIF(Лэндинг!$E$5:$E$300,$B260&amp;"/*",Лэндинг!$F$5:$F$300)+SUMIF(Лэндинг!$E$5:$E$300,"*/"&amp;$B260,Лэндинг!$K$5:$K$300)+SUMIF(Закрытые!$E$5:$E$300,$B260&amp;"/*",Закрытые!$F$5:$F$300)+SUMIF(Закрытые!$E$5:$E$300,"*/"&amp;$B260,Закрытые!$K$5:$K$300)+SUMIF(История!$B$5:$B$300,$B260&amp;"/*",История!$C$5:$C$300)+SUMIF(История!$B$5:$B$300,"*/"&amp;$B260,История!$H$5:$H$300),8))</f>
        <v/>
      </c>
      <c r="D260" s="240">
        <f>IF($B260="","",ROUND(SUMIF(Торговля!$E$5:$E$300,$B260&amp;"/*",Торговля!$I$5:$I$300)+SUMIF(Торговля!$E$5:$E$300,"*/"&amp;$B260,Торговля!$H$5:$H$300)+SUMIF(Лэндинг!$E$5:$E$300,$B260&amp;"/*",Лэндинг!$I$5:$I$300)+SUMIF(Лэндинг!$E$5:$E$300,"*/"&amp;$B260,Лэндинг!$H$5:$H$300)+SUMIF(Закрытые!$E$5:$E$300,$B260&amp;"/*",Закрытые!$I$5:$I$300)+SUMIF(Закрытые!$E$5:$E$300,"*/"&amp;$B260,Закрытые!$H$5:$H$300)+SUMIF(История!$B$5:$B$300,$B260&amp;"/*",История!$F$5:$F$300)+SUMIF(История!$B$5:$B$300,"*/"&amp;$B260,История!$E$5:$E$300),8))</f>
        <v/>
      </c>
      <c r="E260" s="339">
        <f>IF($B260="","",ROUND(C260-D260,8))</f>
        <v/>
      </c>
    </row>
    <row r="261" ht="22" customHeight="1">
      <c r="B261" s="315" t="n"/>
      <c r="C261" s="240">
        <f>IF($B261="","",ROUND(SUMIF(Торговля!$E$5:$E$300,$B261&amp;"/*",Торговля!$F$5:$F$300)+SUMIF(Торговля!$E$5:$E$300,"*/"&amp;$B261,Торговля!$K$5:$K$300)+SUMIF(Лэндинг!$E$5:$E$300,$B261&amp;"/*",Лэндинг!$F$5:$F$300)+SUMIF(Лэндинг!$E$5:$E$300,"*/"&amp;$B261,Лэндинг!$K$5:$K$300)+SUMIF(Закрытые!$E$5:$E$300,$B261&amp;"/*",Закрытые!$F$5:$F$300)+SUMIF(Закрытые!$E$5:$E$300,"*/"&amp;$B261,Закрытые!$K$5:$K$300)+SUMIF(История!$B$5:$B$300,$B261&amp;"/*",История!$C$5:$C$300)+SUMIF(История!$B$5:$B$300,"*/"&amp;$B261,История!$H$5:$H$300),8))</f>
        <v/>
      </c>
      <c r="D261" s="240">
        <f>IF($B261="","",ROUND(SUMIF(Торговля!$E$5:$E$300,$B261&amp;"/*",Торговля!$I$5:$I$300)+SUMIF(Торговля!$E$5:$E$300,"*/"&amp;$B261,Торговля!$H$5:$H$300)+SUMIF(Лэндинг!$E$5:$E$300,$B261&amp;"/*",Лэндинг!$I$5:$I$300)+SUMIF(Лэндинг!$E$5:$E$300,"*/"&amp;$B261,Лэндинг!$H$5:$H$300)+SUMIF(Закрытые!$E$5:$E$300,$B261&amp;"/*",Закрытые!$I$5:$I$300)+SUMIF(Закрытые!$E$5:$E$300,"*/"&amp;$B261,Закрытые!$H$5:$H$300)+SUMIF(История!$B$5:$B$300,$B261&amp;"/*",История!$F$5:$F$300)+SUMIF(История!$B$5:$B$300,"*/"&amp;$B261,История!$E$5:$E$300),8))</f>
        <v/>
      </c>
      <c r="E261" s="339">
        <f>IF($B261="","",ROUND(C261-D261,8))</f>
        <v/>
      </c>
    </row>
    <row r="262" ht="22" customHeight="1">
      <c r="B262" s="320" t="n"/>
      <c r="C262" s="240">
        <f>IF($B262="","",ROUND(SUMIF(Торговля!$E$5:$E$300,$B262&amp;"/*",Торговля!$F$5:$F$300)+SUMIF(Торговля!$E$5:$E$300,"*/"&amp;$B262,Торговля!$K$5:$K$300)+SUMIF(Лэндинг!$E$5:$E$300,$B262&amp;"/*",Лэндинг!$F$5:$F$300)+SUMIF(Лэндинг!$E$5:$E$300,"*/"&amp;$B262,Лэндинг!$K$5:$K$300)+SUMIF(Закрытые!$E$5:$E$300,$B262&amp;"/*",Закрытые!$F$5:$F$300)+SUMIF(Закрытые!$E$5:$E$300,"*/"&amp;$B262,Закрытые!$K$5:$K$300)+SUMIF(История!$B$5:$B$300,$B262&amp;"/*",История!$C$5:$C$300)+SUMIF(История!$B$5:$B$300,"*/"&amp;$B262,История!$H$5:$H$300),8))</f>
        <v/>
      </c>
      <c r="D262" s="240">
        <f>IF($B262="","",ROUND(SUMIF(Торговля!$E$5:$E$300,$B262&amp;"/*",Торговля!$I$5:$I$300)+SUMIF(Торговля!$E$5:$E$300,"*/"&amp;$B262,Торговля!$H$5:$H$300)+SUMIF(Лэндинг!$E$5:$E$300,$B262&amp;"/*",Лэндинг!$I$5:$I$300)+SUMIF(Лэндинг!$E$5:$E$300,"*/"&amp;$B262,Лэндинг!$H$5:$H$300)+SUMIF(Закрытые!$E$5:$E$300,$B262&amp;"/*",Закрытые!$I$5:$I$300)+SUMIF(Закрытые!$E$5:$E$300,"*/"&amp;$B262,Закрытые!$H$5:$H$300)+SUMIF(История!$B$5:$B$300,$B262&amp;"/*",История!$F$5:$F$300)+SUMIF(История!$B$5:$B$300,"*/"&amp;$B262,История!$E$5:$E$300),8))</f>
        <v/>
      </c>
      <c r="E262" s="339">
        <f>IF($B262="","",ROUND(C262-D262,8))</f>
        <v/>
      </c>
    </row>
    <row r="263" ht="22" customHeight="1">
      <c r="B263" s="315" t="n"/>
      <c r="C263" s="240">
        <f>IF($B263="","",ROUND(SUMIF(Торговля!$E$5:$E$300,$B263&amp;"/*",Торговля!$F$5:$F$300)+SUMIF(Торговля!$E$5:$E$300,"*/"&amp;$B263,Торговля!$K$5:$K$300)+SUMIF(Лэндинг!$E$5:$E$300,$B263&amp;"/*",Лэндинг!$F$5:$F$300)+SUMIF(Лэндинг!$E$5:$E$300,"*/"&amp;$B263,Лэндинг!$K$5:$K$300)+SUMIF(Закрытые!$E$5:$E$300,$B263&amp;"/*",Закрытые!$F$5:$F$300)+SUMIF(Закрытые!$E$5:$E$300,"*/"&amp;$B263,Закрытые!$K$5:$K$300)+SUMIF(История!$B$5:$B$300,$B263&amp;"/*",История!$C$5:$C$300)+SUMIF(История!$B$5:$B$300,"*/"&amp;$B263,История!$H$5:$H$300),8))</f>
        <v/>
      </c>
      <c r="D263" s="240">
        <f>IF($B263="","",ROUND(SUMIF(Торговля!$E$5:$E$300,$B263&amp;"/*",Торговля!$I$5:$I$300)+SUMIF(Торговля!$E$5:$E$300,"*/"&amp;$B263,Торговля!$H$5:$H$300)+SUMIF(Лэндинг!$E$5:$E$300,$B263&amp;"/*",Лэндинг!$I$5:$I$300)+SUMIF(Лэндинг!$E$5:$E$300,"*/"&amp;$B263,Лэндинг!$H$5:$H$300)+SUMIF(Закрытые!$E$5:$E$300,$B263&amp;"/*",Закрытые!$I$5:$I$300)+SUMIF(Закрытые!$E$5:$E$300,"*/"&amp;$B263,Закрытые!$H$5:$H$300)+SUMIF(История!$B$5:$B$300,$B263&amp;"/*",История!$F$5:$F$300)+SUMIF(История!$B$5:$B$300,"*/"&amp;$B263,История!$E$5:$E$300),8))</f>
        <v/>
      </c>
      <c r="E263" s="339">
        <f>IF($B263="","",ROUND(C263-D263,8))</f>
        <v/>
      </c>
    </row>
    <row r="264" ht="22" customHeight="1">
      <c r="B264" s="320" t="n"/>
      <c r="C264" s="240">
        <f>IF($B264="","",ROUND(SUMIF(Торговля!$E$5:$E$300,$B264&amp;"/*",Торговля!$F$5:$F$300)+SUMIF(Торговля!$E$5:$E$300,"*/"&amp;$B264,Торговля!$K$5:$K$300)+SUMIF(Лэндинг!$E$5:$E$300,$B264&amp;"/*",Лэндинг!$F$5:$F$300)+SUMIF(Лэндинг!$E$5:$E$300,"*/"&amp;$B264,Лэндинг!$K$5:$K$300)+SUMIF(Закрытые!$E$5:$E$300,$B264&amp;"/*",Закрытые!$F$5:$F$300)+SUMIF(Закрытые!$E$5:$E$300,"*/"&amp;$B264,Закрытые!$K$5:$K$300)+SUMIF(История!$B$5:$B$300,$B264&amp;"/*",История!$C$5:$C$300)+SUMIF(История!$B$5:$B$300,"*/"&amp;$B264,История!$H$5:$H$300),8))</f>
        <v/>
      </c>
      <c r="D264" s="240">
        <f>IF($B264="","",ROUND(SUMIF(Торговля!$E$5:$E$300,$B264&amp;"/*",Торговля!$I$5:$I$300)+SUMIF(Торговля!$E$5:$E$300,"*/"&amp;$B264,Торговля!$H$5:$H$300)+SUMIF(Лэндинг!$E$5:$E$300,$B264&amp;"/*",Лэндинг!$I$5:$I$300)+SUMIF(Лэндинг!$E$5:$E$300,"*/"&amp;$B264,Лэндинг!$H$5:$H$300)+SUMIF(Закрытые!$E$5:$E$300,$B264&amp;"/*",Закрытые!$I$5:$I$300)+SUMIF(Закрытые!$E$5:$E$300,"*/"&amp;$B264,Закрытые!$H$5:$H$300)+SUMIF(История!$B$5:$B$300,$B264&amp;"/*",История!$F$5:$F$300)+SUMIF(История!$B$5:$B$300,"*/"&amp;$B264,История!$E$5:$E$300),8))</f>
        <v/>
      </c>
      <c r="E264" s="339">
        <f>IF($B264="","",ROUND(C264-D264,8))</f>
        <v/>
      </c>
    </row>
    <row r="265" ht="22" customHeight="1">
      <c r="B265" s="315" t="n"/>
      <c r="C265" s="240">
        <f>IF($B265="","",ROUND(SUMIF(Торговля!$E$5:$E$300,$B265&amp;"/*",Торговля!$F$5:$F$300)+SUMIF(Торговля!$E$5:$E$300,"*/"&amp;$B265,Торговля!$K$5:$K$300)+SUMIF(Лэндинг!$E$5:$E$300,$B265&amp;"/*",Лэндинг!$F$5:$F$300)+SUMIF(Лэндинг!$E$5:$E$300,"*/"&amp;$B265,Лэндинг!$K$5:$K$300)+SUMIF(Закрытые!$E$5:$E$300,$B265&amp;"/*",Закрытые!$F$5:$F$300)+SUMIF(Закрытые!$E$5:$E$300,"*/"&amp;$B265,Закрытые!$K$5:$K$300)+SUMIF(История!$B$5:$B$300,$B265&amp;"/*",История!$C$5:$C$300)+SUMIF(История!$B$5:$B$300,"*/"&amp;$B265,История!$H$5:$H$300),8))</f>
        <v/>
      </c>
      <c r="D265" s="240">
        <f>IF($B265="","",ROUND(SUMIF(Торговля!$E$5:$E$300,$B265&amp;"/*",Торговля!$I$5:$I$300)+SUMIF(Торговля!$E$5:$E$300,"*/"&amp;$B265,Торговля!$H$5:$H$300)+SUMIF(Лэндинг!$E$5:$E$300,$B265&amp;"/*",Лэндинг!$I$5:$I$300)+SUMIF(Лэндинг!$E$5:$E$300,"*/"&amp;$B265,Лэндинг!$H$5:$H$300)+SUMIF(Закрытые!$E$5:$E$300,$B265&amp;"/*",Закрытые!$I$5:$I$300)+SUMIF(Закрытые!$E$5:$E$300,"*/"&amp;$B265,Закрытые!$H$5:$H$300)+SUMIF(История!$B$5:$B$300,$B265&amp;"/*",История!$F$5:$F$300)+SUMIF(История!$B$5:$B$300,"*/"&amp;$B265,История!$E$5:$E$300),8))</f>
        <v/>
      </c>
      <c r="E265" s="339">
        <f>IF($B265="","",ROUND(C265-D265,8))</f>
        <v/>
      </c>
    </row>
    <row r="266" ht="22" customHeight="1">
      <c r="B266" s="320" t="n"/>
      <c r="C266" s="240">
        <f>IF($B266="","",ROUND(SUMIF(Торговля!$E$5:$E$300,$B266&amp;"/*",Торговля!$F$5:$F$300)+SUMIF(Торговля!$E$5:$E$300,"*/"&amp;$B266,Торговля!$K$5:$K$300)+SUMIF(Лэндинг!$E$5:$E$300,$B266&amp;"/*",Лэндинг!$F$5:$F$300)+SUMIF(Лэндинг!$E$5:$E$300,"*/"&amp;$B266,Лэндинг!$K$5:$K$300)+SUMIF(Закрытые!$E$5:$E$300,$B266&amp;"/*",Закрытые!$F$5:$F$300)+SUMIF(Закрытые!$E$5:$E$300,"*/"&amp;$B266,Закрытые!$K$5:$K$300)+SUMIF(История!$B$5:$B$300,$B266&amp;"/*",История!$C$5:$C$300)+SUMIF(История!$B$5:$B$300,"*/"&amp;$B266,История!$H$5:$H$300),8))</f>
        <v/>
      </c>
      <c r="D266" s="240">
        <f>IF($B266="","",ROUND(SUMIF(Торговля!$E$5:$E$300,$B266&amp;"/*",Торговля!$I$5:$I$300)+SUMIF(Торговля!$E$5:$E$300,"*/"&amp;$B266,Торговля!$H$5:$H$300)+SUMIF(Лэндинг!$E$5:$E$300,$B266&amp;"/*",Лэндинг!$I$5:$I$300)+SUMIF(Лэндинг!$E$5:$E$300,"*/"&amp;$B266,Лэндинг!$H$5:$H$300)+SUMIF(Закрытые!$E$5:$E$300,$B266&amp;"/*",Закрытые!$I$5:$I$300)+SUMIF(Закрытые!$E$5:$E$300,"*/"&amp;$B266,Закрытые!$H$5:$H$300)+SUMIF(История!$B$5:$B$300,$B266&amp;"/*",История!$F$5:$F$300)+SUMIF(История!$B$5:$B$300,"*/"&amp;$B266,История!$E$5:$E$300),8))</f>
        <v/>
      </c>
      <c r="E266" s="339">
        <f>IF($B266="","",ROUND(C266-D266,8))</f>
        <v/>
      </c>
    </row>
    <row r="267" ht="22" customHeight="1">
      <c r="B267" s="315" t="n"/>
      <c r="C267" s="240">
        <f>IF($B267="","",ROUND(SUMIF(Торговля!$E$5:$E$300,$B267&amp;"/*",Торговля!$F$5:$F$300)+SUMIF(Торговля!$E$5:$E$300,"*/"&amp;$B267,Торговля!$K$5:$K$300)+SUMIF(Лэндинг!$E$5:$E$300,$B267&amp;"/*",Лэндинг!$F$5:$F$300)+SUMIF(Лэндинг!$E$5:$E$300,"*/"&amp;$B267,Лэндинг!$K$5:$K$300)+SUMIF(Закрытые!$E$5:$E$300,$B267&amp;"/*",Закрытые!$F$5:$F$300)+SUMIF(Закрытые!$E$5:$E$300,"*/"&amp;$B267,Закрытые!$K$5:$K$300)+SUMIF(История!$B$5:$B$300,$B267&amp;"/*",История!$C$5:$C$300)+SUMIF(История!$B$5:$B$300,"*/"&amp;$B267,История!$H$5:$H$300),8))</f>
        <v/>
      </c>
      <c r="D267" s="240">
        <f>IF($B267="","",ROUND(SUMIF(Торговля!$E$5:$E$300,$B267&amp;"/*",Торговля!$I$5:$I$300)+SUMIF(Торговля!$E$5:$E$300,"*/"&amp;$B267,Торговля!$H$5:$H$300)+SUMIF(Лэндинг!$E$5:$E$300,$B267&amp;"/*",Лэндинг!$I$5:$I$300)+SUMIF(Лэндинг!$E$5:$E$300,"*/"&amp;$B267,Лэндинг!$H$5:$H$300)+SUMIF(Закрытые!$E$5:$E$300,$B267&amp;"/*",Закрытые!$I$5:$I$300)+SUMIF(Закрытые!$E$5:$E$300,"*/"&amp;$B267,Закрытые!$H$5:$H$300)+SUMIF(История!$B$5:$B$300,$B267&amp;"/*",История!$F$5:$F$300)+SUMIF(История!$B$5:$B$300,"*/"&amp;$B267,История!$E$5:$E$300),8))</f>
        <v/>
      </c>
      <c r="E267" s="339">
        <f>IF($B267="","",ROUND(C267-D267,8))</f>
        <v/>
      </c>
    </row>
    <row r="268" ht="22" customHeight="1">
      <c r="B268" s="320" t="n"/>
      <c r="C268" s="240">
        <f>IF($B268="","",ROUND(SUMIF(Торговля!$E$5:$E$300,$B268&amp;"/*",Торговля!$F$5:$F$300)+SUMIF(Торговля!$E$5:$E$300,"*/"&amp;$B268,Торговля!$K$5:$K$300)+SUMIF(Лэндинг!$E$5:$E$300,$B268&amp;"/*",Лэндинг!$F$5:$F$300)+SUMIF(Лэндинг!$E$5:$E$300,"*/"&amp;$B268,Лэндинг!$K$5:$K$300)+SUMIF(Закрытые!$E$5:$E$300,$B268&amp;"/*",Закрытые!$F$5:$F$300)+SUMIF(Закрытые!$E$5:$E$300,"*/"&amp;$B268,Закрытые!$K$5:$K$300)+SUMIF(История!$B$5:$B$300,$B268&amp;"/*",История!$C$5:$C$300)+SUMIF(История!$B$5:$B$300,"*/"&amp;$B268,История!$H$5:$H$300),8))</f>
        <v/>
      </c>
      <c r="D268" s="240">
        <f>IF($B268="","",ROUND(SUMIF(Торговля!$E$5:$E$300,$B268&amp;"/*",Торговля!$I$5:$I$300)+SUMIF(Торговля!$E$5:$E$300,"*/"&amp;$B268,Торговля!$H$5:$H$300)+SUMIF(Лэндинг!$E$5:$E$300,$B268&amp;"/*",Лэндинг!$I$5:$I$300)+SUMIF(Лэндинг!$E$5:$E$300,"*/"&amp;$B268,Лэндинг!$H$5:$H$300)+SUMIF(Закрытые!$E$5:$E$300,$B268&amp;"/*",Закрытые!$I$5:$I$300)+SUMIF(Закрытые!$E$5:$E$300,"*/"&amp;$B268,Закрытые!$H$5:$H$300)+SUMIF(История!$B$5:$B$300,$B268&amp;"/*",История!$F$5:$F$300)+SUMIF(История!$B$5:$B$300,"*/"&amp;$B268,История!$E$5:$E$300),8))</f>
        <v/>
      </c>
      <c r="E268" s="339">
        <f>IF($B268="","",ROUND(C268-D268,8))</f>
        <v/>
      </c>
    </row>
    <row r="269" ht="22" customHeight="1">
      <c r="B269" s="315" t="n"/>
      <c r="C269" s="240">
        <f>IF($B269="","",ROUND(SUMIF(Торговля!$E$5:$E$300,$B269&amp;"/*",Торговля!$F$5:$F$300)+SUMIF(Торговля!$E$5:$E$300,"*/"&amp;$B269,Торговля!$K$5:$K$300)+SUMIF(Лэндинг!$E$5:$E$300,$B269&amp;"/*",Лэндинг!$F$5:$F$300)+SUMIF(Лэндинг!$E$5:$E$300,"*/"&amp;$B269,Лэндинг!$K$5:$K$300)+SUMIF(Закрытые!$E$5:$E$300,$B269&amp;"/*",Закрытые!$F$5:$F$300)+SUMIF(Закрытые!$E$5:$E$300,"*/"&amp;$B269,Закрытые!$K$5:$K$300)+SUMIF(История!$B$5:$B$300,$B269&amp;"/*",История!$C$5:$C$300)+SUMIF(История!$B$5:$B$300,"*/"&amp;$B269,История!$H$5:$H$300),8))</f>
        <v/>
      </c>
      <c r="D269" s="240">
        <f>IF($B269="","",ROUND(SUMIF(Торговля!$E$5:$E$300,$B269&amp;"/*",Торговля!$I$5:$I$300)+SUMIF(Торговля!$E$5:$E$300,"*/"&amp;$B269,Торговля!$H$5:$H$300)+SUMIF(Лэндинг!$E$5:$E$300,$B269&amp;"/*",Лэндинг!$I$5:$I$300)+SUMIF(Лэндинг!$E$5:$E$300,"*/"&amp;$B269,Лэндинг!$H$5:$H$300)+SUMIF(Закрытые!$E$5:$E$300,$B269&amp;"/*",Закрытые!$I$5:$I$300)+SUMIF(Закрытые!$E$5:$E$300,"*/"&amp;$B269,Закрытые!$H$5:$H$300)+SUMIF(История!$B$5:$B$300,$B269&amp;"/*",История!$F$5:$F$300)+SUMIF(История!$B$5:$B$300,"*/"&amp;$B269,История!$E$5:$E$300),8))</f>
        <v/>
      </c>
      <c r="E269" s="339">
        <f>IF($B269="","",ROUND(C269-D269,8))</f>
        <v/>
      </c>
    </row>
    <row r="270" ht="22" customHeight="1">
      <c r="B270" s="320" t="n"/>
      <c r="C270" s="240">
        <f>IF($B270="","",ROUND(SUMIF(Торговля!$E$5:$E$300,$B270&amp;"/*",Торговля!$F$5:$F$300)+SUMIF(Торговля!$E$5:$E$300,"*/"&amp;$B270,Торговля!$K$5:$K$300)+SUMIF(Лэндинг!$E$5:$E$300,$B270&amp;"/*",Лэндинг!$F$5:$F$300)+SUMIF(Лэндинг!$E$5:$E$300,"*/"&amp;$B270,Лэндинг!$K$5:$K$300)+SUMIF(Закрытые!$E$5:$E$300,$B270&amp;"/*",Закрытые!$F$5:$F$300)+SUMIF(Закрытые!$E$5:$E$300,"*/"&amp;$B270,Закрытые!$K$5:$K$300)+SUMIF(История!$B$5:$B$300,$B270&amp;"/*",История!$C$5:$C$300)+SUMIF(История!$B$5:$B$300,"*/"&amp;$B270,История!$H$5:$H$300),8))</f>
        <v/>
      </c>
      <c r="D270" s="240">
        <f>IF($B270="","",ROUND(SUMIF(Торговля!$E$5:$E$300,$B270&amp;"/*",Торговля!$I$5:$I$300)+SUMIF(Торговля!$E$5:$E$300,"*/"&amp;$B270,Торговля!$H$5:$H$300)+SUMIF(Лэндинг!$E$5:$E$300,$B270&amp;"/*",Лэндинг!$I$5:$I$300)+SUMIF(Лэндинг!$E$5:$E$300,"*/"&amp;$B270,Лэндинг!$H$5:$H$300)+SUMIF(Закрытые!$E$5:$E$300,$B270&amp;"/*",Закрытые!$I$5:$I$300)+SUMIF(Закрытые!$E$5:$E$300,"*/"&amp;$B270,Закрытые!$H$5:$H$300)+SUMIF(История!$B$5:$B$300,$B270&amp;"/*",История!$F$5:$F$300)+SUMIF(История!$B$5:$B$300,"*/"&amp;$B270,История!$E$5:$E$300),8))</f>
        <v/>
      </c>
      <c r="E270" s="339">
        <f>IF($B270="","",ROUND(C270-D270,8))</f>
        <v/>
      </c>
    </row>
    <row r="271" ht="22" customHeight="1">
      <c r="B271" s="315" t="n"/>
      <c r="C271" s="240">
        <f>IF($B271="","",ROUND(SUMIF(Торговля!$E$5:$E$300,$B271&amp;"/*",Торговля!$F$5:$F$300)+SUMIF(Торговля!$E$5:$E$300,"*/"&amp;$B271,Торговля!$K$5:$K$300)+SUMIF(Лэндинг!$E$5:$E$300,$B271&amp;"/*",Лэндинг!$F$5:$F$300)+SUMIF(Лэндинг!$E$5:$E$300,"*/"&amp;$B271,Лэндинг!$K$5:$K$300)+SUMIF(Закрытые!$E$5:$E$300,$B271&amp;"/*",Закрытые!$F$5:$F$300)+SUMIF(Закрытые!$E$5:$E$300,"*/"&amp;$B271,Закрытые!$K$5:$K$300)+SUMIF(История!$B$5:$B$300,$B271&amp;"/*",История!$C$5:$C$300)+SUMIF(История!$B$5:$B$300,"*/"&amp;$B271,История!$H$5:$H$300),8))</f>
        <v/>
      </c>
      <c r="D271" s="240">
        <f>IF($B271="","",ROUND(SUMIF(Торговля!$E$5:$E$300,$B271&amp;"/*",Торговля!$I$5:$I$300)+SUMIF(Торговля!$E$5:$E$300,"*/"&amp;$B271,Торговля!$H$5:$H$300)+SUMIF(Лэндинг!$E$5:$E$300,$B271&amp;"/*",Лэндинг!$I$5:$I$300)+SUMIF(Лэндинг!$E$5:$E$300,"*/"&amp;$B271,Лэндинг!$H$5:$H$300)+SUMIF(Закрытые!$E$5:$E$300,$B271&amp;"/*",Закрытые!$I$5:$I$300)+SUMIF(Закрытые!$E$5:$E$300,"*/"&amp;$B271,Закрытые!$H$5:$H$300)+SUMIF(История!$B$5:$B$300,$B271&amp;"/*",История!$F$5:$F$300)+SUMIF(История!$B$5:$B$300,"*/"&amp;$B271,История!$E$5:$E$300),8))</f>
        <v/>
      </c>
      <c r="E271" s="339">
        <f>IF($B271="","",ROUND(C271-D271,8))</f>
        <v/>
      </c>
    </row>
    <row r="272" ht="22" customHeight="1">
      <c r="B272" s="320" t="n"/>
      <c r="C272" s="240">
        <f>IF($B272="","",ROUND(SUMIF(Торговля!$E$5:$E$300,$B272&amp;"/*",Торговля!$F$5:$F$300)+SUMIF(Торговля!$E$5:$E$300,"*/"&amp;$B272,Торговля!$K$5:$K$300)+SUMIF(Лэндинг!$E$5:$E$300,$B272&amp;"/*",Лэндинг!$F$5:$F$300)+SUMIF(Лэндинг!$E$5:$E$300,"*/"&amp;$B272,Лэндинг!$K$5:$K$300)+SUMIF(Закрытые!$E$5:$E$300,$B272&amp;"/*",Закрытые!$F$5:$F$300)+SUMIF(Закрытые!$E$5:$E$300,"*/"&amp;$B272,Закрытые!$K$5:$K$300)+SUMIF(История!$B$5:$B$300,$B272&amp;"/*",История!$C$5:$C$300)+SUMIF(История!$B$5:$B$300,"*/"&amp;$B272,История!$H$5:$H$300),8))</f>
        <v/>
      </c>
      <c r="D272" s="240">
        <f>IF($B272="","",ROUND(SUMIF(Торговля!$E$5:$E$300,$B272&amp;"/*",Торговля!$I$5:$I$300)+SUMIF(Торговля!$E$5:$E$300,"*/"&amp;$B272,Торговля!$H$5:$H$300)+SUMIF(Лэндинг!$E$5:$E$300,$B272&amp;"/*",Лэндинг!$I$5:$I$300)+SUMIF(Лэндинг!$E$5:$E$300,"*/"&amp;$B272,Лэндинг!$H$5:$H$300)+SUMIF(Закрытые!$E$5:$E$300,$B272&amp;"/*",Закрытые!$I$5:$I$300)+SUMIF(Закрытые!$E$5:$E$300,"*/"&amp;$B272,Закрытые!$H$5:$H$300)+SUMIF(История!$B$5:$B$300,$B272&amp;"/*",История!$F$5:$F$300)+SUMIF(История!$B$5:$B$300,"*/"&amp;$B272,История!$E$5:$E$300),8))</f>
        <v/>
      </c>
      <c r="E272" s="339">
        <f>IF($B272="","",ROUND(C272-D272,8))</f>
        <v/>
      </c>
    </row>
    <row r="273" ht="22" customHeight="1">
      <c r="B273" s="315" t="n"/>
      <c r="C273" s="240">
        <f>IF($B273="","",ROUND(SUMIF(Торговля!$E$5:$E$300,$B273&amp;"/*",Торговля!$F$5:$F$300)+SUMIF(Торговля!$E$5:$E$300,"*/"&amp;$B273,Торговля!$K$5:$K$300)+SUMIF(Лэндинг!$E$5:$E$300,$B273&amp;"/*",Лэндинг!$F$5:$F$300)+SUMIF(Лэндинг!$E$5:$E$300,"*/"&amp;$B273,Лэндинг!$K$5:$K$300)+SUMIF(Закрытые!$E$5:$E$300,$B273&amp;"/*",Закрытые!$F$5:$F$300)+SUMIF(Закрытые!$E$5:$E$300,"*/"&amp;$B273,Закрытые!$K$5:$K$300)+SUMIF(История!$B$5:$B$300,$B273&amp;"/*",История!$C$5:$C$300)+SUMIF(История!$B$5:$B$300,"*/"&amp;$B273,История!$H$5:$H$300),8))</f>
        <v/>
      </c>
      <c r="D273" s="240">
        <f>IF($B273="","",ROUND(SUMIF(Торговля!$E$5:$E$300,$B273&amp;"/*",Торговля!$I$5:$I$300)+SUMIF(Торговля!$E$5:$E$300,"*/"&amp;$B273,Торговля!$H$5:$H$300)+SUMIF(Лэндинг!$E$5:$E$300,$B273&amp;"/*",Лэндинг!$I$5:$I$300)+SUMIF(Лэндинг!$E$5:$E$300,"*/"&amp;$B273,Лэндинг!$H$5:$H$300)+SUMIF(Закрытые!$E$5:$E$300,$B273&amp;"/*",Закрытые!$I$5:$I$300)+SUMIF(Закрытые!$E$5:$E$300,"*/"&amp;$B273,Закрытые!$H$5:$H$300)+SUMIF(История!$B$5:$B$300,$B273&amp;"/*",История!$F$5:$F$300)+SUMIF(История!$B$5:$B$300,"*/"&amp;$B273,История!$E$5:$E$300),8))</f>
        <v/>
      </c>
      <c r="E273" s="339">
        <f>IF($B273="","",ROUND(C273-D273,8))</f>
        <v/>
      </c>
    </row>
    <row r="274" ht="22" customHeight="1">
      <c r="B274" s="320" t="n"/>
      <c r="C274" s="240">
        <f>IF($B274="","",ROUND(SUMIF(Торговля!$E$5:$E$300,$B274&amp;"/*",Торговля!$F$5:$F$300)+SUMIF(Торговля!$E$5:$E$300,"*/"&amp;$B274,Торговля!$K$5:$K$300)+SUMIF(Лэндинг!$E$5:$E$300,$B274&amp;"/*",Лэндинг!$F$5:$F$300)+SUMIF(Лэндинг!$E$5:$E$300,"*/"&amp;$B274,Лэндинг!$K$5:$K$300)+SUMIF(Закрытые!$E$5:$E$300,$B274&amp;"/*",Закрытые!$F$5:$F$300)+SUMIF(Закрытые!$E$5:$E$300,"*/"&amp;$B274,Закрытые!$K$5:$K$300)+SUMIF(История!$B$5:$B$300,$B274&amp;"/*",История!$C$5:$C$300)+SUMIF(История!$B$5:$B$300,"*/"&amp;$B274,История!$H$5:$H$300),8))</f>
        <v/>
      </c>
      <c r="D274" s="240">
        <f>IF($B274="","",ROUND(SUMIF(Торговля!$E$5:$E$300,$B274&amp;"/*",Торговля!$I$5:$I$300)+SUMIF(Торговля!$E$5:$E$300,"*/"&amp;$B274,Торговля!$H$5:$H$300)+SUMIF(Лэндинг!$E$5:$E$300,$B274&amp;"/*",Лэндинг!$I$5:$I$300)+SUMIF(Лэндинг!$E$5:$E$300,"*/"&amp;$B274,Лэндинг!$H$5:$H$300)+SUMIF(Закрытые!$E$5:$E$300,$B274&amp;"/*",Закрытые!$I$5:$I$300)+SUMIF(Закрытые!$E$5:$E$300,"*/"&amp;$B274,Закрытые!$H$5:$H$300)+SUMIF(История!$B$5:$B$300,$B274&amp;"/*",История!$F$5:$F$300)+SUMIF(История!$B$5:$B$300,"*/"&amp;$B274,История!$E$5:$E$300),8))</f>
        <v/>
      </c>
      <c r="E274" s="339">
        <f>IF($B274="","",ROUND(C274-D274,8))</f>
        <v/>
      </c>
    </row>
    <row r="275" ht="22" customHeight="1">
      <c r="B275" s="315" t="n"/>
      <c r="C275" s="240">
        <f>IF($B275="","",ROUND(SUMIF(Торговля!$E$5:$E$300,$B275&amp;"/*",Торговля!$F$5:$F$300)+SUMIF(Торговля!$E$5:$E$300,"*/"&amp;$B275,Торговля!$K$5:$K$300)+SUMIF(Лэндинг!$E$5:$E$300,$B275&amp;"/*",Лэндинг!$F$5:$F$300)+SUMIF(Лэндинг!$E$5:$E$300,"*/"&amp;$B275,Лэндинг!$K$5:$K$300)+SUMIF(Закрытые!$E$5:$E$300,$B275&amp;"/*",Закрытые!$F$5:$F$300)+SUMIF(Закрытые!$E$5:$E$300,"*/"&amp;$B275,Закрытые!$K$5:$K$300)+SUMIF(История!$B$5:$B$300,$B275&amp;"/*",История!$C$5:$C$300)+SUMIF(История!$B$5:$B$300,"*/"&amp;$B275,История!$H$5:$H$300),8))</f>
        <v/>
      </c>
      <c r="D275" s="240">
        <f>IF($B275="","",ROUND(SUMIF(Торговля!$E$5:$E$300,$B275&amp;"/*",Торговля!$I$5:$I$300)+SUMIF(Торговля!$E$5:$E$300,"*/"&amp;$B275,Торговля!$H$5:$H$300)+SUMIF(Лэндинг!$E$5:$E$300,$B275&amp;"/*",Лэндинг!$I$5:$I$300)+SUMIF(Лэндинг!$E$5:$E$300,"*/"&amp;$B275,Лэндинг!$H$5:$H$300)+SUMIF(Закрытые!$E$5:$E$300,$B275&amp;"/*",Закрытые!$I$5:$I$300)+SUMIF(Закрытые!$E$5:$E$300,"*/"&amp;$B275,Закрытые!$H$5:$H$300)+SUMIF(История!$B$5:$B$300,$B275&amp;"/*",История!$F$5:$F$300)+SUMIF(История!$B$5:$B$300,"*/"&amp;$B275,История!$E$5:$E$300),8))</f>
        <v/>
      </c>
      <c r="E275" s="339">
        <f>IF($B275="","",ROUND(C275-D275,8))</f>
        <v/>
      </c>
    </row>
    <row r="276" ht="22" customHeight="1">
      <c r="B276" s="320" t="n"/>
      <c r="C276" s="240">
        <f>IF($B276="","",ROUND(SUMIF(Торговля!$E$5:$E$300,$B276&amp;"/*",Торговля!$F$5:$F$300)+SUMIF(Торговля!$E$5:$E$300,"*/"&amp;$B276,Торговля!$K$5:$K$300)+SUMIF(Лэндинг!$E$5:$E$300,$B276&amp;"/*",Лэндинг!$F$5:$F$300)+SUMIF(Лэндинг!$E$5:$E$300,"*/"&amp;$B276,Лэндинг!$K$5:$K$300)+SUMIF(Закрытые!$E$5:$E$300,$B276&amp;"/*",Закрытые!$F$5:$F$300)+SUMIF(Закрытые!$E$5:$E$300,"*/"&amp;$B276,Закрытые!$K$5:$K$300)+SUMIF(История!$B$5:$B$300,$B276&amp;"/*",История!$C$5:$C$300)+SUMIF(История!$B$5:$B$300,"*/"&amp;$B276,История!$H$5:$H$300),8))</f>
        <v/>
      </c>
      <c r="D276" s="240">
        <f>IF($B276="","",ROUND(SUMIF(Торговля!$E$5:$E$300,$B276&amp;"/*",Торговля!$I$5:$I$300)+SUMIF(Торговля!$E$5:$E$300,"*/"&amp;$B276,Торговля!$H$5:$H$300)+SUMIF(Лэндинг!$E$5:$E$300,$B276&amp;"/*",Лэндинг!$I$5:$I$300)+SUMIF(Лэндинг!$E$5:$E$300,"*/"&amp;$B276,Лэндинг!$H$5:$H$300)+SUMIF(Закрытые!$E$5:$E$300,$B276&amp;"/*",Закрытые!$I$5:$I$300)+SUMIF(Закрытые!$E$5:$E$300,"*/"&amp;$B276,Закрытые!$H$5:$H$300)+SUMIF(История!$B$5:$B$300,$B276&amp;"/*",История!$F$5:$F$300)+SUMIF(История!$B$5:$B$300,"*/"&amp;$B276,История!$E$5:$E$300),8))</f>
        <v/>
      </c>
      <c r="E276" s="339">
        <f>IF($B276="","",ROUND(C276-D276,8))</f>
        <v/>
      </c>
    </row>
    <row r="277" ht="22" customHeight="1">
      <c r="B277" s="315" t="n"/>
      <c r="C277" s="240">
        <f>IF($B277="","",ROUND(SUMIF(Торговля!$E$5:$E$300,$B277&amp;"/*",Торговля!$F$5:$F$300)+SUMIF(Торговля!$E$5:$E$300,"*/"&amp;$B277,Торговля!$K$5:$K$300)+SUMIF(Лэндинг!$E$5:$E$300,$B277&amp;"/*",Лэндинг!$F$5:$F$300)+SUMIF(Лэндинг!$E$5:$E$300,"*/"&amp;$B277,Лэндинг!$K$5:$K$300)+SUMIF(Закрытые!$E$5:$E$300,$B277&amp;"/*",Закрытые!$F$5:$F$300)+SUMIF(Закрытые!$E$5:$E$300,"*/"&amp;$B277,Закрытые!$K$5:$K$300)+SUMIF(История!$B$5:$B$300,$B277&amp;"/*",История!$C$5:$C$300)+SUMIF(История!$B$5:$B$300,"*/"&amp;$B277,История!$H$5:$H$300),8))</f>
        <v/>
      </c>
      <c r="D277" s="240">
        <f>IF($B277="","",ROUND(SUMIF(Торговля!$E$5:$E$300,$B277&amp;"/*",Торговля!$I$5:$I$300)+SUMIF(Торговля!$E$5:$E$300,"*/"&amp;$B277,Торговля!$H$5:$H$300)+SUMIF(Лэндинг!$E$5:$E$300,$B277&amp;"/*",Лэндинг!$I$5:$I$300)+SUMIF(Лэндинг!$E$5:$E$300,"*/"&amp;$B277,Лэндинг!$H$5:$H$300)+SUMIF(Закрытые!$E$5:$E$300,$B277&amp;"/*",Закрытые!$I$5:$I$300)+SUMIF(Закрытые!$E$5:$E$300,"*/"&amp;$B277,Закрытые!$H$5:$H$300)+SUMIF(История!$B$5:$B$300,$B277&amp;"/*",История!$F$5:$F$300)+SUMIF(История!$B$5:$B$300,"*/"&amp;$B277,История!$E$5:$E$300),8))</f>
        <v/>
      </c>
      <c r="E277" s="339">
        <f>IF($B277="","",ROUND(C277-D277,8))</f>
        <v/>
      </c>
    </row>
    <row r="278" ht="22" customHeight="1">
      <c r="B278" s="320" t="n"/>
      <c r="C278" s="240">
        <f>IF($B278="","",ROUND(SUMIF(Торговля!$E$5:$E$300,$B278&amp;"/*",Торговля!$F$5:$F$300)+SUMIF(Торговля!$E$5:$E$300,"*/"&amp;$B278,Торговля!$K$5:$K$300)+SUMIF(Лэндинг!$E$5:$E$300,$B278&amp;"/*",Лэндинг!$F$5:$F$300)+SUMIF(Лэндинг!$E$5:$E$300,"*/"&amp;$B278,Лэндинг!$K$5:$K$300)+SUMIF(Закрытые!$E$5:$E$300,$B278&amp;"/*",Закрытые!$F$5:$F$300)+SUMIF(Закрытые!$E$5:$E$300,"*/"&amp;$B278,Закрытые!$K$5:$K$300)+SUMIF(История!$B$5:$B$300,$B278&amp;"/*",История!$C$5:$C$300)+SUMIF(История!$B$5:$B$300,"*/"&amp;$B278,История!$H$5:$H$300),8))</f>
        <v/>
      </c>
      <c r="D278" s="240">
        <f>IF($B278="","",ROUND(SUMIF(Торговля!$E$5:$E$300,$B278&amp;"/*",Торговля!$I$5:$I$300)+SUMIF(Торговля!$E$5:$E$300,"*/"&amp;$B278,Торговля!$H$5:$H$300)+SUMIF(Лэндинг!$E$5:$E$300,$B278&amp;"/*",Лэндинг!$I$5:$I$300)+SUMIF(Лэндинг!$E$5:$E$300,"*/"&amp;$B278,Лэндинг!$H$5:$H$300)+SUMIF(Закрытые!$E$5:$E$300,$B278&amp;"/*",Закрытые!$I$5:$I$300)+SUMIF(Закрытые!$E$5:$E$300,"*/"&amp;$B278,Закрытые!$H$5:$H$300)+SUMIF(История!$B$5:$B$300,$B278&amp;"/*",История!$F$5:$F$300)+SUMIF(История!$B$5:$B$300,"*/"&amp;$B278,История!$E$5:$E$300),8))</f>
        <v/>
      </c>
      <c r="E278" s="339">
        <f>IF($B278="","",ROUND(C278-D278,8))</f>
        <v/>
      </c>
    </row>
    <row r="279" ht="22" customHeight="1">
      <c r="B279" s="315" t="n"/>
      <c r="C279" s="240">
        <f>IF($B279="","",ROUND(SUMIF(Торговля!$E$5:$E$300,$B279&amp;"/*",Торговля!$F$5:$F$300)+SUMIF(Торговля!$E$5:$E$300,"*/"&amp;$B279,Торговля!$K$5:$K$300)+SUMIF(Лэндинг!$E$5:$E$300,$B279&amp;"/*",Лэндинг!$F$5:$F$300)+SUMIF(Лэндинг!$E$5:$E$300,"*/"&amp;$B279,Лэндинг!$K$5:$K$300)+SUMIF(Закрытые!$E$5:$E$300,$B279&amp;"/*",Закрытые!$F$5:$F$300)+SUMIF(Закрытые!$E$5:$E$300,"*/"&amp;$B279,Закрытые!$K$5:$K$300)+SUMIF(История!$B$5:$B$300,$B279&amp;"/*",История!$C$5:$C$300)+SUMIF(История!$B$5:$B$300,"*/"&amp;$B279,История!$H$5:$H$300),8))</f>
        <v/>
      </c>
      <c r="D279" s="240">
        <f>IF($B279="","",ROUND(SUMIF(Торговля!$E$5:$E$300,$B279&amp;"/*",Торговля!$I$5:$I$300)+SUMIF(Торговля!$E$5:$E$300,"*/"&amp;$B279,Торговля!$H$5:$H$300)+SUMIF(Лэндинг!$E$5:$E$300,$B279&amp;"/*",Лэндинг!$I$5:$I$300)+SUMIF(Лэндинг!$E$5:$E$300,"*/"&amp;$B279,Лэндинг!$H$5:$H$300)+SUMIF(Закрытые!$E$5:$E$300,$B279&amp;"/*",Закрытые!$I$5:$I$300)+SUMIF(Закрытые!$E$5:$E$300,"*/"&amp;$B279,Закрытые!$H$5:$H$300)+SUMIF(История!$B$5:$B$300,$B279&amp;"/*",История!$F$5:$F$300)+SUMIF(История!$B$5:$B$300,"*/"&amp;$B279,История!$E$5:$E$300),8))</f>
        <v/>
      </c>
      <c r="E279" s="339">
        <f>IF($B279="","",ROUND(C279-D279,8))</f>
        <v/>
      </c>
    </row>
    <row r="280" ht="22" customHeight="1">
      <c r="B280" s="320" t="n"/>
      <c r="C280" s="240">
        <f>IF($B280="","",ROUND(SUMIF(Торговля!$E$5:$E$300,$B280&amp;"/*",Торговля!$F$5:$F$300)+SUMIF(Торговля!$E$5:$E$300,"*/"&amp;$B280,Торговля!$K$5:$K$300)+SUMIF(Лэндинг!$E$5:$E$300,$B280&amp;"/*",Лэндинг!$F$5:$F$300)+SUMIF(Лэндинг!$E$5:$E$300,"*/"&amp;$B280,Лэндинг!$K$5:$K$300)+SUMIF(Закрытые!$E$5:$E$300,$B280&amp;"/*",Закрытые!$F$5:$F$300)+SUMIF(Закрытые!$E$5:$E$300,"*/"&amp;$B280,Закрытые!$K$5:$K$300)+SUMIF(История!$B$5:$B$300,$B280&amp;"/*",История!$C$5:$C$300)+SUMIF(История!$B$5:$B$300,"*/"&amp;$B280,История!$H$5:$H$300),8))</f>
        <v/>
      </c>
      <c r="D280" s="240">
        <f>IF($B280="","",ROUND(SUMIF(Торговля!$E$5:$E$300,$B280&amp;"/*",Торговля!$I$5:$I$300)+SUMIF(Торговля!$E$5:$E$300,"*/"&amp;$B280,Торговля!$H$5:$H$300)+SUMIF(Лэндинг!$E$5:$E$300,$B280&amp;"/*",Лэндинг!$I$5:$I$300)+SUMIF(Лэндинг!$E$5:$E$300,"*/"&amp;$B280,Лэндинг!$H$5:$H$300)+SUMIF(Закрытые!$E$5:$E$300,$B280&amp;"/*",Закрытые!$I$5:$I$300)+SUMIF(Закрытые!$E$5:$E$300,"*/"&amp;$B280,Закрытые!$H$5:$H$300)+SUMIF(История!$B$5:$B$300,$B280&amp;"/*",История!$F$5:$F$300)+SUMIF(История!$B$5:$B$300,"*/"&amp;$B280,История!$E$5:$E$300),8))</f>
        <v/>
      </c>
      <c r="E280" s="339">
        <f>IF($B280="","",ROUND(C280-D280,8))</f>
        <v/>
      </c>
    </row>
    <row r="281" ht="22" customHeight="1">
      <c r="B281" s="315" t="n"/>
      <c r="C281" s="240">
        <f>IF($B281="","",ROUND(SUMIF(Торговля!$E$5:$E$300,$B281&amp;"/*",Торговля!$F$5:$F$300)+SUMIF(Торговля!$E$5:$E$300,"*/"&amp;$B281,Торговля!$K$5:$K$300)+SUMIF(Лэндинг!$E$5:$E$300,$B281&amp;"/*",Лэндинг!$F$5:$F$300)+SUMIF(Лэндинг!$E$5:$E$300,"*/"&amp;$B281,Лэндинг!$K$5:$K$300)+SUMIF(Закрытые!$E$5:$E$300,$B281&amp;"/*",Закрытые!$F$5:$F$300)+SUMIF(Закрытые!$E$5:$E$300,"*/"&amp;$B281,Закрытые!$K$5:$K$300)+SUMIF(История!$B$5:$B$300,$B281&amp;"/*",История!$C$5:$C$300)+SUMIF(История!$B$5:$B$300,"*/"&amp;$B281,История!$H$5:$H$300),8))</f>
        <v/>
      </c>
      <c r="D281" s="240">
        <f>IF($B281="","",ROUND(SUMIF(Торговля!$E$5:$E$300,$B281&amp;"/*",Торговля!$I$5:$I$300)+SUMIF(Торговля!$E$5:$E$300,"*/"&amp;$B281,Торговля!$H$5:$H$300)+SUMIF(Лэндинг!$E$5:$E$300,$B281&amp;"/*",Лэндинг!$I$5:$I$300)+SUMIF(Лэндинг!$E$5:$E$300,"*/"&amp;$B281,Лэндинг!$H$5:$H$300)+SUMIF(Закрытые!$E$5:$E$300,$B281&amp;"/*",Закрытые!$I$5:$I$300)+SUMIF(Закрытые!$E$5:$E$300,"*/"&amp;$B281,Закрытые!$H$5:$H$300)+SUMIF(История!$B$5:$B$300,$B281&amp;"/*",История!$F$5:$F$300)+SUMIF(История!$B$5:$B$300,"*/"&amp;$B281,История!$E$5:$E$300),8))</f>
        <v/>
      </c>
      <c r="E281" s="339">
        <f>IF($B281="","",ROUND(C281-D281,8))</f>
        <v/>
      </c>
    </row>
    <row r="282" ht="22" customHeight="1">
      <c r="B282" s="320" t="n"/>
      <c r="C282" s="240">
        <f>IF($B282="","",ROUND(SUMIF(Торговля!$E$5:$E$300,$B282&amp;"/*",Торговля!$F$5:$F$300)+SUMIF(Торговля!$E$5:$E$300,"*/"&amp;$B282,Торговля!$K$5:$K$300)+SUMIF(Лэндинг!$E$5:$E$300,$B282&amp;"/*",Лэндинг!$F$5:$F$300)+SUMIF(Лэндинг!$E$5:$E$300,"*/"&amp;$B282,Лэндинг!$K$5:$K$300)+SUMIF(Закрытые!$E$5:$E$300,$B282&amp;"/*",Закрытые!$F$5:$F$300)+SUMIF(Закрытые!$E$5:$E$300,"*/"&amp;$B282,Закрытые!$K$5:$K$300)+SUMIF(История!$B$5:$B$300,$B282&amp;"/*",История!$C$5:$C$300)+SUMIF(История!$B$5:$B$300,"*/"&amp;$B282,История!$H$5:$H$300),8))</f>
        <v/>
      </c>
      <c r="D282" s="240">
        <f>IF($B282="","",ROUND(SUMIF(Торговля!$E$5:$E$300,$B282&amp;"/*",Торговля!$I$5:$I$300)+SUMIF(Торговля!$E$5:$E$300,"*/"&amp;$B282,Торговля!$H$5:$H$300)+SUMIF(Лэндинг!$E$5:$E$300,$B282&amp;"/*",Лэндинг!$I$5:$I$300)+SUMIF(Лэндинг!$E$5:$E$300,"*/"&amp;$B282,Лэндинг!$H$5:$H$300)+SUMIF(Закрытые!$E$5:$E$300,$B282&amp;"/*",Закрытые!$I$5:$I$300)+SUMIF(Закрытые!$E$5:$E$300,"*/"&amp;$B282,Закрытые!$H$5:$H$300)+SUMIF(История!$B$5:$B$300,$B282&amp;"/*",История!$F$5:$F$300)+SUMIF(История!$B$5:$B$300,"*/"&amp;$B282,История!$E$5:$E$300),8))</f>
        <v/>
      </c>
      <c r="E282" s="339">
        <f>IF($B282="","",ROUND(C282-D282,8))</f>
        <v/>
      </c>
    </row>
    <row r="283" ht="22" customHeight="1">
      <c r="B283" s="315" t="n"/>
      <c r="C283" s="240">
        <f>IF($B283="","",ROUND(SUMIF(Торговля!$E$5:$E$300,$B283&amp;"/*",Торговля!$F$5:$F$300)+SUMIF(Торговля!$E$5:$E$300,"*/"&amp;$B283,Торговля!$K$5:$K$300)+SUMIF(Лэндинг!$E$5:$E$300,$B283&amp;"/*",Лэндинг!$F$5:$F$300)+SUMIF(Лэндинг!$E$5:$E$300,"*/"&amp;$B283,Лэндинг!$K$5:$K$300)+SUMIF(Закрытые!$E$5:$E$300,$B283&amp;"/*",Закрытые!$F$5:$F$300)+SUMIF(Закрытые!$E$5:$E$300,"*/"&amp;$B283,Закрытые!$K$5:$K$300)+SUMIF(История!$B$5:$B$300,$B283&amp;"/*",История!$C$5:$C$300)+SUMIF(История!$B$5:$B$300,"*/"&amp;$B283,История!$H$5:$H$300),8))</f>
        <v/>
      </c>
      <c r="D283" s="240">
        <f>IF($B283="","",ROUND(SUMIF(Торговля!$E$5:$E$300,$B283&amp;"/*",Торговля!$I$5:$I$300)+SUMIF(Торговля!$E$5:$E$300,"*/"&amp;$B283,Торговля!$H$5:$H$300)+SUMIF(Лэндинг!$E$5:$E$300,$B283&amp;"/*",Лэндинг!$I$5:$I$300)+SUMIF(Лэндинг!$E$5:$E$300,"*/"&amp;$B283,Лэндинг!$H$5:$H$300)+SUMIF(Закрытые!$E$5:$E$300,$B283&amp;"/*",Закрытые!$I$5:$I$300)+SUMIF(Закрытые!$E$5:$E$300,"*/"&amp;$B283,Закрытые!$H$5:$H$300)+SUMIF(История!$B$5:$B$300,$B283&amp;"/*",История!$F$5:$F$300)+SUMIF(История!$B$5:$B$300,"*/"&amp;$B283,История!$E$5:$E$300),8))</f>
        <v/>
      </c>
      <c r="E283" s="339">
        <f>IF($B283="","",ROUND(C283-D283,8))</f>
        <v/>
      </c>
    </row>
    <row r="284" ht="22" customHeight="1">
      <c r="B284" s="320" t="n"/>
      <c r="C284" s="240">
        <f>IF($B284="","",ROUND(SUMIF(Торговля!$E$5:$E$300,$B284&amp;"/*",Торговля!$F$5:$F$300)+SUMIF(Торговля!$E$5:$E$300,"*/"&amp;$B284,Торговля!$K$5:$K$300)+SUMIF(Лэндинг!$E$5:$E$300,$B284&amp;"/*",Лэндинг!$F$5:$F$300)+SUMIF(Лэндинг!$E$5:$E$300,"*/"&amp;$B284,Лэндинг!$K$5:$K$300)+SUMIF(Закрытые!$E$5:$E$300,$B284&amp;"/*",Закрытые!$F$5:$F$300)+SUMIF(Закрытые!$E$5:$E$300,"*/"&amp;$B284,Закрытые!$K$5:$K$300)+SUMIF(История!$B$5:$B$300,$B284&amp;"/*",История!$C$5:$C$300)+SUMIF(История!$B$5:$B$300,"*/"&amp;$B284,История!$H$5:$H$300),8))</f>
        <v/>
      </c>
      <c r="D284" s="240">
        <f>IF($B284="","",ROUND(SUMIF(Торговля!$E$5:$E$300,$B284&amp;"/*",Торговля!$I$5:$I$300)+SUMIF(Торговля!$E$5:$E$300,"*/"&amp;$B284,Торговля!$H$5:$H$300)+SUMIF(Лэндинг!$E$5:$E$300,$B284&amp;"/*",Лэндинг!$I$5:$I$300)+SUMIF(Лэндинг!$E$5:$E$300,"*/"&amp;$B284,Лэндинг!$H$5:$H$300)+SUMIF(Закрытые!$E$5:$E$300,$B284&amp;"/*",Закрытые!$I$5:$I$300)+SUMIF(Закрытые!$E$5:$E$300,"*/"&amp;$B284,Закрытые!$H$5:$H$300)+SUMIF(История!$B$5:$B$300,$B284&amp;"/*",История!$F$5:$F$300)+SUMIF(История!$B$5:$B$300,"*/"&amp;$B284,История!$E$5:$E$300),8))</f>
        <v/>
      </c>
      <c r="E284" s="339">
        <f>IF($B284="","",ROUND(C284-D284,8))</f>
        <v/>
      </c>
    </row>
    <row r="285" ht="22" customHeight="1">
      <c r="B285" s="315" t="n"/>
      <c r="C285" s="240">
        <f>IF($B285="","",ROUND(SUMIF(Торговля!$E$5:$E$300,$B285&amp;"/*",Торговля!$F$5:$F$300)+SUMIF(Торговля!$E$5:$E$300,"*/"&amp;$B285,Торговля!$K$5:$K$300)+SUMIF(Лэндинг!$E$5:$E$300,$B285&amp;"/*",Лэндинг!$F$5:$F$300)+SUMIF(Лэндинг!$E$5:$E$300,"*/"&amp;$B285,Лэндинг!$K$5:$K$300)+SUMIF(Закрытые!$E$5:$E$300,$B285&amp;"/*",Закрытые!$F$5:$F$300)+SUMIF(Закрытые!$E$5:$E$300,"*/"&amp;$B285,Закрытые!$K$5:$K$300)+SUMIF(История!$B$5:$B$300,$B285&amp;"/*",История!$C$5:$C$300)+SUMIF(История!$B$5:$B$300,"*/"&amp;$B285,История!$H$5:$H$300),8))</f>
        <v/>
      </c>
      <c r="D285" s="240">
        <f>IF($B285="","",ROUND(SUMIF(Торговля!$E$5:$E$300,$B285&amp;"/*",Торговля!$I$5:$I$300)+SUMIF(Торговля!$E$5:$E$300,"*/"&amp;$B285,Торговля!$H$5:$H$300)+SUMIF(Лэндинг!$E$5:$E$300,$B285&amp;"/*",Лэндинг!$I$5:$I$300)+SUMIF(Лэндинг!$E$5:$E$300,"*/"&amp;$B285,Лэндинг!$H$5:$H$300)+SUMIF(Закрытые!$E$5:$E$300,$B285&amp;"/*",Закрытые!$I$5:$I$300)+SUMIF(Закрытые!$E$5:$E$300,"*/"&amp;$B285,Закрытые!$H$5:$H$300)+SUMIF(История!$B$5:$B$300,$B285&amp;"/*",История!$F$5:$F$300)+SUMIF(История!$B$5:$B$300,"*/"&amp;$B285,История!$E$5:$E$300),8))</f>
        <v/>
      </c>
      <c r="E285" s="339">
        <f>IF($B285="","",ROUND(C285-D285,8))</f>
        <v/>
      </c>
    </row>
    <row r="286" ht="22" customHeight="1">
      <c r="B286" s="320" t="n"/>
      <c r="C286" s="240">
        <f>IF($B286="","",ROUND(SUMIF(Торговля!$E$5:$E$300,$B286&amp;"/*",Торговля!$F$5:$F$300)+SUMIF(Торговля!$E$5:$E$300,"*/"&amp;$B286,Торговля!$K$5:$K$300)+SUMIF(Лэндинг!$E$5:$E$300,$B286&amp;"/*",Лэндинг!$F$5:$F$300)+SUMIF(Лэндинг!$E$5:$E$300,"*/"&amp;$B286,Лэндинг!$K$5:$K$300)+SUMIF(Закрытые!$E$5:$E$300,$B286&amp;"/*",Закрытые!$F$5:$F$300)+SUMIF(Закрытые!$E$5:$E$300,"*/"&amp;$B286,Закрытые!$K$5:$K$300)+SUMIF(История!$B$5:$B$300,$B286&amp;"/*",История!$C$5:$C$300)+SUMIF(История!$B$5:$B$300,"*/"&amp;$B286,История!$H$5:$H$300),8))</f>
        <v/>
      </c>
      <c r="D286" s="240">
        <f>IF($B286="","",ROUND(SUMIF(Торговля!$E$5:$E$300,$B286&amp;"/*",Торговля!$I$5:$I$300)+SUMIF(Торговля!$E$5:$E$300,"*/"&amp;$B286,Торговля!$H$5:$H$300)+SUMIF(Лэндинг!$E$5:$E$300,$B286&amp;"/*",Лэндинг!$I$5:$I$300)+SUMIF(Лэндинг!$E$5:$E$300,"*/"&amp;$B286,Лэндинг!$H$5:$H$300)+SUMIF(Закрытые!$E$5:$E$300,$B286&amp;"/*",Закрытые!$I$5:$I$300)+SUMIF(Закрытые!$E$5:$E$300,"*/"&amp;$B286,Закрытые!$H$5:$H$300)+SUMIF(История!$B$5:$B$300,$B286&amp;"/*",История!$F$5:$F$300)+SUMIF(История!$B$5:$B$300,"*/"&amp;$B286,История!$E$5:$E$300),8))</f>
        <v/>
      </c>
      <c r="E286" s="339">
        <f>IF($B286="","",ROUND(C286-D286,8))</f>
        <v/>
      </c>
    </row>
    <row r="287" ht="22" customHeight="1">
      <c r="B287" s="315" t="n"/>
      <c r="C287" s="240">
        <f>IF($B287="","",ROUND(SUMIF(Торговля!$E$5:$E$300,$B287&amp;"/*",Торговля!$F$5:$F$300)+SUMIF(Торговля!$E$5:$E$300,"*/"&amp;$B287,Торговля!$K$5:$K$300)+SUMIF(Лэндинг!$E$5:$E$300,$B287&amp;"/*",Лэндинг!$F$5:$F$300)+SUMIF(Лэндинг!$E$5:$E$300,"*/"&amp;$B287,Лэндинг!$K$5:$K$300)+SUMIF(Закрытые!$E$5:$E$300,$B287&amp;"/*",Закрытые!$F$5:$F$300)+SUMIF(Закрытые!$E$5:$E$300,"*/"&amp;$B287,Закрытые!$K$5:$K$300)+SUMIF(История!$B$5:$B$300,$B287&amp;"/*",История!$C$5:$C$300)+SUMIF(История!$B$5:$B$300,"*/"&amp;$B287,История!$H$5:$H$300),8))</f>
        <v/>
      </c>
      <c r="D287" s="240">
        <f>IF($B287="","",ROUND(SUMIF(Торговля!$E$5:$E$300,$B287&amp;"/*",Торговля!$I$5:$I$300)+SUMIF(Торговля!$E$5:$E$300,"*/"&amp;$B287,Торговля!$H$5:$H$300)+SUMIF(Лэндинг!$E$5:$E$300,$B287&amp;"/*",Лэндинг!$I$5:$I$300)+SUMIF(Лэндинг!$E$5:$E$300,"*/"&amp;$B287,Лэндинг!$H$5:$H$300)+SUMIF(Закрытые!$E$5:$E$300,$B287&amp;"/*",Закрытые!$I$5:$I$300)+SUMIF(Закрытые!$E$5:$E$300,"*/"&amp;$B287,Закрытые!$H$5:$H$300)+SUMIF(История!$B$5:$B$300,$B287&amp;"/*",История!$F$5:$F$300)+SUMIF(История!$B$5:$B$300,"*/"&amp;$B287,История!$E$5:$E$300),8))</f>
        <v/>
      </c>
      <c r="E287" s="339">
        <f>IF($B287="","",ROUND(C287-D287,8))</f>
        <v/>
      </c>
    </row>
    <row r="288" ht="22" customHeight="1">
      <c r="B288" s="320" t="n"/>
      <c r="C288" s="240">
        <f>IF($B288="","",ROUND(SUMIF(Торговля!$E$5:$E$300,$B288&amp;"/*",Торговля!$F$5:$F$300)+SUMIF(Торговля!$E$5:$E$300,"*/"&amp;$B288,Торговля!$K$5:$K$300)+SUMIF(Лэндинг!$E$5:$E$300,$B288&amp;"/*",Лэндинг!$F$5:$F$300)+SUMIF(Лэндинг!$E$5:$E$300,"*/"&amp;$B288,Лэндинг!$K$5:$K$300)+SUMIF(Закрытые!$E$5:$E$300,$B288&amp;"/*",Закрытые!$F$5:$F$300)+SUMIF(Закрытые!$E$5:$E$300,"*/"&amp;$B288,Закрытые!$K$5:$K$300)+SUMIF(История!$B$5:$B$300,$B288&amp;"/*",История!$C$5:$C$300)+SUMIF(История!$B$5:$B$300,"*/"&amp;$B288,История!$H$5:$H$300),8))</f>
        <v/>
      </c>
      <c r="D288" s="240">
        <f>IF($B288="","",ROUND(SUMIF(Торговля!$E$5:$E$300,$B288&amp;"/*",Торговля!$I$5:$I$300)+SUMIF(Торговля!$E$5:$E$300,"*/"&amp;$B288,Торговля!$H$5:$H$300)+SUMIF(Лэндинг!$E$5:$E$300,$B288&amp;"/*",Лэндинг!$I$5:$I$300)+SUMIF(Лэндинг!$E$5:$E$300,"*/"&amp;$B288,Лэндинг!$H$5:$H$300)+SUMIF(Закрытые!$E$5:$E$300,$B288&amp;"/*",Закрытые!$I$5:$I$300)+SUMIF(Закрытые!$E$5:$E$300,"*/"&amp;$B288,Закрытые!$H$5:$H$300)+SUMIF(История!$B$5:$B$300,$B288&amp;"/*",История!$F$5:$F$300)+SUMIF(История!$B$5:$B$300,"*/"&amp;$B288,История!$E$5:$E$300),8))</f>
        <v/>
      </c>
      <c r="E288" s="339">
        <f>IF($B288="","",ROUND(C288-D288,8))</f>
        <v/>
      </c>
    </row>
    <row r="289" ht="22" customHeight="1">
      <c r="B289" s="315" t="n"/>
      <c r="C289" s="240">
        <f>IF($B289="","",ROUND(SUMIF(Торговля!$E$5:$E$300,$B289&amp;"/*",Торговля!$F$5:$F$300)+SUMIF(Торговля!$E$5:$E$300,"*/"&amp;$B289,Торговля!$K$5:$K$300)+SUMIF(Лэндинг!$E$5:$E$300,$B289&amp;"/*",Лэндинг!$F$5:$F$300)+SUMIF(Лэндинг!$E$5:$E$300,"*/"&amp;$B289,Лэндинг!$K$5:$K$300)+SUMIF(Закрытые!$E$5:$E$300,$B289&amp;"/*",Закрытые!$F$5:$F$300)+SUMIF(Закрытые!$E$5:$E$300,"*/"&amp;$B289,Закрытые!$K$5:$K$300)+SUMIF(История!$B$5:$B$300,$B289&amp;"/*",История!$C$5:$C$300)+SUMIF(История!$B$5:$B$300,"*/"&amp;$B289,История!$H$5:$H$300),8))</f>
        <v/>
      </c>
      <c r="D289" s="240">
        <f>IF($B289="","",ROUND(SUMIF(Торговля!$E$5:$E$300,$B289&amp;"/*",Торговля!$I$5:$I$300)+SUMIF(Торговля!$E$5:$E$300,"*/"&amp;$B289,Торговля!$H$5:$H$300)+SUMIF(Лэндинг!$E$5:$E$300,$B289&amp;"/*",Лэндинг!$I$5:$I$300)+SUMIF(Лэндинг!$E$5:$E$300,"*/"&amp;$B289,Лэндинг!$H$5:$H$300)+SUMIF(Закрытые!$E$5:$E$300,$B289&amp;"/*",Закрытые!$I$5:$I$300)+SUMIF(Закрытые!$E$5:$E$300,"*/"&amp;$B289,Закрытые!$H$5:$H$300)+SUMIF(История!$B$5:$B$300,$B289&amp;"/*",История!$F$5:$F$300)+SUMIF(История!$B$5:$B$300,"*/"&amp;$B289,История!$E$5:$E$300),8))</f>
        <v/>
      </c>
      <c r="E289" s="339">
        <f>IF($B289="","",ROUND(C289-D289,8))</f>
        <v/>
      </c>
    </row>
    <row r="290" ht="22" customHeight="1">
      <c r="B290" s="320" t="n"/>
      <c r="C290" s="240">
        <f>IF($B290="","",ROUND(SUMIF(Торговля!$E$5:$E$300,$B290&amp;"/*",Торговля!$F$5:$F$300)+SUMIF(Торговля!$E$5:$E$300,"*/"&amp;$B290,Торговля!$K$5:$K$300)+SUMIF(Лэндинг!$E$5:$E$300,$B290&amp;"/*",Лэндинг!$F$5:$F$300)+SUMIF(Лэндинг!$E$5:$E$300,"*/"&amp;$B290,Лэндинг!$K$5:$K$300)+SUMIF(Закрытые!$E$5:$E$300,$B290&amp;"/*",Закрытые!$F$5:$F$300)+SUMIF(Закрытые!$E$5:$E$300,"*/"&amp;$B290,Закрытые!$K$5:$K$300)+SUMIF(История!$B$5:$B$300,$B290&amp;"/*",История!$C$5:$C$300)+SUMIF(История!$B$5:$B$300,"*/"&amp;$B290,История!$H$5:$H$300),8))</f>
        <v/>
      </c>
      <c r="D290" s="240">
        <f>IF($B290="","",ROUND(SUMIF(Торговля!$E$5:$E$300,$B290&amp;"/*",Торговля!$I$5:$I$300)+SUMIF(Торговля!$E$5:$E$300,"*/"&amp;$B290,Торговля!$H$5:$H$300)+SUMIF(Лэндинг!$E$5:$E$300,$B290&amp;"/*",Лэндинг!$I$5:$I$300)+SUMIF(Лэндинг!$E$5:$E$300,"*/"&amp;$B290,Лэндинг!$H$5:$H$300)+SUMIF(Закрытые!$E$5:$E$300,$B290&amp;"/*",Закрытые!$I$5:$I$300)+SUMIF(Закрытые!$E$5:$E$300,"*/"&amp;$B290,Закрытые!$H$5:$H$300)+SUMIF(История!$B$5:$B$300,$B290&amp;"/*",История!$F$5:$F$300)+SUMIF(История!$B$5:$B$300,"*/"&amp;$B290,История!$E$5:$E$300),8))</f>
        <v/>
      </c>
      <c r="E290" s="339">
        <f>IF($B290="","",ROUND(C290-D290,8))</f>
        <v/>
      </c>
    </row>
    <row r="291" ht="22" customHeight="1">
      <c r="B291" s="315" t="n"/>
      <c r="C291" s="240">
        <f>IF($B291="","",ROUND(SUMIF(Торговля!$E$5:$E$300,$B291&amp;"/*",Торговля!$F$5:$F$300)+SUMIF(Торговля!$E$5:$E$300,"*/"&amp;$B291,Торговля!$K$5:$K$300)+SUMIF(Лэндинг!$E$5:$E$300,$B291&amp;"/*",Лэндинг!$F$5:$F$300)+SUMIF(Лэндинг!$E$5:$E$300,"*/"&amp;$B291,Лэндинг!$K$5:$K$300)+SUMIF(Закрытые!$E$5:$E$300,$B291&amp;"/*",Закрытые!$F$5:$F$300)+SUMIF(Закрытые!$E$5:$E$300,"*/"&amp;$B291,Закрытые!$K$5:$K$300)+SUMIF(История!$B$5:$B$300,$B291&amp;"/*",История!$C$5:$C$300)+SUMIF(История!$B$5:$B$300,"*/"&amp;$B291,История!$H$5:$H$300),8))</f>
        <v/>
      </c>
      <c r="D291" s="240">
        <f>IF($B291="","",ROUND(SUMIF(Торговля!$E$5:$E$300,$B291&amp;"/*",Торговля!$I$5:$I$300)+SUMIF(Торговля!$E$5:$E$300,"*/"&amp;$B291,Торговля!$H$5:$H$300)+SUMIF(Лэндинг!$E$5:$E$300,$B291&amp;"/*",Лэндинг!$I$5:$I$300)+SUMIF(Лэндинг!$E$5:$E$300,"*/"&amp;$B291,Лэндинг!$H$5:$H$300)+SUMIF(Закрытые!$E$5:$E$300,$B291&amp;"/*",Закрытые!$I$5:$I$300)+SUMIF(Закрытые!$E$5:$E$300,"*/"&amp;$B291,Закрытые!$H$5:$H$300)+SUMIF(История!$B$5:$B$300,$B291&amp;"/*",История!$F$5:$F$300)+SUMIF(История!$B$5:$B$300,"*/"&amp;$B291,История!$E$5:$E$300),8))</f>
        <v/>
      </c>
      <c r="E291" s="339">
        <f>IF($B291="","",ROUND(C291-D291,8))</f>
        <v/>
      </c>
    </row>
    <row r="292" ht="22" customHeight="1">
      <c r="B292" s="320" t="n"/>
      <c r="C292" s="240">
        <f>IF($B292="","",ROUND(SUMIF(Торговля!$E$5:$E$300,$B292&amp;"/*",Торговля!$F$5:$F$300)+SUMIF(Торговля!$E$5:$E$300,"*/"&amp;$B292,Торговля!$K$5:$K$300)+SUMIF(Лэндинг!$E$5:$E$300,$B292&amp;"/*",Лэндинг!$F$5:$F$300)+SUMIF(Лэндинг!$E$5:$E$300,"*/"&amp;$B292,Лэндинг!$K$5:$K$300)+SUMIF(Закрытые!$E$5:$E$300,$B292&amp;"/*",Закрытые!$F$5:$F$300)+SUMIF(Закрытые!$E$5:$E$300,"*/"&amp;$B292,Закрытые!$K$5:$K$300)+SUMIF(История!$B$5:$B$300,$B292&amp;"/*",История!$C$5:$C$300)+SUMIF(История!$B$5:$B$300,"*/"&amp;$B292,История!$H$5:$H$300),8))</f>
        <v/>
      </c>
      <c r="D292" s="240">
        <f>IF($B292="","",ROUND(SUMIF(Торговля!$E$5:$E$300,$B292&amp;"/*",Торговля!$I$5:$I$300)+SUMIF(Торговля!$E$5:$E$300,"*/"&amp;$B292,Торговля!$H$5:$H$300)+SUMIF(Лэндинг!$E$5:$E$300,$B292&amp;"/*",Лэндинг!$I$5:$I$300)+SUMIF(Лэндинг!$E$5:$E$300,"*/"&amp;$B292,Лэндинг!$H$5:$H$300)+SUMIF(Закрытые!$E$5:$E$300,$B292&amp;"/*",Закрытые!$I$5:$I$300)+SUMIF(Закрытые!$E$5:$E$300,"*/"&amp;$B292,Закрытые!$H$5:$H$300)+SUMIF(История!$B$5:$B$300,$B292&amp;"/*",История!$F$5:$F$300)+SUMIF(История!$B$5:$B$300,"*/"&amp;$B292,История!$E$5:$E$300),8))</f>
        <v/>
      </c>
      <c r="E292" s="339">
        <f>IF($B292="","",ROUND(C292-D292,8))</f>
        <v/>
      </c>
    </row>
    <row r="293" ht="22" customHeight="1">
      <c r="B293" s="315" t="n"/>
      <c r="C293" s="240">
        <f>IF($B293="","",ROUND(SUMIF(Торговля!$E$5:$E$300,$B293&amp;"/*",Торговля!$F$5:$F$300)+SUMIF(Торговля!$E$5:$E$300,"*/"&amp;$B293,Торговля!$K$5:$K$300)+SUMIF(Лэндинг!$E$5:$E$300,$B293&amp;"/*",Лэндинг!$F$5:$F$300)+SUMIF(Лэндинг!$E$5:$E$300,"*/"&amp;$B293,Лэндинг!$K$5:$K$300)+SUMIF(Закрытые!$E$5:$E$300,$B293&amp;"/*",Закрытые!$F$5:$F$300)+SUMIF(Закрытые!$E$5:$E$300,"*/"&amp;$B293,Закрытые!$K$5:$K$300)+SUMIF(История!$B$5:$B$300,$B293&amp;"/*",История!$C$5:$C$300)+SUMIF(История!$B$5:$B$300,"*/"&amp;$B293,История!$H$5:$H$300),8))</f>
        <v/>
      </c>
      <c r="D293" s="240">
        <f>IF($B293="","",ROUND(SUMIF(Торговля!$E$5:$E$300,$B293&amp;"/*",Торговля!$I$5:$I$300)+SUMIF(Торговля!$E$5:$E$300,"*/"&amp;$B293,Торговля!$H$5:$H$300)+SUMIF(Лэндинг!$E$5:$E$300,$B293&amp;"/*",Лэндинг!$I$5:$I$300)+SUMIF(Лэндинг!$E$5:$E$300,"*/"&amp;$B293,Лэндинг!$H$5:$H$300)+SUMIF(Закрытые!$E$5:$E$300,$B293&amp;"/*",Закрытые!$I$5:$I$300)+SUMIF(Закрытые!$E$5:$E$300,"*/"&amp;$B293,Закрытые!$H$5:$H$300)+SUMIF(История!$B$5:$B$300,$B293&amp;"/*",История!$F$5:$F$300)+SUMIF(История!$B$5:$B$300,"*/"&amp;$B293,История!$E$5:$E$300),8))</f>
        <v/>
      </c>
      <c r="E293" s="339">
        <f>IF($B293="","",ROUND(C293-D293,8))</f>
        <v/>
      </c>
    </row>
    <row r="294" ht="22" customHeight="1">
      <c r="B294" s="320" t="n"/>
      <c r="C294" s="240">
        <f>IF($B294="","",ROUND(SUMIF(Торговля!$E$5:$E$300,$B294&amp;"/*",Торговля!$F$5:$F$300)+SUMIF(Торговля!$E$5:$E$300,"*/"&amp;$B294,Торговля!$K$5:$K$300)+SUMIF(Лэндинг!$E$5:$E$300,$B294&amp;"/*",Лэндинг!$F$5:$F$300)+SUMIF(Лэндинг!$E$5:$E$300,"*/"&amp;$B294,Лэндинг!$K$5:$K$300)+SUMIF(Закрытые!$E$5:$E$300,$B294&amp;"/*",Закрытые!$F$5:$F$300)+SUMIF(Закрытые!$E$5:$E$300,"*/"&amp;$B294,Закрытые!$K$5:$K$300)+SUMIF(История!$B$5:$B$300,$B294&amp;"/*",История!$C$5:$C$300)+SUMIF(История!$B$5:$B$300,"*/"&amp;$B294,История!$H$5:$H$300),8))</f>
        <v/>
      </c>
      <c r="D294" s="240">
        <f>IF($B294="","",ROUND(SUMIF(Торговля!$E$5:$E$300,$B294&amp;"/*",Торговля!$I$5:$I$300)+SUMIF(Торговля!$E$5:$E$300,"*/"&amp;$B294,Торговля!$H$5:$H$300)+SUMIF(Лэндинг!$E$5:$E$300,$B294&amp;"/*",Лэндинг!$I$5:$I$300)+SUMIF(Лэндинг!$E$5:$E$300,"*/"&amp;$B294,Лэндинг!$H$5:$H$300)+SUMIF(Закрытые!$E$5:$E$300,$B294&amp;"/*",Закрытые!$I$5:$I$300)+SUMIF(Закрытые!$E$5:$E$300,"*/"&amp;$B294,Закрытые!$H$5:$H$300)+SUMIF(История!$B$5:$B$300,$B294&amp;"/*",История!$F$5:$F$300)+SUMIF(История!$B$5:$B$300,"*/"&amp;$B294,История!$E$5:$E$300),8))</f>
        <v/>
      </c>
      <c r="E294" s="339">
        <f>IF($B294="","",ROUND(C294-D294,8))</f>
        <v/>
      </c>
    </row>
    <row r="295" ht="22" customHeight="1">
      <c r="B295" s="315" t="n"/>
      <c r="C295" s="240">
        <f>IF($B295="","",ROUND(SUMIF(Торговля!$E$5:$E$300,$B295&amp;"/*",Торговля!$F$5:$F$300)+SUMIF(Торговля!$E$5:$E$300,"*/"&amp;$B295,Торговля!$K$5:$K$300)+SUMIF(Лэндинг!$E$5:$E$300,$B295&amp;"/*",Лэндинг!$F$5:$F$300)+SUMIF(Лэндинг!$E$5:$E$300,"*/"&amp;$B295,Лэндинг!$K$5:$K$300)+SUMIF(Закрытые!$E$5:$E$300,$B295&amp;"/*",Закрытые!$F$5:$F$300)+SUMIF(Закрытые!$E$5:$E$300,"*/"&amp;$B295,Закрытые!$K$5:$K$300)+SUMIF(История!$B$5:$B$300,$B295&amp;"/*",История!$C$5:$C$300)+SUMIF(История!$B$5:$B$300,"*/"&amp;$B295,История!$H$5:$H$300),8))</f>
        <v/>
      </c>
      <c r="D295" s="240">
        <f>IF($B295="","",ROUND(SUMIF(Торговля!$E$5:$E$300,$B295&amp;"/*",Торговля!$I$5:$I$300)+SUMIF(Торговля!$E$5:$E$300,"*/"&amp;$B295,Торговля!$H$5:$H$300)+SUMIF(Лэндинг!$E$5:$E$300,$B295&amp;"/*",Лэндинг!$I$5:$I$300)+SUMIF(Лэндинг!$E$5:$E$300,"*/"&amp;$B295,Лэндинг!$H$5:$H$300)+SUMIF(Закрытые!$E$5:$E$300,$B295&amp;"/*",Закрытые!$I$5:$I$300)+SUMIF(Закрытые!$E$5:$E$300,"*/"&amp;$B295,Закрытые!$H$5:$H$300)+SUMIF(История!$B$5:$B$300,$B295&amp;"/*",История!$F$5:$F$300)+SUMIF(История!$B$5:$B$300,"*/"&amp;$B295,История!$E$5:$E$300),8))</f>
        <v/>
      </c>
      <c r="E295" s="339">
        <f>IF($B295="","",ROUND(C295-D295,8))</f>
        <v/>
      </c>
    </row>
    <row r="296" ht="22" customHeight="1">
      <c r="B296" s="320" t="n"/>
      <c r="C296" s="240">
        <f>IF($B296="","",ROUND(SUMIF(Торговля!$E$5:$E$300,$B296&amp;"/*",Торговля!$F$5:$F$300)+SUMIF(Торговля!$E$5:$E$300,"*/"&amp;$B296,Торговля!$K$5:$K$300)+SUMIF(Лэндинг!$E$5:$E$300,$B296&amp;"/*",Лэндинг!$F$5:$F$300)+SUMIF(Лэндинг!$E$5:$E$300,"*/"&amp;$B296,Лэндинг!$K$5:$K$300)+SUMIF(Закрытые!$E$5:$E$300,$B296&amp;"/*",Закрытые!$F$5:$F$300)+SUMIF(Закрытые!$E$5:$E$300,"*/"&amp;$B296,Закрытые!$K$5:$K$300)+SUMIF(История!$B$5:$B$300,$B296&amp;"/*",История!$C$5:$C$300)+SUMIF(История!$B$5:$B$300,"*/"&amp;$B296,История!$H$5:$H$300),8))</f>
        <v/>
      </c>
      <c r="D296" s="240">
        <f>IF($B296="","",ROUND(SUMIF(Торговля!$E$5:$E$300,$B296&amp;"/*",Торговля!$I$5:$I$300)+SUMIF(Торговля!$E$5:$E$300,"*/"&amp;$B296,Торговля!$H$5:$H$300)+SUMIF(Лэндинг!$E$5:$E$300,$B296&amp;"/*",Лэндинг!$I$5:$I$300)+SUMIF(Лэндинг!$E$5:$E$300,"*/"&amp;$B296,Лэндинг!$H$5:$H$300)+SUMIF(Закрытые!$E$5:$E$300,$B296&amp;"/*",Закрытые!$I$5:$I$300)+SUMIF(Закрытые!$E$5:$E$300,"*/"&amp;$B296,Закрытые!$H$5:$H$300)+SUMIF(История!$B$5:$B$300,$B296&amp;"/*",История!$F$5:$F$300)+SUMIF(История!$B$5:$B$300,"*/"&amp;$B296,История!$E$5:$E$300),8))</f>
        <v/>
      </c>
      <c r="E296" s="339">
        <f>IF($B296="","",ROUND(C296-D296,8))</f>
        <v/>
      </c>
    </row>
    <row r="297" ht="22" customHeight="1">
      <c r="B297" s="315" t="n"/>
      <c r="C297" s="240">
        <f>IF($B297="","",ROUND(SUMIF(Торговля!$E$5:$E$300,$B297&amp;"/*",Торговля!$F$5:$F$300)+SUMIF(Торговля!$E$5:$E$300,"*/"&amp;$B297,Торговля!$K$5:$K$300)+SUMIF(Лэндинг!$E$5:$E$300,$B297&amp;"/*",Лэндинг!$F$5:$F$300)+SUMIF(Лэндинг!$E$5:$E$300,"*/"&amp;$B297,Лэндинг!$K$5:$K$300)+SUMIF(Закрытые!$E$5:$E$300,$B297&amp;"/*",Закрытые!$F$5:$F$300)+SUMIF(Закрытые!$E$5:$E$300,"*/"&amp;$B297,Закрытые!$K$5:$K$300)+SUMIF(История!$B$5:$B$300,$B297&amp;"/*",История!$C$5:$C$300)+SUMIF(История!$B$5:$B$300,"*/"&amp;$B297,История!$H$5:$H$300),8))</f>
        <v/>
      </c>
      <c r="D297" s="240">
        <f>IF($B297="","",ROUND(SUMIF(Торговля!$E$5:$E$300,$B297&amp;"/*",Торговля!$I$5:$I$300)+SUMIF(Торговля!$E$5:$E$300,"*/"&amp;$B297,Торговля!$H$5:$H$300)+SUMIF(Лэндинг!$E$5:$E$300,$B297&amp;"/*",Лэндинг!$I$5:$I$300)+SUMIF(Лэндинг!$E$5:$E$300,"*/"&amp;$B297,Лэндинг!$H$5:$H$300)+SUMIF(Закрытые!$E$5:$E$300,$B297&amp;"/*",Закрытые!$I$5:$I$300)+SUMIF(Закрытые!$E$5:$E$300,"*/"&amp;$B297,Закрытые!$H$5:$H$300)+SUMIF(История!$B$5:$B$300,$B297&amp;"/*",История!$F$5:$F$300)+SUMIF(История!$B$5:$B$300,"*/"&amp;$B297,История!$E$5:$E$300),8))</f>
        <v/>
      </c>
      <c r="E297" s="339">
        <f>IF($B297="","",ROUND(C297-D297,8))</f>
        <v/>
      </c>
    </row>
    <row r="298" ht="22" customHeight="1">
      <c r="B298" s="320" t="n"/>
      <c r="C298" s="240">
        <f>IF($B298="","",ROUND(SUMIF(Торговля!$E$5:$E$300,$B298&amp;"/*",Торговля!$F$5:$F$300)+SUMIF(Торговля!$E$5:$E$300,"*/"&amp;$B298,Торговля!$K$5:$K$300)+SUMIF(Лэндинг!$E$5:$E$300,$B298&amp;"/*",Лэндинг!$F$5:$F$300)+SUMIF(Лэндинг!$E$5:$E$300,"*/"&amp;$B298,Лэндинг!$K$5:$K$300)+SUMIF(Закрытые!$E$5:$E$300,$B298&amp;"/*",Закрытые!$F$5:$F$300)+SUMIF(Закрытые!$E$5:$E$300,"*/"&amp;$B298,Закрытые!$K$5:$K$300)+SUMIF(История!$B$5:$B$300,$B298&amp;"/*",История!$C$5:$C$300)+SUMIF(История!$B$5:$B$300,"*/"&amp;$B298,История!$H$5:$H$300),8))</f>
        <v/>
      </c>
      <c r="D298" s="240">
        <f>IF($B298="","",ROUND(SUMIF(Торговля!$E$5:$E$300,$B298&amp;"/*",Торговля!$I$5:$I$300)+SUMIF(Торговля!$E$5:$E$300,"*/"&amp;$B298,Торговля!$H$5:$H$300)+SUMIF(Лэндинг!$E$5:$E$300,$B298&amp;"/*",Лэндинг!$I$5:$I$300)+SUMIF(Лэндинг!$E$5:$E$300,"*/"&amp;$B298,Лэндинг!$H$5:$H$300)+SUMIF(Закрытые!$E$5:$E$300,$B298&amp;"/*",Закрытые!$I$5:$I$300)+SUMIF(Закрытые!$E$5:$E$300,"*/"&amp;$B298,Закрытые!$H$5:$H$300)+SUMIF(История!$B$5:$B$300,$B298&amp;"/*",История!$F$5:$F$300)+SUMIF(История!$B$5:$B$300,"*/"&amp;$B298,История!$E$5:$E$300),8))</f>
        <v/>
      </c>
      <c r="E298" s="339">
        <f>IF($B298="","",ROUND(C298-D298,8))</f>
        <v/>
      </c>
    </row>
    <row r="299" ht="22" customHeight="1">
      <c r="B299" s="315" t="n"/>
      <c r="C299" s="240">
        <f>IF($B299="","",ROUND(SUMIF(Торговля!$E$5:$E$300,$B299&amp;"/*",Торговля!$F$5:$F$300)+SUMIF(Торговля!$E$5:$E$300,"*/"&amp;$B299,Торговля!$K$5:$K$300)+SUMIF(Лэндинг!$E$5:$E$300,$B299&amp;"/*",Лэндинг!$F$5:$F$300)+SUMIF(Лэндинг!$E$5:$E$300,"*/"&amp;$B299,Лэндинг!$K$5:$K$300)+SUMIF(Закрытые!$E$5:$E$300,$B299&amp;"/*",Закрытые!$F$5:$F$300)+SUMIF(Закрытые!$E$5:$E$300,"*/"&amp;$B299,Закрытые!$K$5:$K$300)+SUMIF(История!$B$5:$B$300,$B299&amp;"/*",История!$C$5:$C$300)+SUMIF(История!$B$5:$B$300,"*/"&amp;$B299,История!$H$5:$H$300),8))</f>
        <v/>
      </c>
      <c r="D299" s="240">
        <f>IF($B299="","",ROUND(SUMIF(Торговля!$E$5:$E$300,$B299&amp;"/*",Торговля!$I$5:$I$300)+SUMIF(Торговля!$E$5:$E$300,"*/"&amp;$B299,Торговля!$H$5:$H$300)+SUMIF(Лэндинг!$E$5:$E$300,$B299&amp;"/*",Лэндинг!$I$5:$I$300)+SUMIF(Лэндинг!$E$5:$E$300,"*/"&amp;$B299,Лэндинг!$H$5:$H$300)+SUMIF(Закрытые!$E$5:$E$300,$B299&amp;"/*",Закрытые!$I$5:$I$300)+SUMIF(Закрытые!$E$5:$E$300,"*/"&amp;$B299,Закрытые!$H$5:$H$300)+SUMIF(История!$B$5:$B$300,$B299&amp;"/*",История!$F$5:$F$300)+SUMIF(История!$B$5:$B$300,"*/"&amp;$B299,История!$E$5:$E$300),8))</f>
        <v/>
      </c>
      <c r="E299" s="339">
        <f>IF($B299="","",ROUND(C299-D299,8))</f>
        <v/>
      </c>
    </row>
    <row r="300" ht="22" customHeight="1">
      <c r="B300" s="320" t="n"/>
      <c r="C300" s="240">
        <f>IF($B300="","",ROUND(SUMIF(Торговля!$E$5:$E$300,$B300&amp;"/*",Торговля!$F$5:$F$300)+SUMIF(Торговля!$E$5:$E$300,"*/"&amp;$B300,Торговля!$K$5:$K$300)+SUMIF(Лэндинг!$E$5:$E$300,$B300&amp;"/*",Лэндинг!$F$5:$F$300)+SUMIF(Лэндинг!$E$5:$E$300,"*/"&amp;$B300,Лэндинг!$K$5:$K$300)+SUMIF(Закрытые!$E$5:$E$300,$B300&amp;"/*",Закрытые!$F$5:$F$300)+SUMIF(Закрытые!$E$5:$E$300,"*/"&amp;$B300,Закрытые!$K$5:$K$300)+SUMIF(История!$B$5:$B$300,$B300&amp;"/*",История!$C$5:$C$300)+SUMIF(История!$B$5:$B$300,"*/"&amp;$B300,История!$H$5:$H$300),8))</f>
        <v/>
      </c>
      <c r="D300" s="240">
        <f>IF($B300="","",ROUND(SUMIF(Торговля!$E$5:$E$300,$B300&amp;"/*",Торговля!$I$5:$I$300)+SUMIF(Торговля!$E$5:$E$300,"*/"&amp;$B300,Торговля!$H$5:$H$300)+SUMIF(Лэндинг!$E$5:$E$300,$B300&amp;"/*",Лэндинг!$I$5:$I$300)+SUMIF(Лэндинг!$E$5:$E$300,"*/"&amp;$B300,Лэндинг!$H$5:$H$300)+SUMIF(Закрытые!$E$5:$E$300,$B300&amp;"/*",Закрытые!$I$5:$I$300)+SUMIF(Закрытые!$E$5:$E$300,"*/"&amp;$B300,Закрытые!$H$5:$H$300)+SUMIF(История!$B$5:$B$300,$B300&amp;"/*",История!$F$5:$F$300)+SUMIF(История!$B$5:$B$300,"*/"&amp;$B300,История!$E$5:$E$300),8))</f>
        <v/>
      </c>
      <c r="E300" s="339">
        <f>IF($B300="","",ROUND(C300-D300,8))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mergeCells count="1">
    <mergeCell ref="B1:E2"/>
  </mergeCells>
  <conditionalFormatting sqref="B5:E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/>
</worksheet>
</file>

<file path=xl/worksheets/sheet11.xml><?xml version="1.0" encoding="utf-8"?>
<worksheet xmlns="http://schemas.openxmlformats.org/spreadsheetml/2006/main">
  <sheetPr codeName="Sheet11">
    <tabColor rgb="006F9EB3"/>
    <outlinePr summaryBelow="1" summaryRight="1"/>
    <pageSetUpPr fitToPage="1"/>
  </sheetPr>
  <dimension ref="B1:I304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5.1" customWidth="1" min="2" max="2"/>
    <col width="25.7" customWidth="1" min="3" max="3"/>
    <col width="16" customWidth="1" min="4" max="4"/>
    <col width="12.3" customWidth="1" min="5" max="5"/>
    <col width="9.4" customWidth="1" min="6" max="6"/>
    <col width="21.1" customWidth="1" min="7" max="7"/>
    <col width="16" customWidth="1" min="8" max="8"/>
    <col width="11.2" customWidth="1" min="9" max="9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  <c r="I4" s="205" t="inlineStr">
        <is>
          <t>Монеты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83</v>
      </c>
      <c r="I5" s="206" t="inlineStr">
        <is>
          <t>1INCH</t>
        </is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82</v>
      </c>
      <c r="I6" s="206" t="inlineStr">
        <is>
          <t>AAVE</t>
        </is>
      </c>
    </row>
    <row r="7" ht="22" customHeight="1">
      <c r="B7" s="206" t="inlineStr">
        <is>
          <t>OKX</t>
        </is>
      </c>
      <c r="C7" s="207" t="n"/>
      <c r="E7" s="206" t="inlineStr">
        <is>
          <t>Пул</t>
        </is>
      </c>
      <c r="F7" s="206" t="inlineStr">
        <is>
          <t>P</t>
        </is>
      </c>
      <c r="G7" s="206" t="n">
        <v>0</v>
      </c>
      <c r="I7" s="206" t="inlineStr">
        <is>
          <t>ACM</t>
        </is>
      </c>
    </row>
    <row r="8" ht="22" customHeight="1">
      <c r="B8" s="206" t="inlineStr">
        <is>
          <t>Uniswap</t>
        </is>
      </c>
      <c r="C8" s="207" t="n"/>
      <c r="I8" s="206" t="inlineStr">
        <is>
          <t>ADA</t>
        </is>
      </c>
    </row>
    <row r="9" ht="22" customHeight="1">
      <c r="B9" s="206" t="inlineStr">
        <is>
          <t>AAVE</t>
        </is>
      </c>
      <c r="C9" s="207" t="n"/>
      <c r="I9" s="206" t="inlineStr">
        <is>
          <t>ALGO</t>
        </is>
      </c>
    </row>
    <row r="10" ht="22" customHeight="1">
      <c r="B10" s="206" t="inlineStr">
        <is>
          <t>Raydium</t>
        </is>
      </c>
      <c r="C10" s="207" t="n"/>
      <c r="I10" s="206" t="inlineStr">
        <is>
          <t>ARB</t>
        </is>
      </c>
    </row>
    <row r="11" ht="22" customHeight="1">
      <c r="B11" s="206" t="inlineStr">
        <is>
          <t>PancakeSwap</t>
        </is>
      </c>
      <c r="C11" s="207" t="n"/>
      <c r="I11" s="206" t="inlineStr">
        <is>
          <t>ASR</t>
        </is>
      </c>
    </row>
    <row r="12" ht="22" customHeight="1">
      <c r="B12" s="206" t="inlineStr">
        <is>
          <t>Orca</t>
        </is>
      </c>
      <c r="C12" s="207" t="n"/>
      <c r="I12" s="206" t="inlineStr">
        <is>
          <t>ATM</t>
        </is>
      </c>
    </row>
    <row r="13">
      <c r="B13" s="206" t="inlineStr">
        <is>
          <t>Arbitrum</t>
        </is>
      </c>
      <c r="I13" s="206" t="inlineStr">
        <is>
          <t>ATOM</t>
        </is>
      </c>
    </row>
    <row r="14">
      <c r="B14" s="206" t="inlineStr">
        <is>
          <t>BNB</t>
        </is>
      </c>
      <c r="I14" s="206" t="inlineStr">
        <is>
          <t>AVAX</t>
        </is>
      </c>
    </row>
    <row r="15">
      <c r="B15" s="206" t="inlineStr">
        <is>
          <t>BSChain</t>
        </is>
      </c>
      <c r="I15" s="206" t="inlineStr">
        <is>
          <t>BAR</t>
        </is>
      </c>
    </row>
    <row r="16">
      <c r="I16" s="206" t="inlineStr">
        <is>
          <t>BCH</t>
        </is>
      </c>
    </row>
    <row r="17">
      <c r="I17" s="206" t="inlineStr">
        <is>
          <t>BNB</t>
        </is>
      </c>
    </row>
    <row r="18">
      <c r="I18" s="206" t="inlineStr">
        <is>
          <t>BTC</t>
        </is>
      </c>
    </row>
    <row r="19">
      <c r="I19" s="206" t="inlineStr">
        <is>
          <t>CAKE</t>
        </is>
      </c>
    </row>
    <row r="20">
      <c r="I20" s="206" t="inlineStr">
        <is>
          <t>DASH</t>
        </is>
      </c>
    </row>
    <row r="21">
      <c r="I21" s="206" t="inlineStr">
        <is>
          <t>DOGE</t>
        </is>
      </c>
    </row>
    <row r="22">
      <c r="I22" s="206" t="inlineStr">
        <is>
          <t>DOGS</t>
        </is>
      </c>
    </row>
    <row r="23">
      <c r="I23" s="206" t="inlineStr">
        <is>
          <t>DOT</t>
        </is>
      </c>
    </row>
    <row r="24">
      <c r="I24" s="206" t="inlineStr">
        <is>
          <t>DYDX</t>
        </is>
      </c>
    </row>
    <row r="25">
      <c r="I25" s="206" t="inlineStr">
        <is>
          <t>EGLD</t>
        </is>
      </c>
    </row>
    <row r="26">
      <c r="I26" s="206" t="inlineStr">
        <is>
          <t>ELIZA</t>
        </is>
      </c>
    </row>
    <row r="27">
      <c r="I27" s="206" t="inlineStr">
        <is>
          <t>ELIZAOS</t>
        </is>
      </c>
    </row>
    <row r="28">
      <c r="I28" s="206" t="inlineStr">
        <is>
          <t>EOS</t>
        </is>
      </c>
    </row>
    <row r="29">
      <c r="I29" s="206" t="inlineStr">
        <is>
          <t>ETC</t>
        </is>
      </c>
    </row>
    <row r="30">
      <c r="I30" s="206" t="inlineStr">
        <is>
          <t>ETH</t>
        </is>
      </c>
    </row>
    <row r="31">
      <c r="I31" s="206" t="inlineStr">
        <is>
          <t>ETHW</t>
        </is>
      </c>
    </row>
    <row r="32">
      <c r="I32" s="206" t="inlineStr">
        <is>
          <t>FUN</t>
        </is>
      </c>
    </row>
    <row r="33">
      <c r="I33" s="206" t="inlineStr">
        <is>
          <t>HBAR</t>
        </is>
      </c>
    </row>
    <row r="34">
      <c r="I34" s="206" t="inlineStr">
        <is>
          <t>INJ</t>
        </is>
      </c>
    </row>
    <row r="35">
      <c r="I35" s="206" t="inlineStr">
        <is>
          <t>IOTX</t>
        </is>
      </c>
    </row>
    <row r="36">
      <c r="I36" s="206" t="inlineStr">
        <is>
          <t>JUV</t>
        </is>
      </c>
    </row>
    <row r="37">
      <c r="I37" s="206" t="inlineStr">
        <is>
          <t>LEVER</t>
        </is>
      </c>
    </row>
    <row r="38">
      <c r="I38" s="206" t="inlineStr">
        <is>
          <t>LINK</t>
        </is>
      </c>
    </row>
    <row r="39">
      <c r="I39" s="206" t="inlineStr">
        <is>
          <t>LOOM</t>
        </is>
      </c>
    </row>
    <row r="40">
      <c r="I40" s="206" t="inlineStr">
        <is>
          <t>LTC</t>
        </is>
      </c>
    </row>
    <row r="41">
      <c r="I41" s="206" t="inlineStr">
        <is>
          <t>LUNA</t>
        </is>
      </c>
    </row>
    <row r="42">
      <c r="I42" s="206" t="inlineStr">
        <is>
          <t>MAGIC</t>
        </is>
      </c>
    </row>
    <row r="43">
      <c r="I43" s="206" t="inlineStr">
        <is>
          <t>MATIC</t>
        </is>
      </c>
    </row>
    <row r="44">
      <c r="I44" s="206" t="inlineStr">
        <is>
          <t>MNT</t>
        </is>
      </c>
    </row>
    <row r="45">
      <c r="I45" s="206" t="inlineStr">
        <is>
          <t>NEAR</t>
        </is>
      </c>
    </row>
    <row r="46">
      <c r="I46" s="206" t="inlineStr">
        <is>
          <t>NEO</t>
        </is>
      </c>
    </row>
    <row r="47">
      <c r="I47" s="206" t="inlineStr">
        <is>
          <t>NFT</t>
        </is>
      </c>
    </row>
    <row r="48">
      <c r="I48" s="206" t="inlineStr">
        <is>
          <t>PAXG</t>
        </is>
      </c>
    </row>
    <row r="49">
      <c r="I49" s="206" t="inlineStr">
        <is>
          <t>PHA</t>
        </is>
      </c>
    </row>
    <row r="50">
      <c r="I50" s="206" t="inlineStr">
        <is>
          <t>PYTH</t>
        </is>
      </c>
    </row>
    <row r="51">
      <c r="I51" s="206" t="inlineStr">
        <is>
          <t>SAND</t>
        </is>
      </c>
    </row>
    <row r="52">
      <c r="I52" s="206" t="inlineStr">
        <is>
          <t>SC</t>
        </is>
      </c>
    </row>
    <row r="53">
      <c r="I53" s="206" t="inlineStr">
        <is>
          <t>SHIB</t>
        </is>
      </c>
    </row>
    <row r="54">
      <c r="I54" s="206" t="inlineStr">
        <is>
          <t>SOL</t>
        </is>
      </c>
    </row>
    <row r="55">
      <c r="I55" s="206" t="inlineStr">
        <is>
          <t>STRAX</t>
        </is>
      </c>
    </row>
    <row r="56">
      <c r="I56" s="206" t="inlineStr">
        <is>
          <t>STX</t>
        </is>
      </c>
    </row>
    <row r="57">
      <c r="I57" s="206" t="inlineStr">
        <is>
          <t>SUI</t>
        </is>
      </c>
    </row>
    <row r="58">
      <c r="I58" s="206" t="inlineStr">
        <is>
          <t>TON</t>
        </is>
      </c>
    </row>
    <row r="59">
      <c r="I59" s="206" t="inlineStr">
        <is>
          <t>TRX</t>
        </is>
      </c>
    </row>
    <row r="60">
      <c r="I60" s="206" t="inlineStr">
        <is>
          <t>UNI</t>
        </is>
      </c>
    </row>
    <row r="61">
      <c r="I61" s="206" t="inlineStr">
        <is>
          <t>USD</t>
        </is>
      </c>
    </row>
    <row r="62">
      <c r="I62" s="206" t="inlineStr">
        <is>
          <t>USDT</t>
        </is>
      </c>
    </row>
    <row r="63">
      <c r="I63" s="206" t="inlineStr">
        <is>
          <t>WAVES</t>
        </is>
      </c>
    </row>
    <row r="64">
      <c r="I64" s="206" t="inlineStr">
        <is>
          <t>XEM</t>
        </is>
      </c>
    </row>
    <row r="65">
      <c r="I65" s="206" t="inlineStr">
        <is>
          <t>XLM</t>
        </is>
      </c>
    </row>
    <row r="66">
      <c r="I66" s="206" t="inlineStr">
        <is>
          <t>XMR</t>
        </is>
      </c>
    </row>
    <row r="67">
      <c r="I67" s="206" t="inlineStr">
        <is>
          <t>XRP</t>
        </is>
      </c>
    </row>
    <row r="68">
      <c r="I68" s="206" t="inlineStr">
        <is>
          <t>XTZ</t>
        </is>
      </c>
    </row>
    <row r="69">
      <c r="I69" s="206" t="inlineStr">
        <is>
          <t>ZEC</t>
        </is>
      </c>
    </row>
    <row r="70">
      <c r="I70" s="206" t="inlineStr">
        <is>
          <t>ZRX</t>
        </is>
      </c>
    </row>
    <row r="71">
      <c r="I71" s="206" t="n"/>
    </row>
    <row r="72">
      <c r="I72" s="206" t="n"/>
    </row>
    <row r="73">
      <c r="I73" s="206" t="n"/>
    </row>
    <row r="74">
      <c r="I74" s="206" t="n"/>
    </row>
    <row r="75">
      <c r="I75" s="206" t="n"/>
    </row>
    <row r="76">
      <c r="I76" s="206" t="n"/>
    </row>
    <row r="77">
      <c r="I77" s="206" t="n"/>
    </row>
    <row r="78">
      <c r="I78" s="206" t="n"/>
    </row>
    <row r="79">
      <c r="I79" s="206" t="n"/>
    </row>
    <row r="80">
      <c r="I80" s="206" t="n"/>
    </row>
    <row r="81">
      <c r="I81" s="206" t="n"/>
    </row>
    <row r="82">
      <c r="I82" s="206" t="n"/>
    </row>
    <row r="83">
      <c r="I83" s="206" t="n"/>
    </row>
    <row r="84">
      <c r="I84" s="206" t="n"/>
    </row>
    <row r="85">
      <c r="I85" s="206" t="n"/>
    </row>
    <row r="86">
      <c r="I86" s="206" t="n"/>
    </row>
    <row r="87">
      <c r="I87" s="206" t="n"/>
    </row>
    <row r="88">
      <c r="I88" s="206" t="n"/>
    </row>
    <row r="89">
      <c r="I89" s="206" t="n"/>
    </row>
    <row r="90">
      <c r="I90" s="206" t="n"/>
    </row>
    <row r="91">
      <c r="I91" s="206" t="n"/>
    </row>
    <row r="92">
      <c r="I92" s="206" t="n"/>
    </row>
    <row r="93">
      <c r="I93" s="206" t="n"/>
    </row>
    <row r="94">
      <c r="I94" s="206" t="n"/>
    </row>
    <row r="95">
      <c r="I95" s="206" t="n"/>
    </row>
    <row r="96">
      <c r="I96" s="206" t="n"/>
    </row>
    <row r="97">
      <c r="I97" s="206" t="n"/>
    </row>
    <row r="98">
      <c r="I98" s="206" t="n"/>
    </row>
    <row r="99">
      <c r="I99" s="206" t="n"/>
    </row>
    <row r="100">
      <c r="I100" s="206" t="n"/>
    </row>
    <row r="101">
      <c r="I101" s="206" t="n"/>
    </row>
    <row r="102">
      <c r="I102" s="206" t="n"/>
    </row>
    <row r="103">
      <c r="I103" s="206" t="n"/>
    </row>
    <row r="104">
      <c r="I104" s="206" t="n"/>
    </row>
    <row r="105">
      <c r="I105" s="206" t="n"/>
    </row>
    <row r="106">
      <c r="I106" s="206" t="n"/>
    </row>
    <row r="107">
      <c r="I107" s="206" t="n"/>
    </row>
    <row r="108">
      <c r="I108" s="206" t="n"/>
    </row>
    <row r="109">
      <c r="I109" s="206" t="n"/>
    </row>
    <row r="110">
      <c r="I110" s="206" t="n"/>
    </row>
    <row r="111">
      <c r="I111" s="206" t="n"/>
    </row>
    <row r="112">
      <c r="I112" s="206" t="n"/>
    </row>
    <row r="113">
      <c r="I113" s="206" t="n"/>
    </row>
    <row r="114">
      <c r="I114" s="206" t="n"/>
    </row>
    <row r="115">
      <c r="I115" s="206" t="n"/>
    </row>
    <row r="116">
      <c r="I116" s="206" t="n"/>
    </row>
    <row r="117">
      <c r="I117" s="206" t="n"/>
    </row>
    <row r="118">
      <c r="I118" s="206" t="n"/>
    </row>
    <row r="119">
      <c r="I119" s="206" t="n"/>
    </row>
    <row r="120">
      <c r="I120" s="206" t="n"/>
    </row>
    <row r="121">
      <c r="I121" s="206" t="n"/>
    </row>
    <row r="122">
      <c r="I122" s="206" t="n"/>
    </row>
    <row r="123">
      <c r="I123" s="206" t="n"/>
    </row>
    <row r="124">
      <c r="I124" s="206" t="n"/>
    </row>
    <row r="125">
      <c r="I125" s="206" t="n"/>
    </row>
    <row r="126">
      <c r="I126" s="206" t="n"/>
    </row>
    <row r="127">
      <c r="I127" s="206" t="n"/>
    </row>
    <row r="128">
      <c r="I128" s="206" t="n"/>
    </row>
    <row r="129">
      <c r="I129" s="206" t="n"/>
    </row>
    <row r="130">
      <c r="I130" s="206" t="n"/>
    </row>
    <row r="131">
      <c r="I131" s="206" t="n"/>
    </row>
    <row r="132">
      <c r="I132" s="206" t="n"/>
    </row>
    <row r="133">
      <c r="I133" s="206" t="n"/>
    </row>
    <row r="134">
      <c r="I134" s="206" t="n"/>
    </row>
    <row r="135">
      <c r="I135" s="206" t="n"/>
    </row>
    <row r="136">
      <c r="I136" s="206" t="n"/>
    </row>
    <row r="137">
      <c r="I137" s="206" t="n"/>
    </row>
    <row r="138">
      <c r="I138" s="206" t="n"/>
    </row>
    <row r="139">
      <c r="I139" s="206" t="n"/>
    </row>
    <row r="140">
      <c r="I140" s="206" t="n"/>
    </row>
    <row r="141">
      <c r="I141" s="206" t="n"/>
    </row>
    <row r="142">
      <c r="I142" s="206" t="n"/>
    </row>
    <row r="143">
      <c r="I143" s="206" t="n"/>
    </row>
    <row r="144">
      <c r="I144" s="206" t="n"/>
    </row>
    <row r="145">
      <c r="I145" s="206" t="n"/>
    </row>
    <row r="146">
      <c r="I146" s="206" t="n"/>
    </row>
    <row r="147">
      <c r="I147" s="206" t="n"/>
    </row>
    <row r="148">
      <c r="I148" s="206" t="n"/>
    </row>
    <row r="149">
      <c r="I149" s="206" t="n"/>
    </row>
    <row r="150">
      <c r="I150" s="206" t="n"/>
    </row>
    <row r="151">
      <c r="I151" s="206" t="n"/>
    </row>
    <row r="152">
      <c r="I152" s="206" t="n"/>
    </row>
    <row r="153">
      <c r="I153" s="206" t="n"/>
    </row>
    <row r="154">
      <c r="I154" s="206" t="n"/>
    </row>
    <row r="155">
      <c r="I155" s="206" t="n"/>
    </row>
    <row r="156">
      <c r="I156" s="206" t="n"/>
    </row>
    <row r="157">
      <c r="I157" s="206" t="n"/>
    </row>
    <row r="158">
      <c r="I158" s="206" t="n"/>
    </row>
    <row r="159">
      <c r="I159" s="206" t="n"/>
    </row>
    <row r="160">
      <c r="I160" s="206" t="n"/>
    </row>
    <row r="161">
      <c r="I161" s="206" t="n"/>
    </row>
    <row r="162">
      <c r="I162" s="206" t="n"/>
    </row>
    <row r="163">
      <c r="I163" s="206" t="n"/>
    </row>
    <row r="164">
      <c r="I164" s="206" t="n"/>
    </row>
    <row r="165">
      <c r="I165" s="206" t="n"/>
    </row>
    <row r="166">
      <c r="I166" s="206" t="n"/>
    </row>
    <row r="167">
      <c r="I167" s="206" t="n"/>
    </row>
    <row r="168">
      <c r="I168" s="206" t="n"/>
    </row>
    <row r="169">
      <c r="I169" s="206" t="n"/>
    </row>
    <row r="170">
      <c r="I170" s="206" t="n"/>
    </row>
    <row r="171">
      <c r="I171" s="206" t="n"/>
    </row>
    <row r="172">
      <c r="I172" s="206" t="n"/>
    </row>
    <row r="173">
      <c r="I173" s="206" t="n"/>
    </row>
    <row r="174">
      <c r="I174" s="206" t="n"/>
    </row>
    <row r="175">
      <c r="I175" s="206" t="n"/>
    </row>
    <row r="176">
      <c r="I176" s="206" t="n"/>
    </row>
    <row r="177">
      <c r="I177" s="206" t="n"/>
    </row>
    <row r="178">
      <c r="I178" s="206" t="n"/>
    </row>
    <row r="179">
      <c r="I179" s="206" t="n"/>
    </row>
    <row r="180">
      <c r="I180" s="206" t="n"/>
    </row>
    <row r="181">
      <c r="I181" s="206" t="n"/>
    </row>
    <row r="182">
      <c r="I182" s="206" t="n"/>
    </row>
    <row r="183">
      <c r="I183" s="206" t="n"/>
    </row>
    <row r="184">
      <c r="I184" s="206" t="n"/>
    </row>
    <row r="185">
      <c r="I185" s="206" t="n"/>
    </row>
    <row r="186">
      <c r="I186" s="206" t="n"/>
    </row>
    <row r="187">
      <c r="I187" s="206" t="n"/>
    </row>
    <row r="188">
      <c r="I188" s="206" t="n"/>
    </row>
    <row r="189">
      <c r="I189" s="206" t="n"/>
    </row>
    <row r="190">
      <c r="I190" s="206" t="n"/>
    </row>
    <row r="191">
      <c r="I191" s="206" t="n"/>
    </row>
    <row r="192">
      <c r="I192" s="206" t="n"/>
    </row>
    <row r="193">
      <c r="I193" s="206" t="n"/>
    </row>
    <row r="194">
      <c r="I194" s="206" t="n"/>
    </row>
    <row r="195">
      <c r="I195" s="206" t="n"/>
    </row>
    <row r="196">
      <c r="I196" s="206" t="n"/>
    </row>
    <row r="197">
      <c r="I197" s="206" t="n"/>
    </row>
    <row r="198">
      <c r="I198" s="206" t="n"/>
    </row>
    <row r="199">
      <c r="I199" s="206" t="n"/>
    </row>
    <row r="200">
      <c r="I200" s="206" t="n"/>
    </row>
    <row r="201">
      <c r="I201" s="206" t="n"/>
    </row>
    <row r="202">
      <c r="I202" s="206" t="n"/>
    </row>
    <row r="203">
      <c r="I203" s="206" t="n"/>
    </row>
    <row r="204">
      <c r="I204" s="206" t="n"/>
    </row>
    <row r="205">
      <c r="I205" s="206" t="n"/>
    </row>
    <row r="206">
      <c r="I206" s="206" t="n"/>
    </row>
    <row r="207">
      <c r="I207" s="206" t="n"/>
    </row>
    <row r="208">
      <c r="I208" s="206" t="n"/>
    </row>
    <row r="209">
      <c r="I209" s="206" t="n"/>
    </row>
    <row r="210">
      <c r="I210" s="206" t="n"/>
    </row>
    <row r="211">
      <c r="I211" s="206" t="n"/>
    </row>
    <row r="212">
      <c r="I212" s="206" t="n"/>
    </row>
    <row r="213">
      <c r="I213" s="206" t="n"/>
    </row>
    <row r="214">
      <c r="I214" s="206" t="n"/>
    </row>
    <row r="215">
      <c r="I215" s="206" t="n"/>
    </row>
    <row r="216">
      <c r="I216" s="206" t="n"/>
    </row>
    <row r="217">
      <c r="I217" s="206" t="n"/>
    </row>
    <row r="218">
      <c r="I218" s="206" t="n"/>
    </row>
    <row r="219">
      <c r="I219" s="206" t="n"/>
    </row>
    <row r="220">
      <c r="I220" s="206" t="n"/>
    </row>
    <row r="221">
      <c r="I221" s="206" t="n"/>
    </row>
    <row r="222">
      <c r="I222" s="206" t="n"/>
    </row>
    <row r="223">
      <c r="I223" s="206" t="n"/>
    </row>
    <row r="224">
      <c r="I224" s="206" t="n"/>
    </row>
    <row r="225">
      <c r="I225" s="206" t="n"/>
    </row>
    <row r="226">
      <c r="I226" s="206" t="n"/>
    </row>
    <row r="227">
      <c r="I227" s="206" t="n"/>
    </row>
    <row r="228">
      <c r="I228" s="206" t="n"/>
    </row>
    <row r="229">
      <c r="I229" s="206" t="n"/>
    </row>
    <row r="230">
      <c r="I230" s="206" t="n"/>
    </row>
    <row r="231">
      <c r="I231" s="206" t="n"/>
    </row>
    <row r="232">
      <c r="I232" s="206" t="n"/>
    </row>
    <row r="233">
      <c r="I233" s="206" t="n"/>
    </row>
    <row r="234">
      <c r="I234" s="206" t="n"/>
    </row>
    <row r="235">
      <c r="I235" s="206" t="n"/>
    </row>
    <row r="236">
      <c r="I236" s="206" t="n"/>
    </row>
    <row r="237">
      <c r="I237" s="206" t="n"/>
    </row>
    <row r="238">
      <c r="I238" s="206" t="n"/>
    </row>
    <row r="239">
      <c r="I239" s="206" t="n"/>
    </row>
    <row r="240">
      <c r="I240" s="206" t="n"/>
    </row>
    <row r="241">
      <c r="I241" s="206" t="n"/>
    </row>
    <row r="242">
      <c r="I242" s="206" t="n"/>
    </row>
    <row r="243">
      <c r="I243" s="206" t="n"/>
    </row>
    <row r="244">
      <c r="I244" s="206" t="n"/>
    </row>
    <row r="245">
      <c r="I245" s="206" t="n"/>
    </row>
    <row r="246">
      <c r="I246" s="206" t="n"/>
    </row>
    <row r="247">
      <c r="I247" s="206" t="n"/>
    </row>
    <row r="248">
      <c r="I248" s="206" t="n"/>
    </row>
    <row r="249">
      <c r="I249" s="206" t="n"/>
    </row>
    <row r="250">
      <c r="I250" s="206" t="n"/>
    </row>
    <row r="251">
      <c r="I251" s="206" t="n"/>
    </row>
    <row r="252">
      <c r="I252" s="206" t="n"/>
    </row>
    <row r="253">
      <c r="I253" s="206" t="n"/>
    </row>
    <row r="254">
      <c r="I254" s="206" t="n"/>
    </row>
    <row r="255">
      <c r="I255" s="206" t="n"/>
    </row>
    <row r="256">
      <c r="I256" s="206" t="n"/>
    </row>
    <row r="257">
      <c r="I257" s="206" t="n"/>
    </row>
    <row r="258">
      <c r="I258" s="206" t="n"/>
    </row>
    <row r="259">
      <c r="I259" s="206" t="n"/>
    </row>
    <row r="260">
      <c r="I260" s="206" t="n"/>
    </row>
    <row r="261">
      <c r="I261" s="206" t="n"/>
    </row>
    <row r="262">
      <c r="I262" s="206" t="n"/>
    </row>
    <row r="263">
      <c r="I263" s="206" t="n"/>
    </row>
    <row r="264">
      <c r="I264" s="206" t="n"/>
    </row>
    <row r="265">
      <c r="I265" s="206" t="n"/>
    </row>
    <row r="266">
      <c r="I266" s="206" t="n"/>
    </row>
    <row r="267">
      <c r="I267" s="206" t="n"/>
    </row>
    <row r="268">
      <c r="I268" s="206" t="n"/>
    </row>
    <row r="269">
      <c r="I269" s="206" t="n"/>
    </row>
    <row r="270">
      <c r="I270" s="206" t="n"/>
    </row>
    <row r="271">
      <c r="I271" s="206" t="n"/>
    </row>
    <row r="272">
      <c r="I272" s="206" t="n"/>
    </row>
    <row r="273">
      <c r="I273" s="206" t="n"/>
    </row>
    <row r="274">
      <c r="I274" s="206" t="n"/>
    </row>
    <row r="275">
      <c r="I275" s="206" t="n"/>
    </row>
    <row r="276">
      <c r="I276" s="206" t="n"/>
    </row>
    <row r="277">
      <c r="I277" s="206" t="n"/>
    </row>
    <row r="278">
      <c r="I278" s="206" t="n"/>
    </row>
    <row r="279">
      <c r="I279" s="206" t="n"/>
    </row>
    <row r="280">
      <c r="I280" s="206" t="n"/>
    </row>
    <row r="281">
      <c r="I281" s="206" t="n"/>
    </row>
    <row r="282">
      <c r="I282" s="206" t="n"/>
    </row>
    <row r="283">
      <c r="I283" s="206" t="n"/>
    </row>
    <row r="284">
      <c r="I284" s="206" t="n"/>
    </row>
    <row r="285">
      <c r="I285" s="206" t="n"/>
    </row>
    <row r="286">
      <c r="I286" s="206" t="n"/>
    </row>
    <row r="287">
      <c r="I287" s="206" t="n"/>
    </row>
    <row r="288">
      <c r="I288" s="206" t="n"/>
    </row>
    <row r="289">
      <c r="I289" s="206" t="n"/>
    </row>
    <row r="290">
      <c r="I290" s="206" t="n"/>
    </row>
    <row r="291">
      <c r="I291" s="206" t="n"/>
    </row>
    <row r="292">
      <c r="I292" s="206" t="n"/>
    </row>
    <row r="293">
      <c r="I293" s="206" t="n"/>
    </row>
    <row r="294">
      <c r="I294" s="206" t="n"/>
    </row>
    <row r="295">
      <c r="I295" s="206" t="n"/>
    </row>
    <row r="296">
      <c r="I296" s="206" t="n"/>
    </row>
    <row r="297">
      <c r="I297" s="206" t="n"/>
    </row>
    <row r="298">
      <c r="I298" s="206" t="n"/>
    </row>
    <row r="299">
      <c r="I299" s="206" t="n"/>
    </row>
    <row r="300">
      <c r="I300" s="206" t="n"/>
    </row>
    <row r="301">
      <c r="I301" s="206" t="n"/>
    </row>
    <row r="302">
      <c r="I302" s="206" t="n"/>
    </row>
    <row r="303">
      <c r="I303" s="206" t="n"/>
    </row>
    <row r="304">
      <c r="I304" s="206" t="n"/>
    </row>
  </sheetData>
  <mergeCells count="2">
    <mergeCell ref="B1:H2"/>
    <mergeCell ref="E3:G3"/>
  </mergeCells>
  <dataValidations count="1">
    <dataValidation sqref="G5:G7" showDropDown="0" showInputMessage="0" showErrorMessage="1" allowBlank="0" errorTitle="Счётчик ID" error="Последний номер — целое число от 0." type="whole" operator="greaterThanOrEqual">
      <formula1>0</formula1>
    </dataValidation>
  </dataValidations>
  <pageMargins left="0.75" right="0.75" top="1" bottom="1" header="0.5" footer="0.5"/>
  <pageSetup orientation="landscape" fitToWidth="1"/>
</worksheet>
</file>

<file path=xl/worksheets/sheet12.xml><?xml version="1.0" encoding="utf-8"?>
<worksheet xmlns="http://schemas.openxmlformats.org/spreadsheetml/2006/main">
  <sheetPr codeName="Sheet12">
    <tabColor rgb="FF6F9EB3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3.4" customWidth="1" min="2" max="2"/>
    <col width="20.3" customWidth="1" min="3" max="3"/>
    <col width="18.2" customWidth="1" min="4" max="4"/>
    <col width="19.2" customWidth="1" min="5" max="5"/>
    <col width="20.3" customWidth="1" min="6" max="6"/>
    <col width="18.2" customWidth="1" min="7" max="7"/>
    <col width="19.2" customWidth="1" min="8" max="8"/>
    <col width="20.3" customWidth="1" min="9" max="9"/>
    <col width="21.4" customWidth="1" min="10" max="10"/>
    <col width="18.2" customWidth="1" min="11" max="11"/>
    <col width="11.9" customWidth="1" min="12" max="12"/>
    <col width="22.5" customWidth="1" min="13" max="13"/>
  </cols>
  <sheetData>
    <row r="1" ht="21" customHeight="1">
      <c r="B1" s="1" t="inlineStr">
        <is>
          <t>CRYPTO JOURNAL • ИСТОРИЯ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BTC/USD</t>
        </is>
      </c>
      <c r="C5" s="316" t="n">
        <v>3.286389570191734</v>
      </c>
      <c r="D5" s="317" t="n">
        <v>10000</v>
      </c>
      <c r="E5" s="241">
        <f>IF(AND(ISNUMBER(C5),ISNUMBER(D5)),C5*D5,"")</f>
        <v/>
      </c>
      <c r="F5" s="316" t="n">
        <v>2.18239387</v>
      </c>
      <c r="G5" s="317" t="n">
        <v>70000</v>
      </c>
      <c r="H5" s="241">
        <f>IF(AND(ISNUMBER(F5),ISNUMBER(G5)),F5*G5,"")</f>
        <v/>
      </c>
      <c r="I5" s="339">
        <f>IF(COUNT(C5,F5)=0,"",N(C5)-N(F5))</f>
        <v/>
      </c>
      <c r="J5" s="340">
        <f>IF(COUNT(E5,H5)=0,"",N(H5)-N(E5))</f>
        <v/>
      </c>
      <c r="K5" s="240">
        <f>IF(AND(ISNUMBER(C5),ISNUMBER(D5),ISNUMBER(F5),ISNUMBER(G5),C5&gt;0,F5&gt;0),ROUND(MIN(C5,F5)*(G5-D5),8),"")</f>
        <v/>
      </c>
      <c r="L5" s="177">
        <f>IF(OR(NOT(ISNUMBER(K5)),COUNT(C5,F5,D5)&lt;3),"",IF(MIN(C5,F5)*D5&lt;=0,"",ROUND(K5/(MIN(C5,F5)*D5)*100,2)))</f>
        <v/>
      </c>
      <c r="M5" s="343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ETH/USD</t>
        </is>
      </c>
      <c r="C6" s="321" t="n">
        <v>3.70508297</v>
      </c>
      <c r="D6" s="322" t="n">
        <v>1311.824402427782</v>
      </c>
      <c r="E6" s="247">
        <f>IF(AND(ISNUMBER(C6),ISNUMBER(D6)),C6*D6,"")</f>
        <v/>
      </c>
      <c r="F6" s="321" t="n">
        <v>5.84820497</v>
      </c>
      <c r="G6" s="322" t="n">
        <v>2272.585876061214</v>
      </c>
      <c r="H6" s="247">
        <f>IF(AND(ISNUMBER(F6),ISNUMBER(G6)),F6*G6,"")</f>
        <v/>
      </c>
      <c r="I6" s="341">
        <f>IF(COUNT(C6,F6)=0,"",N(C6)-N(F6))</f>
        <v/>
      </c>
      <c r="J6" s="342">
        <f>IF(COUNT(E6,H6)=0,"",N(H6)-N(E6))</f>
        <v/>
      </c>
      <c r="K6" s="246">
        <f>IF(AND(ISNUMBER(C6),ISNUMBER(D6),ISNUMBER(F6),ISNUMBER(G6),C6&gt;0,F6&gt;0),ROUND(MIN(C6,F6)*(G6-D6),8),"")</f>
        <v/>
      </c>
      <c r="L6" s="183">
        <f>IF(OR(NOT(ISNUMBER(K6)),COUNT(C6,F6,D6)&lt;3),"",IF(MIN(C6,F6)*D6&lt;=0,"",ROUND(K6/(MIN(C6,F6)*D6)*100,2)))</f>
        <v/>
      </c>
      <c r="M6" s="344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ETHW/USD</t>
        </is>
      </c>
      <c r="C7" s="316" t="n">
        <v>20</v>
      </c>
      <c r="D7" s="317" t="n">
        <v>3.06216</v>
      </c>
      <c r="E7" s="241">
        <f>IF(AND(ISNUMBER(C7),ISNUMBER(D7)),C7*D7,"")</f>
        <v/>
      </c>
      <c r="F7" s="316" t="n"/>
      <c r="G7" s="317" t="n"/>
      <c r="H7" s="241">
        <f>IF(AND(ISNUMBER(F7),ISNUMBER(G7)),F7*G7,"")</f>
        <v/>
      </c>
      <c r="I7" s="339">
        <f>IF(COUNT(C7,F7)=0,"",N(C7)-N(F7))</f>
        <v/>
      </c>
      <c r="J7" s="340">
        <f>IF(COUNT(E7,H7)=0,"",N(H7)-N(E7))</f>
        <v/>
      </c>
      <c r="K7" s="240">
        <f>IF(AND(ISNUMBER(C7),ISNUMBER(D7),ISNUMBER(F7),ISNUMBER(G7),C7&gt;0,F7&gt;0),ROUND(MIN(C7,F7)*(G7-D7),8),"")</f>
        <v/>
      </c>
      <c r="L7" s="177">
        <f>IF(OR(NOT(ISNUMBER(K7)),COUNT(C7,F7,D7)&lt;3),"",IF(MIN(C7,F7)*D7&lt;=0,"",ROUND(K7/(MIN(C7,F7)*D7)*100,2)))</f>
        <v/>
      </c>
      <c r="M7" s="343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LTC/USD</t>
        </is>
      </c>
      <c r="C8" s="321" t="n">
        <v>78.88968749999999</v>
      </c>
      <c r="D8" s="322" t="n">
        <v>88.14533593358253</v>
      </c>
      <c r="E8" s="247">
        <f>IF(AND(ISNUMBER(C8),ISNUMBER(D8)),C8*D8,"")</f>
        <v/>
      </c>
      <c r="F8" s="321" t="n">
        <v>66.85246000000001</v>
      </c>
      <c r="G8" s="322" t="n">
        <v>124.5583757203204</v>
      </c>
      <c r="H8" s="247">
        <f>IF(AND(ISNUMBER(F8),ISNUMBER(G8)),F8*G8,"")</f>
        <v/>
      </c>
      <c r="I8" s="341">
        <f>IF(COUNT(C8,F8)=0,"",N(C8)-N(F8))</f>
        <v/>
      </c>
      <c r="J8" s="342">
        <f>IF(COUNT(E8,H8)=0,"",N(H8)-N(E8))</f>
        <v/>
      </c>
      <c r="K8" s="246">
        <f>IF(AND(ISNUMBER(C8),ISNUMBER(D8),ISNUMBER(F8),ISNUMBER(G8),C8&gt;0,F8&gt;0),ROUND(MIN(C8,F8)*(G8-D8),8),"")</f>
        <v/>
      </c>
      <c r="L8" s="183">
        <f>IF(OR(NOT(ISNUMBER(K8)),COUNT(C8,F8,D8)&lt;3),"",IF(MIN(C8,F8)*D8&lt;=0,"",ROUND(K8/(MIN(C8,F8)*D8)*100,2)))</f>
        <v/>
      </c>
      <c r="M8" s="344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BCH/USD</t>
        </is>
      </c>
      <c r="C9" s="316" t="n">
        <v>7.50262214</v>
      </c>
      <c r="D9" s="317" t="n">
        <v>159.6696566317248</v>
      </c>
      <c r="E9" s="241">
        <f>IF(AND(ISNUMBER(C9),ISNUMBER(D9)),C9*D9,"")</f>
        <v/>
      </c>
      <c r="F9" s="316" t="n">
        <v>7.489291580000001</v>
      </c>
      <c r="G9" s="317" t="n">
        <v>272.1710302140808</v>
      </c>
      <c r="H9" s="241">
        <f>IF(AND(ISNUMBER(F9),ISNUMBER(G9)),F9*G9,"")</f>
        <v/>
      </c>
      <c r="I9" s="339">
        <f>IF(COUNT(C9,F9)=0,"",N(C9)-N(F9))</f>
        <v/>
      </c>
      <c r="J9" s="340">
        <f>IF(COUNT(E9,H9)=0,"",N(H9)-N(E9))</f>
        <v/>
      </c>
      <c r="K9" s="240">
        <f>IF(AND(ISNUMBER(C9),ISNUMBER(D9),ISNUMBER(F9),ISNUMBER(G9),C9&gt;0,F9&gt;0),ROUND(MIN(C9,F9)*(G9-D9),8),"")</f>
        <v/>
      </c>
      <c r="L9" s="177">
        <f>IF(OR(NOT(ISNUMBER(K9)),COUNT(C9,F9,D9)&lt;3),"",IF(MIN(C9,F9)*D9&lt;=0,"",ROUND(K9/(MIN(C9,F9)*D9)*100,2)))</f>
        <v/>
      </c>
      <c r="M9" s="343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DOGE/USD</t>
        </is>
      </c>
      <c r="C10" s="321" t="n">
        <v>82121.99000000001</v>
      </c>
      <c r="D10" s="322" t="n">
        <v>0.004727280048704373</v>
      </c>
      <c r="E10" s="247">
        <f>IF(AND(ISNUMBER(C10),ISNUMBER(D10)),C10*D10,"")</f>
        <v/>
      </c>
      <c r="F10" s="321" t="n">
        <v>11841</v>
      </c>
      <c r="G10" s="322" t="n">
        <v>0.07130751335249812</v>
      </c>
      <c r="H10" s="247">
        <f>IF(AND(ISNUMBER(F10),ISNUMBER(G10)),F10*G10,"")</f>
        <v/>
      </c>
      <c r="I10" s="341">
        <f>IF(COUNT(C10,F10)=0,"",N(C10)-N(F10))</f>
        <v/>
      </c>
      <c r="J10" s="342">
        <f>IF(COUNT(E10,H10)=0,"",N(H10)-N(E10))</f>
        <v/>
      </c>
      <c r="K10" s="246">
        <f>IF(AND(ISNUMBER(C10),ISNUMBER(D10),ISNUMBER(F10),ISNUMBER(G10),C10&gt;0,F10&gt;0),ROUND(MIN(C10,F10)*(G10-D10),8),"")</f>
        <v/>
      </c>
      <c r="L10" s="183">
        <f>IF(OR(NOT(ISNUMBER(K10)),COUNT(C10,F10,D10)&lt;3),"",IF(MIN(C10,F10)*D10&lt;=0,"",ROUND(K10/(MIN(C10,F10)*D10)*100,2)))</f>
        <v/>
      </c>
      <c r="M10" s="344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DOGS/USD</t>
        </is>
      </c>
      <c r="C11" s="316" t="n">
        <v>313772.5802</v>
      </c>
      <c r="D11" s="317" t="n">
        <v>0.001026486147516475</v>
      </c>
      <c r="E11" s="241">
        <f>IF(AND(ISNUMBER(C11),ISNUMBER(D11)),C11*D11,"")</f>
        <v/>
      </c>
      <c r="F11" s="316" t="n">
        <v>91861</v>
      </c>
      <c r="G11" s="317" t="n">
        <v>0.001351758543997997</v>
      </c>
      <c r="H11" s="241">
        <f>IF(AND(ISNUMBER(F11),ISNUMBER(G11)),F11*G11,"")</f>
        <v/>
      </c>
      <c r="I11" s="339">
        <f>IF(COUNT(C11,F11)=0,"",N(C11)-N(F11))</f>
        <v/>
      </c>
      <c r="J11" s="340">
        <f>IF(COUNT(E11,H11)=0,"",N(H11)-N(E11))</f>
        <v/>
      </c>
      <c r="K11" s="240">
        <f>IF(AND(ISNUMBER(C11),ISNUMBER(D11),ISNUMBER(F11),ISNUMBER(G11),C11&gt;0,F11&gt;0),ROUND(MIN(C11,F11)*(G11-D11),8),"")</f>
        <v/>
      </c>
      <c r="L11" s="177">
        <f>IF(OR(NOT(ISNUMBER(K11)),COUNT(C11,F11,D11)&lt;3),"",IF(MIN(C11,F11)*D11&lt;=0,"",ROUND(K11/(MIN(C11,F11)*D11)*100,2)))</f>
        <v/>
      </c>
      <c r="M11" s="343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DASH/USD</t>
        </is>
      </c>
      <c r="C12" s="321" t="n">
        <v>78.75913611974148</v>
      </c>
      <c r="D12" s="322" t="n">
        <v>148.7014149715765</v>
      </c>
      <c r="E12" s="247">
        <f>IF(AND(ISNUMBER(C12),ISNUMBER(D12)),C12*D12,"")</f>
        <v/>
      </c>
      <c r="F12" s="321" t="n">
        <v>65.02080583</v>
      </c>
      <c r="G12" s="322" t="n">
        <v>161.9058680654616</v>
      </c>
      <c r="H12" s="247">
        <f>IF(AND(ISNUMBER(F12),ISNUMBER(G12)),F12*G12,"")</f>
        <v/>
      </c>
      <c r="I12" s="341">
        <f>IF(COUNT(C12,F12)=0,"",N(C12)-N(F12))</f>
        <v/>
      </c>
      <c r="J12" s="342">
        <f>IF(COUNT(E12,H12)=0,"",N(H12)-N(E12))</f>
        <v/>
      </c>
      <c r="K12" s="246">
        <f>IF(AND(ISNUMBER(C12),ISNUMBER(D12),ISNUMBER(F12),ISNUMBER(G12),C12&gt;0,F12&gt;0),ROUND(MIN(C12,F12)*(G12-D12),8),"")</f>
        <v/>
      </c>
      <c r="L12" s="183">
        <f>IF(OR(NOT(ISNUMBER(K12)),COUNT(C12,F12,D12)&lt;3),"",IF(MIN(C12,F12)*D12&lt;=0,"",ROUND(K12/(MIN(C12,F12)*D12)*100,2)))</f>
        <v/>
      </c>
      <c r="M12" s="344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1INCH/USD</t>
        </is>
      </c>
      <c r="C13" s="316" t="n"/>
      <c r="D13" s="317" t="n"/>
      <c r="E13" s="241">
        <f>IF(AND(ISNUMBER(C13),ISNUMBER(D13)),C13*D13,"")</f>
        <v/>
      </c>
      <c r="F13" s="316" t="n">
        <v>49.9</v>
      </c>
      <c r="G13" s="317" t="n">
        <v>0.2603394</v>
      </c>
      <c r="H13" s="241">
        <f>IF(AND(ISNUMBER(F13),ISNUMBER(G13)),F13*G13,"")</f>
        <v/>
      </c>
      <c r="I13" s="339">
        <f>IF(COUNT(C13,F13)=0,"",N(C13)-N(F13))</f>
        <v/>
      </c>
      <c r="J13" s="340">
        <f>IF(COUNT(E13,H13)=0,"",N(H13)-N(E13))</f>
        <v/>
      </c>
      <c r="K13" s="240">
        <f>IF(AND(ISNUMBER(C13),ISNUMBER(D13),ISNUMBER(F13),ISNUMBER(G13),C13&gt;0,F13&gt;0),ROUND(MIN(C13,F13)*(G13-D13),8),"")</f>
        <v/>
      </c>
      <c r="L13" s="177">
        <f>IF(OR(NOT(ISNUMBER(K13)),COUNT(C13,F13,D13)&lt;3),"",IF(MIN(C13,F13)*D13&lt;=0,"",ROUND(K13/(MIN(C13,F13)*D13)*100,2)))</f>
        <v/>
      </c>
      <c r="M13" s="343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ACM/USD</t>
        </is>
      </c>
      <c r="C14" s="321" t="n">
        <v>40</v>
      </c>
      <c r="D14" s="322" t="n">
        <v>4.81</v>
      </c>
      <c r="E14" s="247">
        <f>IF(AND(ISNUMBER(C14),ISNUMBER(D14)),C14*D14,"")</f>
        <v/>
      </c>
      <c r="F14" s="321" t="n"/>
      <c r="G14" s="322" t="n"/>
      <c r="H14" s="247">
        <f>IF(AND(ISNUMBER(F14),ISNUMBER(G14)),F14*G14,"")</f>
        <v/>
      </c>
      <c r="I14" s="341">
        <f>IF(COUNT(C14,F14)=0,"",N(C14)-N(F14))</f>
        <v/>
      </c>
      <c r="J14" s="342">
        <f>IF(COUNT(E14,H14)=0,"",N(H14)-N(E14))</f>
        <v/>
      </c>
      <c r="K14" s="246">
        <f>IF(AND(ISNUMBER(C14),ISNUMBER(D14),ISNUMBER(F14),ISNUMBER(G14),C14&gt;0,F14&gt;0),ROUND(MIN(C14,F14)*(G14-D14),8),"")</f>
        <v/>
      </c>
      <c r="L14" s="183">
        <f>IF(OR(NOT(ISNUMBER(K14)),COUNT(C14,F14,D14)&lt;3),"",IF(MIN(C14,F14)*D14&lt;=0,"",ROUND(K14/(MIN(C14,F14)*D14)*100,2)))</f>
        <v/>
      </c>
      <c r="M14" s="344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ADA/USD</t>
        </is>
      </c>
      <c r="C15" s="316" t="n">
        <v>950</v>
      </c>
      <c r="D15" s="317" t="n">
        <v>0.99</v>
      </c>
      <c r="E15" s="241">
        <f>IF(AND(ISNUMBER(C15),ISNUMBER(D15)),C15*D15,"")</f>
        <v/>
      </c>
      <c r="F15" s="316" t="n">
        <v>200</v>
      </c>
      <c r="G15" s="317" t="n">
        <v>0.3719277</v>
      </c>
      <c r="H15" s="241">
        <f>IF(AND(ISNUMBER(F15),ISNUMBER(G15)),F15*G15,"")</f>
        <v/>
      </c>
      <c r="I15" s="339">
        <f>IF(COUNT(C15,F15)=0,"",N(C15)-N(F15))</f>
        <v/>
      </c>
      <c r="J15" s="340">
        <f>IF(COUNT(E15,H15)=0,"",N(H15)-N(E15))</f>
        <v/>
      </c>
      <c r="K15" s="240">
        <f>IF(AND(ISNUMBER(C15),ISNUMBER(D15),ISNUMBER(F15),ISNUMBER(G15),C15&gt;0,F15&gt;0),ROUND(MIN(C15,F15)*(G15-D15),8),"")</f>
        <v/>
      </c>
      <c r="L15" s="177">
        <f>IF(OR(NOT(ISNUMBER(K15)),COUNT(C15,F15,D15)&lt;3),"",IF(MIN(C15,F15)*D15&lt;=0,"",ROUND(K15/(MIN(C15,F15)*D15)*100,2)))</f>
        <v/>
      </c>
      <c r="M15" s="343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ASR/USD</t>
        </is>
      </c>
      <c r="C16" s="321" t="n">
        <v>60.9</v>
      </c>
      <c r="D16" s="322" t="n">
        <v>3.386385878489327</v>
      </c>
      <c r="E16" s="247">
        <f>IF(AND(ISNUMBER(C16),ISNUMBER(D16)),C16*D16,"")</f>
        <v/>
      </c>
      <c r="F16" s="321" t="n">
        <v>60.90000000000001</v>
      </c>
      <c r="G16" s="322" t="n">
        <v>3.860711778325122</v>
      </c>
      <c r="H16" s="247">
        <f>IF(AND(ISNUMBER(F16),ISNUMBER(G16)),F16*G16,"")</f>
        <v/>
      </c>
      <c r="I16" s="341">
        <f>IF(COUNT(C16,F16)=0,"",N(C16)-N(F16))</f>
        <v/>
      </c>
      <c r="J16" s="342">
        <f>IF(COUNT(E16,H16)=0,"",N(H16)-N(E16))</f>
        <v/>
      </c>
      <c r="K16" s="246">
        <f>IF(AND(ISNUMBER(C16),ISNUMBER(D16),ISNUMBER(F16),ISNUMBER(G16),C16&gt;0,F16&gt;0),ROUND(MIN(C16,F16)*(G16-D16),8),"")</f>
        <v/>
      </c>
      <c r="L16" s="183">
        <f>IF(OR(NOT(ISNUMBER(K16)),COUNT(C16,F16,D16)&lt;3),"",IF(MIN(C16,F16)*D16&lt;=0,"",ROUND(K16/(MIN(C16,F16)*D16)*100,2)))</f>
        <v/>
      </c>
      <c r="M16" s="344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ATOM/USD</t>
        </is>
      </c>
      <c r="C17" s="316" t="n">
        <v>18</v>
      </c>
      <c r="D17" s="317" t="n">
        <v>12.14666666666667</v>
      </c>
      <c r="E17" s="241">
        <f>IF(AND(ISNUMBER(C17),ISNUMBER(D17)),C17*D17,"")</f>
        <v/>
      </c>
      <c r="F17" s="316" t="n"/>
      <c r="G17" s="317" t="n"/>
      <c r="H17" s="241">
        <f>IF(AND(ISNUMBER(F17),ISNUMBER(G17)),F17*G17,"")</f>
        <v/>
      </c>
      <c r="I17" s="339">
        <f>IF(COUNT(C17,F17)=0,"",N(C17)-N(F17))</f>
        <v/>
      </c>
      <c r="J17" s="340">
        <f>IF(COUNT(E17,H17)=0,"",N(H17)-N(E17))</f>
        <v/>
      </c>
      <c r="K17" s="240">
        <f>IF(AND(ISNUMBER(C17),ISNUMBER(D17),ISNUMBER(F17),ISNUMBER(G17),C17&gt;0,F17&gt;0),ROUND(MIN(C17,F17)*(G17-D17),8),"")</f>
        <v/>
      </c>
      <c r="L17" s="177">
        <f>IF(OR(NOT(ISNUMBER(K17)),COUNT(C17,F17,D17)&lt;3),"",IF(MIN(C17,F17)*D17&lt;=0,"",ROUND(K17/(MIN(C17,F17)*D17)*100,2)))</f>
        <v/>
      </c>
      <c r="M17" s="343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ATM/USD</t>
        </is>
      </c>
      <c r="C18" s="321" t="n">
        <v>30.1</v>
      </c>
      <c r="D18" s="322" t="n">
        <v>3.627993355481727</v>
      </c>
      <c r="E18" s="247">
        <f>IF(AND(ISNUMBER(C18),ISNUMBER(D18)),C18*D18,"")</f>
        <v/>
      </c>
      <c r="F18" s="321" t="n">
        <v>20.1</v>
      </c>
      <c r="G18" s="322" t="n">
        <v>3.578418</v>
      </c>
      <c r="H18" s="247">
        <f>IF(AND(ISNUMBER(F18),ISNUMBER(G18)),F18*G18,"")</f>
        <v/>
      </c>
      <c r="I18" s="341">
        <f>IF(COUNT(C18,F18)=0,"",N(C18)-N(F18))</f>
        <v/>
      </c>
      <c r="J18" s="342">
        <f>IF(COUNT(E18,H18)=0,"",N(H18)-N(E18))</f>
        <v/>
      </c>
      <c r="K18" s="246">
        <f>IF(AND(ISNUMBER(C18),ISNUMBER(D18),ISNUMBER(F18),ISNUMBER(G18),C18&gt;0,F18&gt;0),ROUND(MIN(C18,F18)*(G18-D18),8),"")</f>
        <v/>
      </c>
      <c r="L18" s="183">
        <f>IF(OR(NOT(ISNUMBER(K18)),COUNT(C18,F18,D18)&lt;3),"",IF(MIN(C18,F18)*D18&lt;=0,"",ROUND(K18/(MIN(C18,F18)*D18)*100,2)))</f>
        <v/>
      </c>
      <c r="M18" s="344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AVAX/USD</t>
        </is>
      </c>
      <c r="C19" s="316" t="n">
        <v>6.939</v>
      </c>
      <c r="D19" s="317" t="n">
        <v>13.65378290820003</v>
      </c>
      <c r="E19" s="241">
        <f>IF(AND(ISNUMBER(C19),ISNUMBER(D19)),C19*D19,"")</f>
        <v/>
      </c>
      <c r="F19" s="316" t="n">
        <v>6.796886</v>
      </c>
      <c r="G19" s="317" t="n">
        <v>14.51188472772679</v>
      </c>
      <c r="H19" s="241">
        <f>IF(AND(ISNUMBER(F19),ISNUMBER(G19)),F19*G19,"")</f>
        <v/>
      </c>
      <c r="I19" s="339">
        <f>IF(COUNT(C19,F19)=0,"",N(C19)-N(F19))</f>
        <v/>
      </c>
      <c r="J19" s="340">
        <f>IF(COUNT(E19,H19)=0,"",N(H19)-N(E19))</f>
        <v/>
      </c>
      <c r="K19" s="240">
        <f>IF(AND(ISNUMBER(C19),ISNUMBER(D19),ISNUMBER(F19),ISNUMBER(G19),C19&gt;0,F19&gt;0),ROUND(MIN(C19,F19)*(G19-D19),8),"")</f>
        <v/>
      </c>
      <c r="L19" s="177">
        <f>IF(OR(NOT(ISNUMBER(K19)),COUNT(C19,F19,D19)&lt;3),"",IF(MIN(C19,F19)*D19&lt;=0,"",ROUND(K19/(MIN(C19,F19)*D19)*100,2)))</f>
        <v/>
      </c>
      <c r="M19" s="343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BAR/USD</t>
        </is>
      </c>
      <c r="C20" s="321" t="n">
        <v>38.1</v>
      </c>
      <c r="D20" s="322" t="n">
        <v>7.257270341207349</v>
      </c>
      <c r="E20" s="247">
        <f>IF(AND(ISNUMBER(C20),ISNUMBER(D20)),C20*D20,"")</f>
        <v/>
      </c>
      <c r="F20" s="321" t="n">
        <v>10</v>
      </c>
      <c r="G20" s="322" t="n">
        <v>3.15684</v>
      </c>
      <c r="H20" s="247">
        <f>IF(AND(ISNUMBER(F20),ISNUMBER(G20)),F20*G20,"")</f>
        <v/>
      </c>
      <c r="I20" s="341">
        <f>IF(COUNT(C20,F20)=0,"",N(C20)-N(F20))</f>
        <v/>
      </c>
      <c r="J20" s="342">
        <f>IF(COUNT(E20,H20)=0,"",N(H20)-N(E20))</f>
        <v/>
      </c>
      <c r="K20" s="246">
        <f>IF(AND(ISNUMBER(C20),ISNUMBER(D20),ISNUMBER(F20),ISNUMBER(G20),C20&gt;0,F20&gt;0),ROUND(MIN(C20,F20)*(G20-D20),8),"")</f>
        <v/>
      </c>
      <c r="L20" s="183">
        <f>IF(OR(NOT(ISNUMBER(K20)),COUNT(C20,F20,D20)&lt;3),"",IF(MIN(C20,F20)*D20&lt;=0,"",ROUND(K20/(MIN(C20,F20)*D20)*100,2)))</f>
        <v/>
      </c>
      <c r="M20" s="344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BNB/USD</t>
        </is>
      </c>
      <c r="C21" s="316" t="n">
        <v>0.537</v>
      </c>
      <c r="D21" s="317" t="n">
        <v>376.1919925512104</v>
      </c>
      <c r="E21" s="241">
        <f>IF(AND(ISNUMBER(C21),ISNUMBER(D21)),C21*D21,"")</f>
        <v/>
      </c>
      <c r="F21" s="316" t="n">
        <v>0.468</v>
      </c>
      <c r="G21" s="317" t="n">
        <v>458.5311807692307</v>
      </c>
      <c r="H21" s="241">
        <f>IF(AND(ISNUMBER(F21),ISNUMBER(G21)),F21*G21,"")</f>
        <v/>
      </c>
      <c r="I21" s="339">
        <f>IF(COUNT(C21,F21)=0,"",N(C21)-N(F21))</f>
        <v/>
      </c>
      <c r="J21" s="340">
        <f>IF(COUNT(E21,H21)=0,"",N(H21)-N(E21))</f>
        <v/>
      </c>
      <c r="K21" s="240">
        <f>IF(AND(ISNUMBER(C21),ISNUMBER(D21),ISNUMBER(F21),ISNUMBER(G21),C21&gt;0,F21&gt;0),ROUND(MIN(C21,F21)*(G21-D21),8),"")</f>
        <v/>
      </c>
      <c r="L21" s="177">
        <f>IF(OR(NOT(ISNUMBER(K21)),COUNT(C21,F21,D21)&lt;3),"",IF(MIN(C21,F21)*D21&lt;=0,"",ROUND(K21/(MIN(C21,F21)*D21)*100,2)))</f>
        <v/>
      </c>
      <c r="M21" s="343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DOT/USD</t>
        </is>
      </c>
      <c r="C22" s="321" t="n">
        <v>27.68</v>
      </c>
      <c r="D22" s="322" t="n">
        <v>10.42778179190752</v>
      </c>
      <c r="E22" s="247">
        <f>IF(AND(ISNUMBER(C22),ISNUMBER(D22)),C22*D22,"")</f>
        <v/>
      </c>
      <c r="F22" s="321" t="n">
        <v>32.483095</v>
      </c>
      <c r="G22" s="322" t="n">
        <v>5.963773595465581</v>
      </c>
      <c r="H22" s="247">
        <f>IF(AND(ISNUMBER(F22),ISNUMBER(G22)),F22*G22,"")</f>
        <v/>
      </c>
      <c r="I22" s="341">
        <f>IF(COUNT(C22,F22)=0,"",N(C22)-N(F22))</f>
        <v/>
      </c>
      <c r="J22" s="342">
        <f>IF(COUNT(E22,H22)=0,"",N(H22)-N(E22))</f>
        <v/>
      </c>
      <c r="K22" s="246">
        <f>IF(AND(ISNUMBER(C22),ISNUMBER(D22),ISNUMBER(F22),ISNUMBER(G22),C22&gt;0,F22&gt;0),ROUND(MIN(C22,F22)*(G22-D22),8),"")</f>
        <v/>
      </c>
      <c r="L22" s="183">
        <f>IF(OR(NOT(ISNUMBER(K22)),COUNT(C22,F22,D22)&lt;3),"",IF(MIN(C22,F22)*D22&lt;=0,"",ROUND(K22/(MIN(C22,F22)*D22)*100,2)))</f>
        <v/>
      </c>
      <c r="M22" s="344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DYDX/USD</t>
        </is>
      </c>
      <c r="C23" s="316" t="n">
        <v>36.26</v>
      </c>
      <c r="D23" s="317" t="n">
        <v>2.253281853281853</v>
      </c>
      <c r="E23" s="241">
        <f>IF(AND(ISNUMBER(C23),ISNUMBER(D23)),C23*D23,"")</f>
        <v/>
      </c>
      <c r="F23" s="316" t="n">
        <v>36.26</v>
      </c>
      <c r="G23" s="317" t="n">
        <v>2.930554653061225</v>
      </c>
      <c r="H23" s="241">
        <f>IF(AND(ISNUMBER(F23),ISNUMBER(G23)),F23*G23,"")</f>
        <v/>
      </c>
      <c r="I23" s="339">
        <f>IF(COUNT(C23,F23)=0,"",N(C23)-N(F23))</f>
        <v/>
      </c>
      <c r="J23" s="340">
        <f>IF(COUNT(E23,H23)=0,"",N(H23)-N(E23))</f>
        <v/>
      </c>
      <c r="K23" s="240">
        <f>IF(AND(ISNUMBER(C23),ISNUMBER(D23),ISNUMBER(F23),ISNUMBER(G23),C23&gt;0,F23&gt;0),ROUND(MIN(C23,F23)*(G23-D23),8),"")</f>
        <v/>
      </c>
      <c r="L23" s="177">
        <f>IF(OR(NOT(ISNUMBER(K23)),COUNT(C23,F23,D23)&lt;3),"",IF(MIN(C23,F23)*D23&lt;=0,"",ROUND(K23/(MIN(C23,F23)*D23)*100,2)))</f>
        <v/>
      </c>
      <c r="M23" s="343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EGLD/USD</t>
        </is>
      </c>
      <c r="C24" s="321" t="n">
        <v>2.0761</v>
      </c>
      <c r="D24" s="322" t="n">
        <v>83.1552815374982</v>
      </c>
      <c r="E24" s="247">
        <f>IF(AND(ISNUMBER(C24),ISNUMBER(D24)),C24*D24,"")</f>
        <v/>
      </c>
      <c r="F24" s="321" t="n"/>
      <c r="G24" s="322" t="n"/>
      <c r="H24" s="247">
        <f>IF(AND(ISNUMBER(F24),ISNUMBER(G24)),F24*G24,"")</f>
        <v/>
      </c>
      <c r="I24" s="341">
        <f>IF(COUNT(C24,F24)=0,"",N(C24)-N(F24))</f>
        <v/>
      </c>
      <c r="J24" s="342">
        <f>IF(COUNT(E24,H24)=0,"",N(H24)-N(E24))</f>
        <v/>
      </c>
      <c r="K24" s="246">
        <f>IF(AND(ISNUMBER(C24),ISNUMBER(D24),ISNUMBER(F24),ISNUMBER(G24),C24&gt;0,F24&gt;0),ROUND(MIN(C24,F24)*(G24-D24),8),"")</f>
        <v/>
      </c>
      <c r="L24" s="183">
        <f>IF(OR(NOT(ISNUMBER(K24)),COUNT(C24,F24,D24)&lt;3),"",IF(MIN(C24,F24)*D24&lt;=0,"",ROUND(K24/(MIN(C24,F24)*D24)*100,2)))</f>
        <v/>
      </c>
      <c r="M24" s="344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EOS/USD</t>
        </is>
      </c>
      <c r="C25" s="316" t="n">
        <v>347.18876442</v>
      </c>
      <c r="D25" s="317" t="n">
        <v>1.759447973153285</v>
      </c>
      <c r="E25" s="241">
        <f>IF(AND(ISNUMBER(C25),ISNUMBER(D25)),C25*D25,"")</f>
        <v/>
      </c>
      <c r="F25" s="316" t="n">
        <v>393</v>
      </c>
      <c r="G25" s="317" t="n">
        <v>0.9852664160335878</v>
      </c>
      <c r="H25" s="241">
        <f>IF(AND(ISNUMBER(F25),ISNUMBER(G25)),F25*G25,"")</f>
        <v/>
      </c>
      <c r="I25" s="339">
        <f>IF(COUNT(C25,F25)=0,"",N(C25)-N(F25))</f>
        <v/>
      </c>
      <c r="J25" s="340">
        <f>IF(COUNT(E25,H25)=0,"",N(H25)-N(E25))</f>
        <v/>
      </c>
      <c r="K25" s="240">
        <f>IF(AND(ISNUMBER(C25),ISNUMBER(D25),ISNUMBER(F25),ISNUMBER(G25),C25&gt;0,F25&gt;0),ROUND(MIN(C25,F25)*(G25-D25),8),"")</f>
        <v/>
      </c>
      <c r="L25" s="177">
        <f>IF(OR(NOT(ISNUMBER(K25)),COUNT(C25,F25,D25)&lt;3),"",IF(MIN(C25,F25)*D25&lt;=0,"",ROUND(K25/(MIN(C25,F25)*D25)*100,2)))</f>
        <v/>
      </c>
      <c r="M25" s="343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ETC/USD</t>
        </is>
      </c>
      <c r="C26" s="321" t="n">
        <v>25.09804009</v>
      </c>
      <c r="D26" s="322" t="n">
        <v>5.986358708537709</v>
      </c>
      <c r="E26" s="247">
        <f>IF(AND(ISNUMBER(C26),ISNUMBER(D26)),C26*D26,"")</f>
        <v/>
      </c>
      <c r="F26" s="321" t="n">
        <v>20</v>
      </c>
      <c r="G26" s="322" t="n">
        <v>37.262525175</v>
      </c>
      <c r="H26" s="247">
        <f>IF(AND(ISNUMBER(F26),ISNUMBER(G26)),F26*G26,"")</f>
        <v/>
      </c>
      <c r="I26" s="341">
        <f>IF(COUNT(C26,F26)=0,"",N(C26)-N(F26))</f>
        <v/>
      </c>
      <c r="J26" s="342">
        <f>IF(COUNT(E26,H26)=0,"",N(H26)-N(E26))</f>
        <v/>
      </c>
      <c r="K26" s="246">
        <f>IF(AND(ISNUMBER(C26),ISNUMBER(D26),ISNUMBER(F26),ISNUMBER(G26),C26&gt;0,F26&gt;0),ROUND(MIN(C26,F26)*(G26-D26),8),"")</f>
        <v/>
      </c>
      <c r="L26" s="183">
        <f>IF(OR(NOT(ISNUMBER(K26)),COUNT(C26,F26,D26)&lt;3),"",IF(MIN(C26,F26)*D26&lt;=0,"",ROUND(K26/(MIN(C26,F26)*D26)*100,2)))</f>
        <v/>
      </c>
      <c r="M26" s="344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JUV/USD</t>
        </is>
      </c>
      <c r="C27" s="316" t="n">
        <v>71.09999999999999</v>
      </c>
      <c r="D27" s="317" t="n">
        <v>5.867663853727146</v>
      </c>
      <c r="E27" s="241">
        <f>IF(AND(ISNUMBER(C27),ISNUMBER(D27)),C27*D27,"")</f>
        <v/>
      </c>
      <c r="F27" s="316" t="n">
        <v>30</v>
      </c>
      <c r="G27" s="317" t="n">
        <v>5.471523</v>
      </c>
      <c r="H27" s="241">
        <f>IF(AND(ISNUMBER(F27),ISNUMBER(G27)),F27*G27,"")</f>
        <v/>
      </c>
      <c r="I27" s="339">
        <f>IF(COUNT(C27,F27)=0,"",N(C27)-N(F27))</f>
        <v/>
      </c>
      <c r="J27" s="340">
        <f>IF(COUNT(E27,H27)=0,"",N(H27)-N(E27))</f>
        <v/>
      </c>
      <c r="K27" s="240">
        <f>IF(AND(ISNUMBER(C27),ISNUMBER(D27),ISNUMBER(F27),ISNUMBER(G27),C27&gt;0,F27&gt;0),ROUND(MIN(C27,F27)*(G27-D27),8),"")</f>
        <v/>
      </c>
      <c r="L27" s="177">
        <f>IF(OR(NOT(ISNUMBER(K27)),COUNT(C27,F27,D27)&lt;3),"",IF(MIN(C27,F27)*D27&lt;=0,"",ROUND(K27/(MIN(C27,F27)*D27)*100,2)))</f>
        <v/>
      </c>
      <c r="M27" s="343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INJ/USD</t>
        </is>
      </c>
      <c r="C28" s="321" t="n">
        <v>78.90000000000001</v>
      </c>
      <c r="D28" s="322" t="n">
        <v>10.62591888515843</v>
      </c>
      <c r="E28" s="247">
        <f>IF(AND(ISNUMBER(C28),ISNUMBER(D28)),C28*D28,"")</f>
        <v/>
      </c>
      <c r="F28" s="321" t="n">
        <v>78.90000000000001</v>
      </c>
      <c r="G28" s="322" t="n">
        <v>9.961140422053232</v>
      </c>
      <c r="H28" s="247">
        <f>IF(AND(ISNUMBER(F28),ISNUMBER(G28)),F28*G28,"")</f>
        <v/>
      </c>
      <c r="I28" s="341">
        <f>IF(COUNT(C28,F28)=0,"",N(C28)-N(F28))</f>
        <v/>
      </c>
      <c r="J28" s="342">
        <f>IF(COUNT(E28,H28)=0,"",N(H28)-N(E28))</f>
        <v/>
      </c>
      <c r="K28" s="246">
        <f>IF(AND(ISNUMBER(C28),ISNUMBER(D28),ISNUMBER(F28),ISNUMBER(G28),C28&gt;0,F28&gt;0),ROUND(MIN(C28,F28)*(G28-D28),8),"")</f>
        <v/>
      </c>
      <c r="L28" s="183">
        <f>IF(OR(NOT(ISNUMBER(K28)),COUNT(C28,F28,D28)&lt;3),"",IF(MIN(C28,F28)*D28&lt;=0,"",ROUND(K28/(MIN(C28,F28)*D28)*100,2)))</f>
        <v/>
      </c>
      <c r="M28" s="344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LEVER/USD</t>
        </is>
      </c>
      <c r="C29" s="316" t="n">
        <v>103025.89471056</v>
      </c>
      <c r="D29" s="317" t="n">
        <v>0.002877954406151149</v>
      </c>
      <c r="E29" s="241">
        <f>IF(AND(ISNUMBER(C29),ISNUMBER(D29)),C29*D29,"")</f>
        <v/>
      </c>
      <c r="F29" s="316" t="n">
        <v>103025.89471056</v>
      </c>
      <c r="G29" s="317" t="n">
        <v>0.003171222798574269</v>
      </c>
      <c r="H29" s="241">
        <f>IF(AND(ISNUMBER(F29),ISNUMBER(G29)),F29*G29,"")</f>
        <v/>
      </c>
      <c r="I29" s="339">
        <f>IF(COUNT(C29,F29)=0,"",N(C29)-N(F29))</f>
        <v/>
      </c>
      <c r="J29" s="340">
        <f>IF(COUNT(E29,H29)=0,"",N(H29)-N(E29))</f>
        <v/>
      </c>
      <c r="K29" s="240">
        <f>IF(AND(ISNUMBER(C29),ISNUMBER(D29),ISNUMBER(F29),ISNUMBER(G29),C29&gt;0,F29&gt;0),ROUND(MIN(C29,F29)*(G29-D29),8),"")</f>
        <v/>
      </c>
      <c r="L29" s="177">
        <f>IF(OR(NOT(ISNUMBER(K29)),COUNT(C29,F29,D29)&lt;3),"",IF(MIN(C29,F29)*D29&lt;=0,"",ROUND(K29/(MIN(C29,F29)*D29)*100,2)))</f>
        <v/>
      </c>
      <c r="M29" s="343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LINK/USD</t>
        </is>
      </c>
      <c r="C30" s="321" t="n">
        <v>6.58</v>
      </c>
      <c r="D30" s="322" t="n">
        <v>7.855</v>
      </c>
      <c r="E30" s="247">
        <f>IF(AND(ISNUMBER(C30),ISNUMBER(D30)),C30*D30,"")</f>
        <v/>
      </c>
      <c r="F30" s="321" t="n">
        <v>6.58</v>
      </c>
      <c r="G30" s="322" t="n">
        <v>14.62214133738602</v>
      </c>
      <c r="H30" s="247">
        <f>IF(AND(ISNUMBER(F30),ISNUMBER(G30)),F30*G30,"")</f>
        <v/>
      </c>
      <c r="I30" s="341">
        <f>IF(COUNT(C30,F30)=0,"",N(C30)-N(F30))</f>
        <v/>
      </c>
      <c r="J30" s="342">
        <f>IF(COUNT(E30,H30)=0,"",N(H30)-N(E30))</f>
        <v/>
      </c>
      <c r="K30" s="246">
        <f>IF(AND(ISNUMBER(C30),ISNUMBER(D30),ISNUMBER(F30),ISNUMBER(G30),C30&gt;0,F30&gt;0),ROUND(MIN(C30,F30)*(G30-D30),8),"")</f>
        <v/>
      </c>
      <c r="L30" s="183">
        <f>IF(OR(NOT(ISNUMBER(K30)),COUNT(C30,F30,D30)&lt;3),"",IF(MIN(C30,F30)*D30&lt;=0,"",ROUND(K30/(MIN(C30,F30)*D30)*100,2)))</f>
        <v/>
      </c>
      <c r="M30" s="344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LUNA/USD</t>
        </is>
      </c>
      <c r="C31" s="316" t="n">
        <v>27</v>
      </c>
      <c r="D31" s="317" t="n">
        <v>0.8100370370370371</v>
      </c>
      <c r="E31" s="241">
        <f>IF(AND(ISNUMBER(C31),ISNUMBER(D31)),C31*D31,"")</f>
        <v/>
      </c>
      <c r="F31" s="316" t="n"/>
      <c r="G31" s="317" t="n"/>
      <c r="H31" s="241">
        <f>IF(AND(ISNUMBER(F31),ISNUMBER(G31)),F31*G31,"")</f>
        <v/>
      </c>
      <c r="I31" s="339">
        <f>IF(COUNT(C31,F31)=0,"",N(C31)-N(F31))</f>
        <v/>
      </c>
      <c r="J31" s="340">
        <f>IF(COUNT(E31,H31)=0,"",N(H31)-N(E31))</f>
        <v/>
      </c>
      <c r="K31" s="240">
        <f>IF(AND(ISNUMBER(C31),ISNUMBER(D31),ISNUMBER(F31),ISNUMBER(G31),C31&gt;0,F31&gt;0),ROUND(MIN(C31,F31)*(G31-D31),8),"")</f>
        <v/>
      </c>
      <c r="L31" s="177">
        <f>IF(OR(NOT(ISNUMBER(K31)),COUNT(C31,F31,D31)&lt;3),"",IF(MIN(C31,F31)*D31&lt;=0,"",ROUND(K31/(MIN(C31,F31)*D31)*100,2)))</f>
        <v/>
      </c>
      <c r="M31" s="343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MATIC/USD</t>
        </is>
      </c>
      <c r="C32" s="321" t="n">
        <v>233.9</v>
      </c>
      <c r="D32" s="322" t="n">
        <v>1.136712954253955</v>
      </c>
      <c r="E32" s="247">
        <f>IF(AND(ISNUMBER(C32),ISNUMBER(D32)),C32*D32,"")</f>
        <v/>
      </c>
      <c r="F32" s="321" t="n">
        <v>239.82</v>
      </c>
      <c r="G32" s="322" t="n">
        <v>0.7542449999999999</v>
      </c>
      <c r="H32" s="247">
        <f>IF(AND(ISNUMBER(F32),ISNUMBER(G32)),F32*G32,"")</f>
        <v/>
      </c>
      <c r="I32" s="341">
        <f>IF(COUNT(C32,F32)=0,"",N(C32)-N(F32))</f>
        <v/>
      </c>
      <c r="J32" s="342">
        <f>IF(COUNT(E32,H32)=0,"",N(H32)-N(E32))</f>
        <v/>
      </c>
      <c r="K32" s="246">
        <f>IF(AND(ISNUMBER(C32),ISNUMBER(D32),ISNUMBER(F32),ISNUMBER(G32),C32&gt;0,F32&gt;0),ROUND(MIN(C32,F32)*(G32-D32),8),"")</f>
        <v/>
      </c>
      <c r="L32" s="183">
        <f>IF(OR(NOT(ISNUMBER(K32)),COUNT(C32,F32,D32)&lt;3),"",IF(MIN(C32,F32)*D32&lt;=0,"",ROUND(K32/(MIN(C32,F32)*D32)*100,2)))</f>
        <v/>
      </c>
      <c r="M32" s="344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NEAR/USD</t>
        </is>
      </c>
      <c r="C33" s="316" t="n">
        <v>25.8</v>
      </c>
      <c r="D33" s="317" t="n">
        <v>3.295550387596899</v>
      </c>
      <c r="E33" s="241">
        <f>IF(AND(ISNUMBER(C33),ISNUMBER(D33)),C33*D33,"")</f>
        <v/>
      </c>
      <c r="F33" s="316" t="n">
        <v>25.8</v>
      </c>
      <c r="G33" s="317" t="n">
        <v>4.848394813953488</v>
      </c>
      <c r="H33" s="241">
        <f>IF(AND(ISNUMBER(F33),ISNUMBER(G33)),F33*G33,"")</f>
        <v/>
      </c>
      <c r="I33" s="339">
        <f>IF(COUNT(C33,F33)=0,"",N(C33)-N(F33))</f>
        <v/>
      </c>
      <c r="J33" s="340">
        <f>IF(COUNT(E33,H33)=0,"",N(H33)-N(E33))</f>
        <v/>
      </c>
      <c r="K33" s="240">
        <f>IF(AND(ISNUMBER(C33),ISNUMBER(D33),ISNUMBER(F33),ISNUMBER(G33),C33&gt;0,F33&gt;0),ROUND(MIN(C33,F33)*(G33-D33),8),"")</f>
        <v/>
      </c>
      <c r="L33" s="177">
        <f>IF(OR(NOT(ISNUMBER(K33)),COUNT(C33,F33,D33)&lt;3),"",IF(MIN(C33,F33)*D33&lt;=0,"",ROUND(K33/(MIN(C33,F33)*D33)*100,2)))</f>
        <v/>
      </c>
      <c r="M33" s="343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NEO/USD</t>
        </is>
      </c>
      <c r="C34" s="321" t="n">
        <v>6</v>
      </c>
      <c r="D34" s="322" t="n">
        <v>9.2069166293781</v>
      </c>
      <c r="E34" s="247">
        <f>IF(AND(ISNUMBER(C34),ISNUMBER(D34)),C34*D34,"")</f>
        <v/>
      </c>
      <c r="F34" s="321" t="n">
        <v>8</v>
      </c>
      <c r="G34" s="322" t="n">
        <v>17.05836690427837</v>
      </c>
      <c r="H34" s="247">
        <f>IF(AND(ISNUMBER(F34),ISNUMBER(G34)),F34*G34,"")</f>
        <v/>
      </c>
      <c r="I34" s="341">
        <f>IF(COUNT(C34,F34)=0,"",N(C34)-N(F34))</f>
        <v/>
      </c>
      <c r="J34" s="342">
        <f>IF(COUNT(E34,H34)=0,"",N(H34)-N(E34))</f>
        <v/>
      </c>
      <c r="K34" s="246">
        <f>IF(AND(ISNUMBER(C34),ISNUMBER(D34),ISNUMBER(F34),ISNUMBER(G34),C34&gt;0,F34&gt;0),ROUND(MIN(C34,F34)*(G34-D34),8),"")</f>
        <v/>
      </c>
      <c r="L34" s="183">
        <f>IF(OR(NOT(ISNUMBER(K34)),COUNT(C34,F34,D34)&lt;3),"",IF(MIN(C34,F34)*D34&lt;=0,"",ROUND(K34/(MIN(C34,F34)*D34)*100,2)))</f>
        <v/>
      </c>
      <c r="M34" s="344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NFT/USD</t>
        </is>
      </c>
      <c r="C35" s="316" t="n">
        <v>75000000</v>
      </c>
      <c r="D35" s="317" t="n">
        <v>2.67e-06</v>
      </c>
      <c r="E35" s="241">
        <f>IF(AND(ISNUMBER(C35),ISNUMBER(D35)),C35*D35,"")</f>
        <v/>
      </c>
      <c r="F35" s="316" t="n"/>
      <c r="G35" s="317" t="n"/>
      <c r="H35" s="241">
        <f>IF(AND(ISNUMBER(F35),ISNUMBER(G35)),F35*G35,"")</f>
        <v/>
      </c>
      <c r="I35" s="339">
        <f>IF(COUNT(C35,F35)=0,"",N(C35)-N(F35))</f>
        <v/>
      </c>
      <c r="J35" s="340">
        <f>IF(COUNT(E35,H35)=0,"",N(H35)-N(E35))</f>
        <v/>
      </c>
      <c r="K35" s="240">
        <f>IF(AND(ISNUMBER(C35),ISNUMBER(D35),ISNUMBER(F35),ISNUMBER(G35),C35&gt;0,F35&gt;0),ROUND(MIN(C35,F35)*(G35-D35),8),"")</f>
        <v/>
      </c>
      <c r="L35" s="177">
        <f>IF(OR(NOT(ISNUMBER(K35)),COUNT(C35,F35,D35)&lt;3),"",IF(MIN(C35,F35)*D35&lt;=0,"",ROUND(K35/(MIN(C35,F35)*D35)*100,2)))</f>
        <v/>
      </c>
      <c r="M35" s="343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PHA/USD</t>
        </is>
      </c>
      <c r="C36" s="321" t="n">
        <v>98</v>
      </c>
      <c r="D36" s="322" t="n">
        <v>0.126</v>
      </c>
      <c r="E36" s="247">
        <f>IF(AND(ISNUMBER(C36),ISNUMBER(D36)),C36*D36,"")</f>
        <v/>
      </c>
      <c r="F36" s="321" t="n">
        <v>97</v>
      </c>
      <c r="G36" s="322" t="n">
        <v>0.1347651</v>
      </c>
      <c r="H36" s="247">
        <f>IF(AND(ISNUMBER(F36),ISNUMBER(G36)),F36*G36,"")</f>
        <v/>
      </c>
      <c r="I36" s="341">
        <f>IF(COUNT(C36,F36)=0,"",N(C36)-N(F36))</f>
        <v/>
      </c>
      <c r="J36" s="342">
        <f>IF(COUNT(E36,H36)=0,"",N(H36)-N(E36))</f>
        <v/>
      </c>
      <c r="K36" s="246">
        <f>IF(AND(ISNUMBER(C36),ISNUMBER(D36),ISNUMBER(F36),ISNUMBER(G36),C36&gt;0,F36&gt;0),ROUND(MIN(C36,F36)*(G36-D36),8),"")</f>
        <v/>
      </c>
      <c r="L36" s="183">
        <f>IF(OR(NOT(ISNUMBER(K36)),COUNT(C36,F36,D36)&lt;3),"",IF(MIN(C36,F36)*D36&lt;=0,"",ROUND(K36/(MIN(C36,F36)*D36)*100,2)))</f>
        <v/>
      </c>
      <c r="M36" s="344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SAND/USD</t>
        </is>
      </c>
      <c r="C37" s="316" t="n">
        <v>308.702054</v>
      </c>
      <c r="D37" s="317" t="n">
        <v>0.6660305538491819</v>
      </c>
      <c r="E37" s="241">
        <f>IF(AND(ISNUMBER(C37),ISNUMBER(D37)),C37*D37,"")</f>
        <v/>
      </c>
      <c r="F37" s="316" t="n">
        <v>308.702054</v>
      </c>
      <c r="G37" s="317" t="n">
        <v>0.7526001376856587</v>
      </c>
      <c r="H37" s="241">
        <f>IF(AND(ISNUMBER(F37),ISNUMBER(G37)),F37*G37,"")</f>
        <v/>
      </c>
      <c r="I37" s="339">
        <f>IF(COUNT(C37,F37)=0,"",N(C37)-N(F37))</f>
        <v/>
      </c>
      <c r="J37" s="340">
        <f>IF(COUNT(E37,H37)=0,"",N(H37)-N(E37))</f>
        <v/>
      </c>
      <c r="K37" s="240">
        <f>IF(AND(ISNUMBER(C37),ISNUMBER(D37),ISNUMBER(F37),ISNUMBER(G37),C37&gt;0,F37&gt;0),ROUND(MIN(C37,F37)*(G37-D37),8),"")</f>
        <v/>
      </c>
      <c r="L37" s="177">
        <f>IF(OR(NOT(ISNUMBER(K37)),COUNT(C37,F37,D37)&lt;3),"",IF(MIN(C37,F37)*D37&lt;=0,"",ROUND(K37/(MIN(C37,F37)*D37)*100,2)))</f>
        <v/>
      </c>
      <c r="M37" s="343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inlineStr">
        <is>
          <t>SC/USD</t>
        </is>
      </c>
      <c r="C38" s="321" t="n"/>
      <c r="D38" s="322" t="n"/>
      <c r="E38" s="247">
        <f>IF(AND(ISNUMBER(C38),ISNUMBER(D38)),C38*D38,"")</f>
        <v/>
      </c>
      <c r="F38" s="321" t="n">
        <v>15100</v>
      </c>
      <c r="G38" s="322" t="n">
        <v>0.004649346</v>
      </c>
      <c r="H38" s="247">
        <f>IF(AND(ISNUMBER(F38),ISNUMBER(G38)),F38*G38,"")</f>
        <v/>
      </c>
      <c r="I38" s="341">
        <f>IF(COUNT(C38,F38)=0,"",N(C38)-N(F38))</f>
        <v/>
      </c>
      <c r="J38" s="342">
        <f>IF(COUNT(E38,H38)=0,"",N(H38)-N(E38))</f>
        <v/>
      </c>
      <c r="K38" s="246">
        <f>IF(AND(ISNUMBER(C38),ISNUMBER(D38),ISNUMBER(F38),ISNUMBER(G38),C38&gt;0,F38&gt;0),ROUND(MIN(C38,F38)*(G38-D38),8),"")</f>
        <v/>
      </c>
      <c r="L38" s="183">
        <f>IF(OR(NOT(ISNUMBER(K38)),COUNT(C38,F38,D38)&lt;3),"",IF(MIN(C38,F38)*D38&lt;=0,"",ROUND(K38/(MIN(C38,F38)*D38)*100,2)))</f>
        <v/>
      </c>
      <c r="M38" s="344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inlineStr">
        <is>
          <t>SHIB/USD</t>
        </is>
      </c>
      <c r="C39" s="316" t="n">
        <v>96397500</v>
      </c>
      <c r="D39" s="317" t="n">
        <v>9.482022977774318e-06</v>
      </c>
      <c r="E39" s="241">
        <f>IF(AND(ISNUMBER(C39),ISNUMBER(D39)),C39*D39,"")</f>
        <v/>
      </c>
      <c r="F39" s="316" t="n">
        <v>96397500</v>
      </c>
      <c r="G39" s="317" t="n">
        <v>1.526219015342721e-05</v>
      </c>
      <c r="H39" s="241">
        <f>IF(AND(ISNUMBER(F39),ISNUMBER(G39)),F39*G39,"")</f>
        <v/>
      </c>
      <c r="I39" s="339">
        <f>IF(COUNT(C39,F39)=0,"",N(C39)-N(F39))</f>
        <v/>
      </c>
      <c r="J39" s="340">
        <f>IF(COUNT(E39,H39)=0,"",N(H39)-N(E39))</f>
        <v/>
      </c>
      <c r="K39" s="240">
        <f>IF(AND(ISNUMBER(C39),ISNUMBER(D39),ISNUMBER(F39),ISNUMBER(G39),C39&gt;0,F39&gt;0),ROUND(MIN(C39,F39)*(G39-D39),8),"")</f>
        <v/>
      </c>
      <c r="L39" s="177">
        <f>IF(OR(NOT(ISNUMBER(K39)),COUNT(C39,F39,D39)&lt;3),"",IF(MIN(C39,F39)*D39&lt;=0,"",ROUND(K39/(MIN(C39,F39)*D39)*100,2)))</f>
        <v/>
      </c>
      <c r="M39" s="343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inlineStr">
        <is>
          <t>SOL/USD</t>
        </is>
      </c>
      <c r="C40" s="321" t="n"/>
      <c r="D40" s="322" t="n"/>
      <c r="E40" s="247">
        <f>IF(AND(ISNUMBER(C40),ISNUMBER(D40)),C40*D40,"")</f>
        <v/>
      </c>
      <c r="F40" s="321" t="n"/>
      <c r="G40" s="322" t="n"/>
      <c r="H40" s="247">
        <f>IF(AND(ISNUMBER(F40),ISNUMBER(G40)),F40*G40,"")</f>
        <v/>
      </c>
      <c r="I40" s="341">
        <f>IF(COUNT(C40,F40)=0,"",N(C40)-N(F40))</f>
        <v/>
      </c>
      <c r="J40" s="342">
        <f>IF(COUNT(E40,H40)=0,"",N(H40)-N(E40))</f>
        <v/>
      </c>
      <c r="K40" s="246">
        <f>IF(AND(ISNUMBER(C40),ISNUMBER(D40),ISNUMBER(F40),ISNUMBER(G40),C40&gt;0,F40&gt;0),ROUND(MIN(C40,F40)*(G40-D40),8),"")</f>
        <v/>
      </c>
      <c r="L40" s="183">
        <f>IF(OR(NOT(ISNUMBER(K40)),COUNT(C40,F40,D40)&lt;3),"",IF(MIN(C40,F40)*D40&lt;=0,"",ROUND(K40/(MIN(C40,F40)*D40)*100,2)))</f>
        <v/>
      </c>
      <c r="M40" s="344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inlineStr">
        <is>
          <t>STX/USD</t>
        </is>
      </c>
      <c r="C41" s="316" t="n">
        <v>161.2</v>
      </c>
      <c r="D41" s="317" t="n">
        <v>0.2836234565756824</v>
      </c>
      <c r="E41" s="241">
        <f>IF(AND(ISNUMBER(C41),ISNUMBER(D41)),C41*D41,"")</f>
        <v/>
      </c>
      <c r="F41" s="316" t="n">
        <v>161.2</v>
      </c>
      <c r="G41" s="317" t="n">
        <v>0.7886142658094294</v>
      </c>
      <c r="H41" s="241">
        <f>IF(AND(ISNUMBER(F41),ISNUMBER(G41)),F41*G41,"")</f>
        <v/>
      </c>
      <c r="I41" s="339">
        <f>IF(COUNT(C41,F41)=0,"",N(C41)-N(F41))</f>
        <v/>
      </c>
      <c r="J41" s="340">
        <f>IF(COUNT(E41,H41)=0,"",N(H41)-N(E41))</f>
        <v/>
      </c>
      <c r="K41" s="240">
        <f>IF(AND(ISNUMBER(C41),ISNUMBER(D41),ISNUMBER(F41),ISNUMBER(G41),C41&gt;0,F41&gt;0),ROUND(MIN(C41,F41)*(G41-D41),8),"")</f>
        <v/>
      </c>
      <c r="L41" s="177">
        <f>IF(OR(NOT(ISNUMBER(K41)),COUNT(C41,F41,D41)&lt;3),"",IF(MIN(C41,F41)*D41&lt;=0,"",ROUND(K41/(MIN(C41,F41)*D41)*100,2)))</f>
        <v/>
      </c>
      <c r="M41" s="343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inlineStr">
        <is>
          <t>SUI/USD</t>
        </is>
      </c>
      <c r="C42" s="321" t="n">
        <v>20</v>
      </c>
      <c r="D42" s="322" t="n">
        <v>1.61</v>
      </c>
      <c r="E42" s="247">
        <f>IF(AND(ISNUMBER(C42),ISNUMBER(D42)),C42*D42,"")</f>
        <v/>
      </c>
      <c r="F42" s="321" t="n">
        <v>20</v>
      </c>
      <c r="G42" s="322" t="n">
        <v>1.64835</v>
      </c>
      <c r="H42" s="247">
        <f>IF(AND(ISNUMBER(F42),ISNUMBER(G42)),F42*G42,"")</f>
        <v/>
      </c>
      <c r="I42" s="341">
        <f>IF(COUNT(C42,F42)=0,"",N(C42)-N(F42))</f>
        <v/>
      </c>
      <c r="J42" s="342">
        <f>IF(COUNT(E42,H42)=0,"",N(H42)-N(E42))</f>
        <v/>
      </c>
      <c r="K42" s="246">
        <f>IF(AND(ISNUMBER(C42),ISNUMBER(D42),ISNUMBER(F42),ISNUMBER(G42),C42&gt;0,F42&gt;0),ROUND(MIN(C42,F42)*(G42-D42),8),"")</f>
        <v/>
      </c>
      <c r="L42" s="183">
        <f>IF(OR(NOT(ISNUMBER(K42)),COUNT(C42,F42,D42)&lt;3),"",IF(MIN(C42,F42)*D42&lt;=0,"",ROUND(K42/(MIN(C42,F42)*D42)*100,2)))</f>
        <v/>
      </c>
      <c r="M42" s="344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inlineStr">
        <is>
          <t>TON/USD</t>
        </is>
      </c>
      <c r="C43" s="316" t="n">
        <v>326.84</v>
      </c>
      <c r="D43" s="317" t="n">
        <v>2.955230816301554</v>
      </c>
      <c r="E43" s="241">
        <f>IF(AND(ISNUMBER(C43),ISNUMBER(D43)),C43*D43,"")</f>
        <v/>
      </c>
      <c r="F43" s="316" t="n">
        <v>234.84</v>
      </c>
      <c r="G43" s="317" t="n">
        <v>2.194885152478283</v>
      </c>
      <c r="H43" s="241">
        <f>IF(AND(ISNUMBER(F43),ISNUMBER(G43)),F43*G43,"")</f>
        <v/>
      </c>
      <c r="I43" s="339">
        <f>IF(COUNT(C43,F43)=0,"",N(C43)-N(F43))</f>
        <v/>
      </c>
      <c r="J43" s="340">
        <f>IF(COUNT(E43,H43)=0,"",N(H43)-N(E43))</f>
        <v/>
      </c>
      <c r="K43" s="240">
        <f>IF(AND(ISNUMBER(C43),ISNUMBER(D43),ISNUMBER(F43),ISNUMBER(G43),C43&gt;0,F43&gt;0),ROUND(MIN(C43,F43)*(G43-D43),8),"")</f>
        <v/>
      </c>
      <c r="L43" s="177">
        <f>IF(OR(NOT(ISNUMBER(K43)),COUNT(C43,F43,D43)&lt;3),"",IF(MIN(C43,F43)*D43&lt;=0,"",ROUND(K43/(MIN(C43,F43)*D43)*100,2)))</f>
        <v/>
      </c>
      <c r="M43" s="343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inlineStr">
        <is>
          <t>TRX/USD</t>
        </is>
      </c>
      <c r="C44" s="321" t="n">
        <v>13816.74147246</v>
      </c>
      <c r="D44" s="322" t="n">
        <v>0.03382592194053614</v>
      </c>
      <c r="E44" s="247">
        <f>IF(AND(ISNUMBER(C44),ISNUMBER(D44)),C44*D44,"")</f>
        <v/>
      </c>
      <c r="F44" s="321" t="n">
        <v>5000</v>
      </c>
      <c r="G44" s="322" t="n">
        <v>0.08557434000000001</v>
      </c>
      <c r="H44" s="247">
        <f>IF(AND(ISNUMBER(F44),ISNUMBER(G44)),F44*G44,"")</f>
        <v/>
      </c>
      <c r="I44" s="341">
        <f>IF(COUNT(C44,F44)=0,"",N(C44)-N(F44))</f>
        <v/>
      </c>
      <c r="J44" s="342">
        <f>IF(COUNT(E44,H44)=0,"",N(H44)-N(E44))</f>
        <v/>
      </c>
      <c r="K44" s="246">
        <f>IF(AND(ISNUMBER(C44),ISNUMBER(D44),ISNUMBER(F44),ISNUMBER(G44),C44&gt;0,F44&gt;0),ROUND(MIN(C44,F44)*(G44-D44),8),"")</f>
        <v/>
      </c>
      <c r="L44" s="183">
        <f>IF(OR(NOT(ISNUMBER(K44)),COUNT(C44,F44,D44)&lt;3),"",IF(MIN(C44,F44)*D44&lt;=0,"",ROUND(K44/(MIN(C44,F44)*D44)*100,2)))</f>
        <v/>
      </c>
      <c r="M44" s="344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inlineStr">
        <is>
          <t>UNI/USD</t>
        </is>
      </c>
      <c r="C45" s="316" t="n">
        <v>24</v>
      </c>
      <c r="D45" s="317" t="n">
        <v>4.43625</v>
      </c>
      <c r="E45" s="241">
        <f>IF(AND(ISNUMBER(C45),ISNUMBER(D45)),C45*D45,"")</f>
        <v/>
      </c>
      <c r="F45" s="316" t="n">
        <v>47.7</v>
      </c>
      <c r="G45" s="317" t="n">
        <v>6.132033464631032</v>
      </c>
      <c r="H45" s="241">
        <f>IF(AND(ISNUMBER(F45),ISNUMBER(G45)),F45*G45,"")</f>
        <v/>
      </c>
      <c r="I45" s="339">
        <f>IF(COUNT(C45,F45)=0,"",N(C45)-N(F45))</f>
        <v/>
      </c>
      <c r="J45" s="340">
        <f>IF(COUNT(E45,H45)=0,"",N(H45)-N(E45))</f>
        <v/>
      </c>
      <c r="K45" s="240">
        <f>IF(AND(ISNUMBER(C45),ISNUMBER(D45),ISNUMBER(F45),ISNUMBER(G45),C45&gt;0,F45&gt;0),ROUND(MIN(C45,F45)*(G45-D45),8),"")</f>
        <v/>
      </c>
      <c r="L45" s="177">
        <f>IF(OR(NOT(ISNUMBER(K45)),COUNT(C45,F45,D45)&lt;3),"",IF(MIN(C45,F45)*D45&lt;=0,"",ROUND(K45/(MIN(C45,F45)*D45)*100,2)))</f>
        <v/>
      </c>
      <c r="M45" s="343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inlineStr">
        <is>
          <t>WAVES/USD</t>
        </is>
      </c>
      <c r="C46" s="321" t="n">
        <v>44.21040139</v>
      </c>
      <c r="D46" s="322" t="n">
        <v>3.801081345515962</v>
      </c>
      <c r="E46" s="247">
        <f>IF(AND(ISNUMBER(C46),ISNUMBER(D46)),C46*D46,"")</f>
        <v/>
      </c>
      <c r="F46" s="321" t="n">
        <v>190</v>
      </c>
      <c r="G46" s="322" t="n">
        <v>2.154832503050126</v>
      </c>
      <c r="H46" s="247">
        <f>IF(AND(ISNUMBER(F46),ISNUMBER(G46)),F46*G46,"")</f>
        <v/>
      </c>
      <c r="I46" s="341">
        <f>IF(COUNT(C46,F46)=0,"",N(C46)-N(F46))</f>
        <v/>
      </c>
      <c r="J46" s="342">
        <f>IF(COUNT(E46,H46)=0,"",N(H46)-N(E46))</f>
        <v/>
      </c>
      <c r="K46" s="246">
        <f>IF(AND(ISNUMBER(C46),ISNUMBER(D46),ISNUMBER(F46),ISNUMBER(G46),C46&gt;0,F46&gt;0),ROUND(MIN(C46,F46)*(G46-D46),8),"")</f>
        <v/>
      </c>
      <c r="L46" s="183">
        <f>IF(OR(NOT(ISNUMBER(K46)),COUNT(C46,F46,D46)&lt;3),"",IF(MIN(C46,F46)*D46&lt;=0,"",ROUND(K46/(MIN(C46,F46)*D46)*100,2)))</f>
        <v/>
      </c>
      <c r="M46" s="344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inlineStr">
        <is>
          <t>XEM/USD</t>
        </is>
      </c>
      <c r="C47" s="316" t="n">
        <v>5500</v>
      </c>
      <c r="D47" s="317" t="n">
        <v>0.04237636363636364</v>
      </c>
      <c r="E47" s="241">
        <f>IF(AND(ISNUMBER(C47),ISNUMBER(D47)),C47*D47,"")</f>
        <v/>
      </c>
      <c r="F47" s="316" t="n">
        <v>11195</v>
      </c>
      <c r="G47" s="317" t="n">
        <v>0.04032712692273337</v>
      </c>
      <c r="H47" s="241">
        <f>IF(AND(ISNUMBER(F47),ISNUMBER(G47)),F47*G47,"")</f>
        <v/>
      </c>
      <c r="I47" s="339">
        <f>IF(COUNT(C47,F47)=0,"",N(C47)-N(F47))</f>
        <v/>
      </c>
      <c r="J47" s="340">
        <f>IF(COUNT(E47,H47)=0,"",N(H47)-N(E47))</f>
        <v/>
      </c>
      <c r="K47" s="240">
        <f>IF(AND(ISNUMBER(C47),ISNUMBER(D47),ISNUMBER(F47),ISNUMBER(G47),C47&gt;0,F47&gt;0),ROUND(MIN(C47,F47)*(G47-D47),8),"")</f>
        <v/>
      </c>
      <c r="L47" s="177">
        <f>IF(OR(NOT(ISNUMBER(K47)),COUNT(C47,F47,D47)&lt;3),"",IF(MIN(C47,F47)*D47&lt;=0,"",ROUND(K47/(MIN(C47,F47)*D47)*100,2)))</f>
        <v/>
      </c>
      <c r="M47" s="343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inlineStr">
        <is>
          <t>XLM/USD</t>
        </is>
      </c>
      <c r="C48" s="321" t="n">
        <v>2699</v>
      </c>
      <c r="D48" s="322" t="n">
        <v>0.1464550033094354</v>
      </c>
      <c r="E48" s="247">
        <f>IF(AND(ISNUMBER(C48),ISNUMBER(D48)),C48*D48,"")</f>
        <v/>
      </c>
      <c r="F48" s="321" t="n">
        <v>2699</v>
      </c>
      <c r="G48" s="322" t="n">
        <v>0.1822513524309003</v>
      </c>
      <c r="H48" s="247">
        <f>IF(AND(ISNUMBER(F48),ISNUMBER(G48)),F48*G48,"")</f>
        <v/>
      </c>
      <c r="I48" s="341">
        <f>IF(COUNT(C48,F48)=0,"",N(C48)-N(F48))</f>
        <v/>
      </c>
      <c r="J48" s="342">
        <f>IF(COUNT(E48,H48)=0,"",N(H48)-N(E48))</f>
        <v/>
      </c>
      <c r="K48" s="246">
        <f>IF(AND(ISNUMBER(C48),ISNUMBER(D48),ISNUMBER(F48),ISNUMBER(G48),C48&gt;0,F48&gt;0),ROUND(MIN(C48,F48)*(G48-D48),8),"")</f>
        <v/>
      </c>
      <c r="L48" s="183">
        <f>IF(OR(NOT(ISNUMBER(K48)),COUNT(C48,F48,D48)&lt;3),"",IF(MIN(C48,F48)*D48&lt;=0,"",ROUND(K48/(MIN(C48,F48)*D48)*100,2)))</f>
        <v/>
      </c>
      <c r="M48" s="344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inlineStr">
        <is>
          <t>XMR/USD</t>
        </is>
      </c>
      <c r="C49" s="316" t="n"/>
      <c r="D49" s="317" t="n"/>
      <c r="E49" s="241">
        <f>IF(AND(ISNUMBER(C49),ISNUMBER(D49)),C49*D49,"")</f>
        <v/>
      </c>
      <c r="F49" s="316" t="n">
        <v>2.232</v>
      </c>
      <c r="G49" s="317" t="n">
        <v>127.9719</v>
      </c>
      <c r="H49" s="241">
        <f>IF(AND(ISNUMBER(F49),ISNUMBER(G49)),F49*G49,"")</f>
        <v/>
      </c>
      <c r="I49" s="339">
        <f>IF(COUNT(C49,F49)=0,"",N(C49)-N(F49))</f>
        <v/>
      </c>
      <c r="J49" s="340">
        <f>IF(COUNT(E49,H49)=0,"",N(H49)-N(E49))</f>
        <v/>
      </c>
      <c r="K49" s="240">
        <f>IF(AND(ISNUMBER(C49),ISNUMBER(D49),ISNUMBER(F49),ISNUMBER(G49),C49&gt;0,F49&gt;0),ROUND(MIN(C49,F49)*(G49-D49),8),"")</f>
        <v/>
      </c>
      <c r="L49" s="177">
        <f>IF(OR(NOT(ISNUMBER(K49)),COUNT(C49,F49,D49)&lt;3),"",IF(MIN(C49,F49)*D49&lt;=0,"",ROUND(K49/(MIN(C49,F49)*D49)*100,2)))</f>
        <v/>
      </c>
      <c r="M49" s="343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inlineStr">
        <is>
          <t>XRP/USD</t>
        </is>
      </c>
      <c r="C50" s="321" t="n">
        <v>3975.16382877</v>
      </c>
      <c r="D50" s="322" t="n">
        <v>0.5081810967801201</v>
      </c>
      <c r="E50" s="247">
        <f>IF(AND(ISNUMBER(C50),ISNUMBER(D50)),C50*D50,"")</f>
        <v/>
      </c>
      <c r="F50" s="321" t="n">
        <v>3966.6</v>
      </c>
      <c r="G50" s="322" t="n">
        <v>0.5966288311252913</v>
      </c>
      <c r="H50" s="247">
        <f>IF(AND(ISNUMBER(F50),ISNUMBER(G50)),F50*G50,"")</f>
        <v/>
      </c>
      <c r="I50" s="341">
        <f>IF(COUNT(C50,F50)=0,"",N(C50)-N(F50))</f>
        <v/>
      </c>
      <c r="J50" s="342">
        <f>IF(COUNT(E50,H50)=0,"",N(H50)-N(E50))</f>
        <v/>
      </c>
      <c r="K50" s="246">
        <f>IF(AND(ISNUMBER(C50),ISNUMBER(D50),ISNUMBER(F50),ISNUMBER(G50),C50&gt;0,F50&gt;0),ROUND(MIN(C50,F50)*(G50-D50),8),"")</f>
        <v/>
      </c>
      <c r="L50" s="183">
        <f>IF(OR(NOT(ISNUMBER(K50)),COUNT(C50,F50,D50)&lt;3),"",IF(MIN(C50,F50)*D50&lt;=0,"",ROUND(K50/(MIN(C50,F50)*D50)*100,2)))</f>
        <v/>
      </c>
      <c r="M50" s="344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inlineStr">
        <is>
          <t>ZEC/USD</t>
        </is>
      </c>
      <c r="C51" s="316" t="n">
        <v>13.29967821</v>
      </c>
      <c r="D51" s="317" t="n">
        <v>145.1670768684028</v>
      </c>
      <c r="E51" s="241">
        <f>IF(AND(ISNUMBER(C51),ISNUMBER(D51)),C51*D51,"")</f>
        <v/>
      </c>
      <c r="F51" s="316" t="n">
        <v>11.29962633</v>
      </c>
      <c r="G51" s="317" t="n">
        <v>136.462671789967</v>
      </c>
      <c r="H51" s="241">
        <f>IF(AND(ISNUMBER(F51),ISNUMBER(G51)),F51*G51,"")</f>
        <v/>
      </c>
      <c r="I51" s="339">
        <f>IF(COUNT(C51,F51)=0,"",N(C51)-N(F51))</f>
        <v/>
      </c>
      <c r="J51" s="340">
        <f>IF(COUNT(E51,H51)=0,"",N(H51)-N(E51))</f>
        <v/>
      </c>
      <c r="K51" s="240">
        <f>IF(AND(ISNUMBER(C51),ISNUMBER(D51),ISNUMBER(F51),ISNUMBER(G51),C51&gt;0,F51&gt;0),ROUND(MIN(C51,F51)*(G51-D51),8),"")</f>
        <v/>
      </c>
      <c r="L51" s="177">
        <f>IF(OR(NOT(ISNUMBER(K51)),COUNT(C51,F51,D51)&lt;3),"",IF(MIN(C51,F51)*D51&lt;=0,"",ROUND(K51/(MIN(C51,F51)*D51)*100,2)))</f>
        <v/>
      </c>
      <c r="M51" s="343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inlineStr">
        <is>
          <t>ZRX/USD</t>
        </is>
      </c>
      <c r="C52" s="321" t="n">
        <v>504</v>
      </c>
      <c r="D52" s="322" t="n">
        <v>0.6683531746031747</v>
      </c>
      <c r="E52" s="247">
        <f>IF(AND(ISNUMBER(C52),ISNUMBER(D52)),C52*D52,"")</f>
        <v/>
      </c>
      <c r="F52" s="321" t="n">
        <v>402</v>
      </c>
      <c r="G52" s="322" t="n">
        <v>0.5655155104477612</v>
      </c>
      <c r="H52" s="247">
        <f>IF(AND(ISNUMBER(F52),ISNUMBER(G52)),F52*G52,"")</f>
        <v/>
      </c>
      <c r="I52" s="341">
        <f>IF(COUNT(C52,F52)=0,"",N(C52)-N(F52))</f>
        <v/>
      </c>
      <c r="J52" s="342">
        <f>IF(COUNT(E52,H52)=0,"",N(H52)-N(E52))</f>
        <v/>
      </c>
      <c r="K52" s="246">
        <f>IF(AND(ISNUMBER(C52),ISNUMBER(D52),ISNUMBER(F52),ISNUMBER(G52),C52&gt;0,F52&gt;0),ROUND(MIN(C52,F52)*(G52-D52),8),"")</f>
        <v/>
      </c>
      <c r="L52" s="183">
        <f>IF(OR(NOT(ISNUMBER(K52)),COUNT(C52,F52,D52)&lt;3),"",IF(MIN(C52,F52)*D52&lt;=0,"",ROUND(K52/(MIN(C52,F52)*D52)*100,2)))</f>
        <v/>
      </c>
      <c r="M52" s="344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inlineStr">
        <is>
          <t>ETH/BTC</t>
        </is>
      </c>
      <c r="C53" s="316" t="n">
        <v>23.07101324</v>
      </c>
      <c r="D53" s="317" t="n">
        <v>0.04099613932299544</v>
      </c>
      <c r="E53" s="241">
        <f>IF(AND(ISNUMBER(C53),ISNUMBER(D53)),C53*D53,"")</f>
        <v/>
      </c>
      <c r="F53" s="316" t="n">
        <v>12.281</v>
      </c>
      <c r="G53" s="317" t="n">
        <v>0.05597562397554545</v>
      </c>
      <c r="H53" s="241">
        <f>IF(AND(ISNUMBER(F53),ISNUMBER(G53)),F53*G53,"")</f>
        <v/>
      </c>
      <c r="I53" s="339">
        <f>IF(COUNT(C53,F53)=0,"",N(C53)-N(F53))</f>
        <v/>
      </c>
      <c r="J53" s="340">
        <f>IF(COUNT(E53,H53)=0,"",N(H53)-N(E53))</f>
        <v/>
      </c>
      <c r="K53" s="240">
        <f>IF(AND(ISNUMBER(C53),ISNUMBER(D53),ISNUMBER(F53),ISNUMBER(G53),C53&gt;0,F53&gt;0),ROUND(MIN(C53,F53)*(G53-D53),8),"")</f>
        <v/>
      </c>
      <c r="L53" s="177">
        <f>IF(OR(NOT(ISNUMBER(K53)),COUNT(C53,F53,D53)&lt;3),"",IF(MIN(C53,F53)*D53&lt;=0,"",ROUND(K53/(MIN(C53,F53)*D53)*100,2)))</f>
        <v/>
      </c>
      <c r="M53" s="343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inlineStr">
        <is>
          <t>LTC/BTC</t>
        </is>
      </c>
      <c r="C54" s="321" t="n">
        <v>267.14271431</v>
      </c>
      <c r="D54" s="322" t="n">
        <v>0.004330475133072008</v>
      </c>
      <c r="E54" s="247">
        <f>IF(AND(ISNUMBER(C54),ISNUMBER(D54)),C54*D54,"")</f>
        <v/>
      </c>
      <c r="F54" s="321" t="n">
        <v>267.52923628</v>
      </c>
      <c r="G54" s="322" t="n">
        <v>0.004891658482350922</v>
      </c>
      <c r="H54" s="247">
        <f>IF(AND(ISNUMBER(F54),ISNUMBER(G54)),F54*G54,"")</f>
        <v/>
      </c>
      <c r="I54" s="341">
        <f>IF(COUNT(C54,F54)=0,"",N(C54)-N(F54))</f>
        <v/>
      </c>
      <c r="J54" s="342">
        <f>IF(COUNT(E54,H54)=0,"",N(H54)-N(E54))</f>
        <v/>
      </c>
      <c r="K54" s="246">
        <f>IF(AND(ISNUMBER(C54),ISNUMBER(D54),ISNUMBER(F54),ISNUMBER(G54),C54&gt;0,F54&gt;0),ROUND(MIN(C54,F54)*(G54-D54),8),"")</f>
        <v/>
      </c>
      <c r="L54" s="183">
        <f>IF(OR(NOT(ISNUMBER(K54)),COUNT(C54,F54,D54)&lt;3),"",IF(MIN(C54,F54)*D54&lt;=0,"",ROUND(K54/(MIN(C54,F54)*D54)*100,2)))</f>
        <v/>
      </c>
      <c r="M54" s="344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inlineStr">
        <is>
          <t>BCH/BTC</t>
        </is>
      </c>
      <c r="C55" s="316" t="n">
        <v>141.14725794</v>
      </c>
      <c r="D55" s="317" t="n">
        <v>0.01712471496578962</v>
      </c>
      <c r="E55" s="241">
        <f>IF(AND(ISNUMBER(C55),ISNUMBER(D55)),C55*D55,"")</f>
        <v/>
      </c>
      <c r="F55" s="316" t="n">
        <v>130.65012741</v>
      </c>
      <c r="G55" s="317" t="n">
        <v>0.01567573586952501</v>
      </c>
      <c r="H55" s="241">
        <f>IF(AND(ISNUMBER(F55),ISNUMBER(G55)),F55*G55,"")</f>
        <v/>
      </c>
      <c r="I55" s="339">
        <f>IF(COUNT(C55,F55)=0,"",N(C55)-N(F55))</f>
        <v/>
      </c>
      <c r="J55" s="340">
        <f>IF(COUNT(E55,H55)=0,"",N(H55)-N(E55))</f>
        <v/>
      </c>
      <c r="K55" s="240">
        <f>IF(AND(ISNUMBER(C55),ISNUMBER(D55),ISNUMBER(F55),ISNUMBER(G55),C55&gt;0,F55&gt;0),ROUND(MIN(C55,F55)*(G55-D55),8),"")</f>
        <v/>
      </c>
      <c r="L55" s="177">
        <f>IF(OR(NOT(ISNUMBER(K55)),COUNT(C55,F55,D55)&lt;3),"",IF(MIN(C55,F55)*D55&lt;=0,"",ROUND(K55/(MIN(C55,F55)*D55)*100,2)))</f>
        <v/>
      </c>
      <c r="M55" s="343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inlineStr">
        <is>
          <t>DOGE/BTC</t>
        </is>
      </c>
      <c r="C56" s="321" t="n">
        <v>187112.49254218</v>
      </c>
      <c r="D56" s="322" t="n">
        <v>3.61262058109365e-07</v>
      </c>
      <c r="E56" s="247">
        <f>IF(AND(ISNUMBER(C56),ISNUMBER(D56)),C56*D56,"")</f>
        <v/>
      </c>
      <c r="F56" s="321" t="n">
        <v>257185.88651068</v>
      </c>
      <c r="G56" s="322" t="n">
        <v>1.431517166558171e-06</v>
      </c>
      <c r="H56" s="247">
        <f>IF(AND(ISNUMBER(F56),ISNUMBER(G56)),F56*G56,"")</f>
        <v/>
      </c>
      <c r="I56" s="341">
        <f>IF(COUNT(C56,F56)=0,"",N(C56)-N(F56))</f>
        <v/>
      </c>
      <c r="J56" s="342">
        <f>IF(COUNT(E56,H56)=0,"",N(H56)-N(E56))</f>
        <v/>
      </c>
      <c r="K56" s="246">
        <f>IF(AND(ISNUMBER(C56),ISNUMBER(D56),ISNUMBER(F56),ISNUMBER(G56),C56&gt;0,F56&gt;0),ROUND(MIN(C56,F56)*(G56-D56),8),"")</f>
        <v/>
      </c>
      <c r="L56" s="183">
        <f>IF(OR(NOT(ISNUMBER(K56)),COUNT(C56,F56,D56)&lt;3),"",IF(MIN(C56,F56)*D56&lt;=0,"",ROUND(K56/(MIN(C56,F56)*D56)*100,2)))</f>
        <v/>
      </c>
      <c r="M56" s="344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inlineStr">
        <is>
          <t>DASH/BTC</t>
        </is>
      </c>
      <c r="C57" s="316" t="n">
        <v>118.54809783</v>
      </c>
      <c r="D57" s="317" t="n">
        <v>0.006154065179282636</v>
      </c>
      <c r="E57" s="241">
        <f>IF(AND(ISNUMBER(C57),ISNUMBER(D57)),C57*D57,"")</f>
        <v/>
      </c>
      <c r="F57" s="316" t="n">
        <v>88.49970949974148</v>
      </c>
      <c r="G57" s="317" t="n">
        <v>0.003619646849760108</v>
      </c>
      <c r="H57" s="241">
        <f>IF(AND(ISNUMBER(F57),ISNUMBER(G57)),F57*G57,"")</f>
        <v/>
      </c>
      <c r="I57" s="339">
        <f>IF(COUNT(C57,F57)=0,"",N(C57)-N(F57))</f>
        <v/>
      </c>
      <c r="J57" s="340">
        <f>IF(COUNT(E57,H57)=0,"",N(H57)-N(E57))</f>
        <v/>
      </c>
      <c r="K57" s="240">
        <f>IF(AND(ISNUMBER(C57),ISNUMBER(D57),ISNUMBER(F57),ISNUMBER(G57),C57&gt;0,F57&gt;0),ROUND(MIN(C57,F57)*(G57-D57),8),"")</f>
        <v/>
      </c>
      <c r="L57" s="177">
        <f>IF(OR(NOT(ISNUMBER(K57)),COUNT(C57,F57,D57)&lt;3),"",IF(MIN(C57,F57)*D57&lt;=0,"",ROUND(K57/(MIN(C57,F57)*D57)*100,2)))</f>
        <v/>
      </c>
      <c r="M57" s="343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inlineStr">
        <is>
          <t>ZEC/BTC</t>
        </is>
      </c>
      <c r="C58" s="321" t="n">
        <v>175.65250096</v>
      </c>
      <c r="D58" s="322" t="n">
        <v>0.0009893224547222149</v>
      </c>
      <c r="E58" s="247">
        <f>IF(AND(ISNUMBER(C58),ISNUMBER(D58)),C58*D58,"")</f>
        <v/>
      </c>
      <c r="F58" s="321" t="n">
        <v>174.58920538</v>
      </c>
      <c r="G58" s="322" t="n">
        <v>0.000953427389071667</v>
      </c>
      <c r="H58" s="247">
        <f>IF(AND(ISNUMBER(F58),ISNUMBER(G58)),F58*G58,"")</f>
        <v/>
      </c>
      <c r="I58" s="341">
        <f>IF(COUNT(C58,F58)=0,"",N(C58)-N(F58))</f>
        <v/>
      </c>
      <c r="J58" s="342">
        <f>IF(COUNT(E58,H58)=0,"",N(H58)-N(E58))</f>
        <v/>
      </c>
      <c r="K58" s="246">
        <f>IF(AND(ISNUMBER(C58),ISNUMBER(D58),ISNUMBER(F58),ISNUMBER(G58),C58&gt;0,F58&gt;0),ROUND(MIN(C58,F58)*(G58-D58),8),"")</f>
        <v/>
      </c>
      <c r="L58" s="183">
        <f>IF(OR(NOT(ISNUMBER(K58)),COUNT(C58,F58,D58)&lt;3),"",IF(MIN(C58,F58)*D58&lt;=0,"",ROUND(K58/(MIN(C58,F58)*D58)*100,2)))</f>
        <v/>
      </c>
      <c r="M58" s="344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inlineStr">
        <is>
          <t>1INCH/BTC</t>
        </is>
      </c>
      <c r="C59" s="316" t="n">
        <v>84</v>
      </c>
      <c r="D59" s="317" t="n">
        <v>3.189309523809524e-05</v>
      </c>
      <c r="E59" s="241">
        <f>IF(AND(ISNUMBER(C59),ISNUMBER(D59)),C59*D59,"")</f>
        <v/>
      </c>
      <c r="F59" s="316" t="n">
        <v>84</v>
      </c>
      <c r="G59" s="317" t="n">
        <v>7.853507678571427e-06</v>
      </c>
      <c r="H59" s="241">
        <f>IF(AND(ISNUMBER(F59),ISNUMBER(G59)),F59*G59,"")</f>
        <v/>
      </c>
      <c r="I59" s="339">
        <f>IF(COUNT(C59,F59)=0,"",N(C59)-N(F59))</f>
        <v/>
      </c>
      <c r="J59" s="340">
        <f>IF(COUNT(E59,H59)=0,"",N(H59)-N(E59))</f>
        <v/>
      </c>
      <c r="K59" s="240">
        <f>IF(AND(ISNUMBER(C59),ISNUMBER(D59),ISNUMBER(F59),ISNUMBER(G59),C59&gt;0,F59&gt;0),ROUND(MIN(C59,F59)*(G59-D59),8),"")</f>
        <v/>
      </c>
      <c r="L59" s="177">
        <f>IF(OR(NOT(ISNUMBER(K59)),COUNT(C59,F59,D59)&lt;3),"",IF(MIN(C59,F59)*D59&lt;=0,"",ROUND(K59/(MIN(C59,F59)*D59)*100,2)))</f>
        <v/>
      </c>
      <c r="M59" s="343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inlineStr">
        <is>
          <t>ADA/BTC</t>
        </is>
      </c>
      <c r="C60" s="321" t="n">
        <v>702</v>
      </c>
      <c r="D60" s="322" t="n">
        <v>2.754186894586894e-05</v>
      </c>
      <c r="E60" s="247">
        <f>IF(AND(ISNUMBER(C60),ISNUMBER(D60)),C60*D60,"")</f>
        <v/>
      </c>
      <c r="F60" s="321" t="n">
        <v>1051</v>
      </c>
      <c r="G60" s="322" t="n">
        <v>1.190213460469157e-05</v>
      </c>
      <c r="H60" s="247">
        <f>IF(AND(ISNUMBER(F60),ISNUMBER(G60)),F60*G60,"")</f>
        <v/>
      </c>
      <c r="I60" s="341">
        <f>IF(COUNT(C60,F60)=0,"",N(C60)-N(F60))</f>
        <v/>
      </c>
      <c r="J60" s="342">
        <f>IF(COUNT(E60,H60)=0,"",N(H60)-N(E60))</f>
        <v/>
      </c>
      <c r="K60" s="246">
        <f>IF(AND(ISNUMBER(C60),ISNUMBER(D60),ISNUMBER(F60),ISNUMBER(G60),C60&gt;0,F60&gt;0),ROUND(MIN(C60,F60)*(G60-D60),8),"")</f>
        <v/>
      </c>
      <c r="L60" s="183">
        <f>IF(OR(NOT(ISNUMBER(K60)),COUNT(C60,F60,D60)&lt;3),"",IF(MIN(C60,F60)*D60&lt;=0,"",ROUND(K60/(MIN(C60,F60)*D60)*100,2)))</f>
        <v/>
      </c>
      <c r="M60" s="344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inlineStr">
        <is>
          <t>ALGO/BTC</t>
        </is>
      </c>
      <c r="C61" s="316" t="n">
        <v>8600</v>
      </c>
      <c r="D61" s="317" t="n">
        <v>2.046552906976744e-05</v>
      </c>
      <c r="E61" s="241">
        <f>IF(AND(ISNUMBER(C61),ISNUMBER(D61)),C61*D61,"")</f>
        <v/>
      </c>
      <c r="F61" s="316" t="n">
        <v>7602.86409446</v>
      </c>
      <c r="G61" s="317" t="n">
        <v>2.29161914999352e-05</v>
      </c>
      <c r="H61" s="241">
        <f>IF(AND(ISNUMBER(F61),ISNUMBER(G61)),F61*G61,"")</f>
        <v/>
      </c>
      <c r="I61" s="339">
        <f>IF(COUNT(C61,F61)=0,"",N(C61)-N(F61))</f>
        <v/>
      </c>
      <c r="J61" s="340">
        <f>IF(COUNT(E61,H61)=0,"",N(H61)-N(E61))</f>
        <v/>
      </c>
      <c r="K61" s="240">
        <f>IF(AND(ISNUMBER(C61),ISNUMBER(D61),ISNUMBER(F61),ISNUMBER(G61),C61&gt;0,F61&gt;0),ROUND(MIN(C61,F61)*(G61-D61),8),"")</f>
        <v/>
      </c>
      <c r="L61" s="177">
        <f>IF(OR(NOT(ISNUMBER(K61)),COUNT(C61,F61,D61)&lt;3),"",IF(MIN(C61,F61)*D61&lt;=0,"",ROUND(K61/(MIN(C61,F61)*D61)*100,2)))</f>
        <v/>
      </c>
      <c r="M61" s="343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inlineStr">
        <is>
          <t>ATOM/BTC</t>
        </is>
      </c>
      <c r="C62" s="321" t="n">
        <v>11</v>
      </c>
      <c r="D62" s="322" t="n">
        <v>0.0003284918181818182</v>
      </c>
      <c r="E62" s="247">
        <f>IF(AND(ISNUMBER(C62),ISNUMBER(D62)),C62*D62,"")</f>
        <v/>
      </c>
      <c r="F62" s="321" t="n"/>
      <c r="G62" s="322" t="n"/>
      <c r="H62" s="247">
        <f>IF(AND(ISNUMBER(F62),ISNUMBER(G62)),F62*G62,"")</f>
        <v/>
      </c>
      <c r="I62" s="341">
        <f>IF(COUNT(C62,F62)=0,"",N(C62)-N(F62))</f>
        <v/>
      </c>
      <c r="J62" s="342">
        <f>IF(COUNT(E62,H62)=0,"",N(H62)-N(E62))</f>
        <v/>
      </c>
      <c r="K62" s="246">
        <f>IF(AND(ISNUMBER(C62),ISNUMBER(D62),ISNUMBER(F62),ISNUMBER(G62),C62&gt;0,F62&gt;0),ROUND(MIN(C62,F62)*(G62-D62),8),"")</f>
        <v/>
      </c>
      <c r="L62" s="183">
        <f>IF(OR(NOT(ISNUMBER(K62)),COUNT(C62,F62,D62)&lt;3),"",IF(MIN(C62,F62)*D62&lt;=0,"",ROUND(K62/(MIN(C62,F62)*D62)*100,2)))</f>
        <v/>
      </c>
      <c r="M62" s="344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inlineStr">
        <is>
          <t>AVAX/BTC</t>
        </is>
      </c>
      <c r="C63" s="316" t="n">
        <v>3.79</v>
      </c>
      <c r="D63" s="317" t="n">
        <v>0.0007785621767810026</v>
      </c>
      <c r="E63" s="241">
        <f>IF(AND(ISNUMBER(C63),ISNUMBER(D63)),C63*D63,"")</f>
        <v/>
      </c>
      <c r="F63" s="316" t="n">
        <v>3.79</v>
      </c>
      <c r="G63" s="317" t="n">
        <v>0.0008709281999999999</v>
      </c>
      <c r="H63" s="241">
        <f>IF(AND(ISNUMBER(F63),ISNUMBER(G63)),F63*G63,"")</f>
        <v/>
      </c>
      <c r="I63" s="339">
        <f>IF(COUNT(C63,F63)=0,"",N(C63)-N(F63))</f>
        <v/>
      </c>
      <c r="J63" s="340">
        <f>IF(COUNT(E63,H63)=0,"",N(H63)-N(E63))</f>
        <v/>
      </c>
      <c r="K63" s="240">
        <f>IF(AND(ISNUMBER(C63),ISNUMBER(D63),ISNUMBER(F63),ISNUMBER(G63),C63&gt;0,F63&gt;0),ROUND(MIN(C63,F63)*(G63-D63),8),"")</f>
        <v/>
      </c>
      <c r="L63" s="177">
        <f>IF(OR(NOT(ISNUMBER(K63)),COUNT(C63,F63,D63)&lt;3),"",IF(MIN(C63,F63)*D63&lt;=0,"",ROUND(K63/(MIN(C63,F63)*D63)*100,2)))</f>
        <v/>
      </c>
      <c r="M63" s="343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inlineStr">
        <is>
          <t>BNB/BTC</t>
        </is>
      </c>
      <c r="C64" s="321" t="n">
        <v>0.591</v>
      </c>
      <c r="D64" s="322" t="n">
        <v>0.006995798307952623</v>
      </c>
      <c r="E64" s="247">
        <f>IF(AND(ISNUMBER(C64),ISNUMBER(D64)),C64*D64,"")</f>
        <v/>
      </c>
      <c r="F64" s="321" t="n">
        <v>0.538</v>
      </c>
      <c r="G64" s="322" t="n">
        <v>0.01405949520446097</v>
      </c>
      <c r="H64" s="247">
        <f>IF(AND(ISNUMBER(F64),ISNUMBER(G64)),F64*G64,"")</f>
        <v/>
      </c>
      <c r="I64" s="341">
        <f>IF(COUNT(C64,F64)=0,"",N(C64)-N(F64))</f>
        <v/>
      </c>
      <c r="J64" s="342">
        <f>IF(COUNT(E64,H64)=0,"",N(H64)-N(E64))</f>
        <v/>
      </c>
      <c r="K64" s="246">
        <f>IF(AND(ISNUMBER(C64),ISNUMBER(D64),ISNUMBER(F64),ISNUMBER(G64),C64&gt;0,F64&gt;0),ROUND(MIN(C64,F64)*(G64-D64),8),"")</f>
        <v/>
      </c>
      <c r="L64" s="183">
        <f>IF(OR(NOT(ISNUMBER(K64)),COUNT(C64,F64,D64)&lt;3),"",IF(MIN(C64,F64)*D64&lt;=0,"",ROUND(K64/(MIN(C64,F64)*D64)*100,2)))</f>
        <v/>
      </c>
      <c r="M64" s="344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inlineStr">
        <is>
          <t>CAKE/BTC</t>
        </is>
      </c>
      <c r="C65" s="316" t="n">
        <v>7.244</v>
      </c>
      <c r="D65" s="317" t="n">
        <v>0.0001086914201488821</v>
      </c>
      <c r="E65" s="241">
        <f>IF(AND(ISNUMBER(C65),ISNUMBER(D65)),C65*D65,"")</f>
        <v/>
      </c>
      <c r="F65" s="316" t="n">
        <v>7.24</v>
      </c>
      <c r="G65" s="317" t="n">
        <v>0.0001369408226519337</v>
      </c>
      <c r="H65" s="241">
        <f>IF(AND(ISNUMBER(F65),ISNUMBER(G65)),F65*G65,"")</f>
        <v/>
      </c>
      <c r="I65" s="339">
        <f>IF(COUNT(C65,F65)=0,"",N(C65)-N(F65))</f>
        <v/>
      </c>
      <c r="J65" s="340">
        <f>IF(COUNT(E65,H65)=0,"",N(H65)-N(E65))</f>
        <v/>
      </c>
      <c r="K65" s="240">
        <f>IF(AND(ISNUMBER(C65),ISNUMBER(D65),ISNUMBER(F65),ISNUMBER(G65),C65&gt;0,F65&gt;0),ROUND(MIN(C65,F65)*(G65-D65),8),"")</f>
        <v/>
      </c>
      <c r="L65" s="177">
        <f>IF(OR(NOT(ISNUMBER(K65)),COUNT(C65,F65,D65)&lt;3),"",IF(MIN(C65,F65)*D65&lt;=0,"",ROUND(K65/(MIN(C65,F65)*D65)*100,2)))</f>
        <v/>
      </c>
      <c r="M65" s="343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inlineStr">
        <is>
          <t>DOT/BTC</t>
        </is>
      </c>
      <c r="C66" s="321" t="n">
        <v>9</v>
      </c>
      <c r="D66" s="322" t="n">
        <v>0.0003199422222222223</v>
      </c>
      <c r="E66" s="247">
        <f>IF(AND(ISNUMBER(C66),ISNUMBER(D66)),C66*D66,"")</f>
        <v/>
      </c>
      <c r="F66" s="321" t="n"/>
      <c r="G66" s="322" t="n"/>
      <c r="H66" s="247">
        <f>IF(AND(ISNUMBER(F66),ISNUMBER(G66)),F66*G66,"")</f>
        <v/>
      </c>
      <c r="I66" s="341">
        <f>IF(COUNT(C66,F66)=0,"",N(C66)-N(F66))</f>
        <v/>
      </c>
      <c r="J66" s="342">
        <f>IF(COUNT(E66,H66)=0,"",N(H66)-N(E66))</f>
        <v/>
      </c>
      <c r="K66" s="246">
        <f>IF(AND(ISNUMBER(C66),ISNUMBER(D66),ISNUMBER(F66),ISNUMBER(G66),C66&gt;0,F66&gt;0),ROUND(MIN(C66,F66)*(G66-D66),8),"")</f>
        <v/>
      </c>
      <c r="L66" s="183">
        <f>IF(OR(NOT(ISNUMBER(K66)),COUNT(C66,F66,D66)&lt;3),"",IF(MIN(C66,F66)*D66&lt;=0,"",ROUND(K66/(MIN(C66,F66)*D66)*100,2)))</f>
        <v/>
      </c>
      <c r="M66" s="344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inlineStr">
        <is>
          <t>EOS/BTC</t>
        </is>
      </c>
      <c r="C67" s="316" t="n">
        <v>57.01063189</v>
      </c>
      <c r="D67" s="317" t="n">
        <v>0.0004093864710188178</v>
      </c>
      <c r="E67" s="241">
        <f>IF(AND(ISNUMBER(C67),ISNUMBER(D67)),C67*D67,"")</f>
        <v/>
      </c>
      <c r="F67" s="316" t="n"/>
      <c r="G67" s="317" t="n"/>
      <c r="H67" s="241">
        <f>IF(AND(ISNUMBER(F67),ISNUMBER(G67)),F67*G67,"")</f>
        <v/>
      </c>
      <c r="I67" s="339">
        <f>IF(COUNT(C67,F67)=0,"",N(C67)-N(F67))</f>
        <v/>
      </c>
      <c r="J67" s="340">
        <f>IF(COUNT(E67,H67)=0,"",N(H67)-N(E67))</f>
        <v/>
      </c>
      <c r="K67" s="240">
        <f>IF(AND(ISNUMBER(C67),ISNUMBER(D67),ISNUMBER(F67),ISNUMBER(G67),C67&gt;0,F67&gt;0),ROUND(MIN(C67,F67)*(G67-D67),8),"")</f>
        <v/>
      </c>
      <c r="L67" s="177">
        <f>IF(OR(NOT(ISNUMBER(K67)),COUNT(C67,F67,D67)&lt;3),"",IF(MIN(C67,F67)*D67&lt;=0,"",ROUND(K67/(MIN(C67,F67)*D67)*100,2)))</f>
        <v/>
      </c>
      <c r="M67" s="343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inlineStr">
        <is>
          <t>ETC/BTC</t>
        </is>
      </c>
      <c r="C68" s="321" t="n">
        <v>122.99199991</v>
      </c>
      <c r="D68" s="322" t="n">
        <v>0.001031521292782845</v>
      </c>
      <c r="E68" s="247">
        <f>IF(AND(ISNUMBER(C68),ISNUMBER(D68)),C68*D68,"")</f>
        <v/>
      </c>
      <c r="F68" s="321" t="n">
        <v>102.8899</v>
      </c>
      <c r="G68" s="322" t="n">
        <v>0.001324994481336847</v>
      </c>
      <c r="H68" s="247">
        <f>IF(AND(ISNUMBER(F68),ISNUMBER(G68)),F68*G68,"")</f>
        <v/>
      </c>
      <c r="I68" s="341">
        <f>IF(COUNT(C68,F68)=0,"",N(C68)-N(F68))</f>
        <v/>
      </c>
      <c r="J68" s="342">
        <f>IF(COUNT(E68,H68)=0,"",N(H68)-N(E68))</f>
        <v/>
      </c>
      <c r="K68" s="246">
        <f>IF(AND(ISNUMBER(C68),ISNUMBER(D68),ISNUMBER(F68),ISNUMBER(G68),C68&gt;0,F68&gt;0),ROUND(MIN(C68,F68)*(G68-D68),8),"")</f>
        <v/>
      </c>
      <c r="L68" s="183">
        <f>IF(OR(NOT(ISNUMBER(K68)),COUNT(C68,F68,D68)&lt;3),"",IF(MIN(C68,F68)*D68&lt;=0,"",ROUND(K68/(MIN(C68,F68)*D68)*100,2)))</f>
        <v/>
      </c>
      <c r="M68" s="344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inlineStr">
        <is>
          <t>MATIC/BTC</t>
        </is>
      </c>
      <c r="C69" s="316" t="n">
        <v>307</v>
      </c>
      <c r="D69" s="317" t="n">
        <v>3.164775244299674e-05</v>
      </c>
      <c r="E69" s="241">
        <f>IF(AND(ISNUMBER(C69),ISNUMBER(D69)),C69*D69,"")</f>
        <v/>
      </c>
      <c r="F69" s="316" t="n">
        <v>167</v>
      </c>
      <c r="G69" s="317" t="n">
        <v>4.628492622754492e-05</v>
      </c>
      <c r="H69" s="241">
        <f>IF(AND(ISNUMBER(F69),ISNUMBER(G69)),F69*G69,"")</f>
        <v/>
      </c>
      <c r="I69" s="339">
        <f>IF(COUNT(C69,F69)=0,"",N(C69)-N(F69))</f>
        <v/>
      </c>
      <c r="J69" s="340">
        <f>IF(COUNT(E69,H69)=0,"",N(H69)-N(E69))</f>
        <v/>
      </c>
      <c r="K69" s="240">
        <f>IF(AND(ISNUMBER(C69),ISNUMBER(D69),ISNUMBER(F69),ISNUMBER(G69),C69&gt;0,F69&gt;0),ROUND(MIN(C69,F69)*(G69-D69),8),"")</f>
        <v/>
      </c>
      <c r="L69" s="177">
        <f>IF(OR(NOT(ISNUMBER(K69)),COUNT(C69,F69,D69)&lt;3),"",IF(MIN(C69,F69)*D69&lt;=0,"",ROUND(K69/(MIN(C69,F69)*D69)*100,2)))</f>
        <v/>
      </c>
      <c r="M69" s="343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inlineStr">
        <is>
          <t>NEAR/BTC</t>
        </is>
      </c>
      <c r="C70" s="321" t="n">
        <v>22</v>
      </c>
      <c r="D70" s="322" t="n">
        <v>5.835e-05</v>
      </c>
      <c r="E70" s="247">
        <f>IF(AND(ISNUMBER(C70),ISNUMBER(D70)),C70*D70,"")</f>
        <v/>
      </c>
      <c r="F70" s="321" t="n">
        <v>32.5</v>
      </c>
      <c r="G70" s="322" t="n">
        <v>7.530062400000001e-05</v>
      </c>
      <c r="H70" s="247">
        <f>IF(AND(ISNUMBER(F70),ISNUMBER(G70)),F70*G70,"")</f>
        <v/>
      </c>
      <c r="I70" s="341">
        <f>IF(COUNT(C70,F70)=0,"",N(C70)-N(F70))</f>
        <v/>
      </c>
      <c r="J70" s="342">
        <f>IF(COUNT(E70,H70)=0,"",N(H70)-N(E70))</f>
        <v/>
      </c>
      <c r="K70" s="246">
        <f>IF(AND(ISNUMBER(C70),ISNUMBER(D70),ISNUMBER(F70),ISNUMBER(G70),C70&gt;0,F70&gt;0),ROUND(MIN(C70,F70)*(G70-D70),8),"")</f>
        <v/>
      </c>
      <c r="L70" s="183">
        <f>IF(OR(NOT(ISNUMBER(K70)),COUNT(C70,F70,D70)&lt;3),"",IF(MIN(C70,F70)*D70&lt;=0,"",ROUND(K70/(MIN(C70,F70)*D70)*100,2)))</f>
        <v/>
      </c>
      <c r="M70" s="344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inlineStr">
        <is>
          <t>NEO/BTC</t>
        </is>
      </c>
      <c r="C71" s="316" t="n">
        <v>18.4</v>
      </c>
      <c r="D71" s="317" t="n">
        <v>0.0006109962391304348</v>
      </c>
      <c r="E71" s="241">
        <f>IF(AND(ISNUMBER(C71),ISNUMBER(D71)),C71*D71,"")</f>
        <v/>
      </c>
      <c r="F71" s="316" t="n">
        <v>16.42</v>
      </c>
      <c r="G71" s="317" t="n">
        <v>0.0004485353031668697</v>
      </c>
      <c r="H71" s="241">
        <f>IF(AND(ISNUMBER(F71),ISNUMBER(G71)),F71*G71,"")</f>
        <v/>
      </c>
      <c r="I71" s="339">
        <f>IF(COUNT(C71,F71)=0,"",N(C71)-N(F71))</f>
        <v/>
      </c>
      <c r="J71" s="340">
        <f>IF(COUNT(E71,H71)=0,"",N(H71)-N(E71))</f>
        <v/>
      </c>
      <c r="K71" s="240">
        <f>IF(AND(ISNUMBER(C71),ISNUMBER(D71),ISNUMBER(F71),ISNUMBER(G71),C71&gt;0,F71&gt;0),ROUND(MIN(C71,F71)*(G71-D71),8),"")</f>
        <v/>
      </c>
      <c r="L71" s="177">
        <f>IF(OR(NOT(ISNUMBER(K71)),COUNT(C71,F71,D71)&lt;3),"",IF(MIN(C71,F71)*D71&lt;=0,"",ROUND(K71/(MIN(C71,F71)*D71)*100,2)))</f>
        <v/>
      </c>
      <c r="M71" s="343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inlineStr">
        <is>
          <t>PHA/BTC</t>
        </is>
      </c>
      <c r="C72" s="321" t="n">
        <v>1183</v>
      </c>
      <c r="D72" s="322" t="n">
        <v>7.1247864750634e-06</v>
      </c>
      <c r="E72" s="247">
        <f>IF(AND(ISNUMBER(C72),ISNUMBER(D72)),C72*D72,"")</f>
        <v/>
      </c>
      <c r="F72" s="321" t="n">
        <v>1183</v>
      </c>
      <c r="G72" s="322" t="n">
        <v>1.0573456534235e-05</v>
      </c>
      <c r="H72" s="247">
        <f>IF(AND(ISNUMBER(F72),ISNUMBER(G72)),F72*G72,"")</f>
        <v/>
      </c>
      <c r="I72" s="341">
        <f>IF(COUNT(C72,F72)=0,"",N(C72)-N(F72))</f>
        <v/>
      </c>
      <c r="J72" s="342">
        <f>IF(COUNT(E72,H72)=0,"",N(H72)-N(E72))</f>
        <v/>
      </c>
      <c r="K72" s="246">
        <f>IF(AND(ISNUMBER(C72),ISNUMBER(D72),ISNUMBER(F72),ISNUMBER(G72),C72&gt;0,F72&gt;0),ROUND(MIN(C72,F72)*(G72-D72),8),"")</f>
        <v/>
      </c>
      <c r="L72" s="183">
        <f>IF(OR(NOT(ISNUMBER(K72)),COUNT(C72,F72,D72)&lt;3),"",IF(MIN(C72,F72)*D72&lt;=0,"",ROUND(K72/(MIN(C72,F72)*D72)*100,2)))</f>
        <v/>
      </c>
      <c r="M72" s="344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inlineStr">
        <is>
          <t>SAND/BTC</t>
        </is>
      </c>
      <c r="C73" s="316" t="n">
        <v>116</v>
      </c>
      <c r="D73" s="317" t="n">
        <v>4.212999999999999e-05</v>
      </c>
      <c r="E73" s="241">
        <f>IF(AND(ISNUMBER(C73),ISNUMBER(D73)),C73*D73,"")</f>
        <v/>
      </c>
      <c r="F73" s="316" t="n"/>
      <c r="G73" s="317" t="n"/>
      <c r="H73" s="241">
        <f>IF(AND(ISNUMBER(F73),ISNUMBER(G73)),F73*G73,"")</f>
        <v/>
      </c>
      <c r="I73" s="339">
        <f>IF(COUNT(C73,F73)=0,"",N(C73)-N(F73))</f>
        <v/>
      </c>
      <c r="J73" s="340">
        <f>IF(COUNT(E73,H73)=0,"",N(H73)-N(E73))</f>
        <v/>
      </c>
      <c r="K73" s="240">
        <f>IF(AND(ISNUMBER(C73),ISNUMBER(D73),ISNUMBER(F73),ISNUMBER(G73),C73&gt;0,F73&gt;0),ROUND(MIN(C73,F73)*(G73-D73),8),"")</f>
        <v/>
      </c>
      <c r="L73" s="177">
        <f>IF(OR(NOT(ISNUMBER(K73)),COUNT(C73,F73,D73)&lt;3),"",IF(MIN(C73,F73)*D73&lt;=0,"",ROUND(K73/(MIN(C73,F73)*D73)*100,2)))</f>
        <v/>
      </c>
      <c r="M73" s="343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inlineStr">
        <is>
          <t>SC/BTC</t>
        </is>
      </c>
      <c r="C74" s="321" t="n">
        <v>19000</v>
      </c>
      <c r="D74" s="322" t="n">
        <v>5.292803524514997e-07</v>
      </c>
      <c r="E74" s="247">
        <f>IF(AND(ISNUMBER(C74),ISNUMBER(D74)),C74*D74,"")</f>
        <v/>
      </c>
      <c r="F74" s="321" t="n">
        <v>4000</v>
      </c>
      <c r="G74" s="322" t="n">
        <v>3.3433533e-07</v>
      </c>
      <c r="H74" s="247">
        <f>IF(AND(ISNUMBER(F74),ISNUMBER(G74)),F74*G74,"")</f>
        <v/>
      </c>
      <c r="I74" s="341">
        <f>IF(COUNT(C74,F74)=0,"",N(C74)-N(F74))</f>
        <v/>
      </c>
      <c r="J74" s="342">
        <f>IF(COUNT(E74,H74)=0,"",N(H74)-N(E74))</f>
        <v/>
      </c>
      <c r="K74" s="246">
        <f>IF(AND(ISNUMBER(C74),ISNUMBER(D74),ISNUMBER(F74),ISNUMBER(G74),C74&gt;0,F74&gt;0),ROUND(MIN(C74,F74)*(G74-D74),8),"")</f>
        <v/>
      </c>
      <c r="L74" s="183">
        <f>IF(OR(NOT(ISNUMBER(K74)),COUNT(C74,F74,D74)&lt;3),"",IF(MIN(C74,F74)*D74&lt;=0,"",ROUND(K74/(MIN(C74,F74)*D74)*100,2)))</f>
        <v/>
      </c>
      <c r="M74" s="344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inlineStr">
        <is>
          <t>STRAX/BTC</t>
        </is>
      </c>
      <c r="C75" s="316" t="n">
        <v>394</v>
      </c>
      <c r="D75" s="317" t="n">
        <v>3.024045177664975e-05</v>
      </c>
      <c r="E75" s="241">
        <f>IF(AND(ISNUMBER(C75),ISNUMBER(D75)),C75*D75,"")</f>
        <v/>
      </c>
      <c r="F75" s="316" t="n">
        <v>252</v>
      </c>
      <c r="G75" s="317" t="n">
        <v>3.224078249999999e-05</v>
      </c>
      <c r="H75" s="241">
        <f>IF(AND(ISNUMBER(F75),ISNUMBER(G75)),F75*G75,"")</f>
        <v/>
      </c>
      <c r="I75" s="339">
        <f>IF(COUNT(C75,F75)=0,"",N(C75)-N(F75))</f>
        <v/>
      </c>
      <c r="J75" s="340">
        <f>IF(COUNT(E75,H75)=0,"",N(H75)-N(E75))</f>
        <v/>
      </c>
      <c r="K75" s="240">
        <f>IF(AND(ISNUMBER(C75),ISNUMBER(D75),ISNUMBER(F75),ISNUMBER(G75),C75&gt;0,F75&gt;0),ROUND(MIN(C75,F75)*(G75-D75),8),"")</f>
        <v/>
      </c>
      <c r="L75" s="177">
        <f>IF(OR(NOT(ISNUMBER(K75)),COUNT(C75,F75,D75)&lt;3),"",IF(MIN(C75,F75)*D75&lt;=0,"",ROUND(K75/(MIN(C75,F75)*D75)*100,2)))</f>
        <v/>
      </c>
      <c r="M75" s="343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inlineStr">
        <is>
          <t>TRX/BTC</t>
        </is>
      </c>
      <c r="C76" s="321" t="n">
        <v>49790.35390946</v>
      </c>
      <c r="D76" s="322" t="n">
        <v>1.937276854214423e-06</v>
      </c>
      <c r="E76" s="247">
        <f>IF(AND(ISNUMBER(C76),ISNUMBER(D76)),C76*D76,"")</f>
        <v/>
      </c>
      <c r="F76" s="321" t="n">
        <v>32714</v>
      </c>
      <c r="G76" s="322" t="n">
        <v>2.553612444213486e-06</v>
      </c>
      <c r="H76" s="247">
        <f>IF(AND(ISNUMBER(F76),ISNUMBER(G76)),F76*G76,"")</f>
        <v/>
      </c>
      <c r="I76" s="341">
        <f>IF(COUNT(C76,F76)=0,"",N(C76)-N(F76))</f>
        <v/>
      </c>
      <c r="J76" s="342">
        <f>IF(COUNT(E76,H76)=0,"",N(H76)-N(E76))</f>
        <v/>
      </c>
      <c r="K76" s="246">
        <f>IF(AND(ISNUMBER(C76),ISNUMBER(D76),ISNUMBER(F76),ISNUMBER(G76),C76&gt;0,F76&gt;0),ROUND(MIN(C76,F76)*(G76-D76),8),"")</f>
        <v/>
      </c>
      <c r="L76" s="183">
        <f>IF(OR(NOT(ISNUMBER(K76)),COUNT(C76,F76,D76)&lt;3),"",IF(MIN(C76,F76)*D76&lt;=0,"",ROUND(K76/(MIN(C76,F76)*D76)*100,2)))</f>
        <v/>
      </c>
      <c r="M76" s="344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inlineStr">
        <is>
          <t>UNI/BTC</t>
        </is>
      </c>
      <c r="C77" s="316" t="n">
        <v>372.32</v>
      </c>
      <c r="D77" s="317" t="n">
        <v>0.0005347646594327462</v>
      </c>
      <c r="E77" s="241">
        <f>IF(AND(ISNUMBER(C77),ISNUMBER(D77)),C77*D77,"")</f>
        <v/>
      </c>
      <c r="F77" s="316" t="n">
        <v>348.62</v>
      </c>
      <c r="G77" s="317" t="n">
        <v>0.0005427305486776431</v>
      </c>
      <c r="H77" s="241">
        <f>IF(AND(ISNUMBER(F77),ISNUMBER(G77)),F77*G77,"")</f>
        <v/>
      </c>
      <c r="I77" s="339">
        <f>IF(COUNT(C77,F77)=0,"",N(C77)-N(F77))</f>
        <v/>
      </c>
      <c r="J77" s="340">
        <f>IF(COUNT(E77,H77)=0,"",N(H77)-N(E77))</f>
        <v/>
      </c>
      <c r="K77" s="240">
        <f>IF(AND(ISNUMBER(C77),ISNUMBER(D77),ISNUMBER(F77),ISNUMBER(G77),C77&gt;0,F77&gt;0),ROUND(MIN(C77,F77)*(G77-D77),8),"")</f>
        <v/>
      </c>
      <c r="L77" s="177">
        <f>IF(OR(NOT(ISNUMBER(K77)),COUNT(C77,F77,D77)&lt;3),"",IF(MIN(C77,F77)*D77&lt;=0,"",ROUND(K77/(MIN(C77,F77)*D77)*100,2)))</f>
        <v/>
      </c>
      <c r="M77" s="343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inlineStr">
        <is>
          <t>WAVES/BTC</t>
        </is>
      </c>
      <c r="C78" s="321" t="n">
        <v>23808.15644690001</v>
      </c>
      <c r="D78" s="322" t="n">
        <v>5.624631423089437e-05</v>
      </c>
      <c r="E78" s="247">
        <f>IF(AND(ISNUMBER(C78),ISNUMBER(D78)),C78*D78,"")</f>
        <v/>
      </c>
      <c r="F78" s="321" t="n">
        <v>23797.64400114999</v>
      </c>
      <c r="G78" s="322" t="n">
        <v>5.937442184582661e-05</v>
      </c>
      <c r="H78" s="247">
        <f>IF(AND(ISNUMBER(F78),ISNUMBER(G78)),F78*G78,"")</f>
        <v/>
      </c>
      <c r="I78" s="341">
        <f>IF(COUNT(C78,F78)=0,"",N(C78)-N(F78))</f>
        <v/>
      </c>
      <c r="J78" s="342">
        <f>IF(COUNT(E78,H78)=0,"",N(H78)-N(E78))</f>
        <v/>
      </c>
      <c r="K78" s="246">
        <f>IF(AND(ISNUMBER(C78),ISNUMBER(D78),ISNUMBER(F78),ISNUMBER(G78),C78&gt;0,F78&gt;0),ROUND(MIN(C78,F78)*(G78-D78),8),"")</f>
        <v/>
      </c>
      <c r="L78" s="183">
        <f>IF(OR(NOT(ISNUMBER(K78)),COUNT(C78,F78,D78)&lt;3),"",IF(MIN(C78,F78)*D78&lt;=0,"",ROUND(K78/(MIN(C78,F78)*D78)*100,2)))</f>
        <v/>
      </c>
      <c r="M78" s="344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inlineStr">
        <is>
          <t>XEM/BTC</t>
        </is>
      </c>
      <c r="C79" s="316" t="n">
        <v>15160.58870351</v>
      </c>
      <c r="D79" s="317" t="n">
        <v>4.621929357121669e-06</v>
      </c>
      <c r="E79" s="241">
        <f>IF(AND(ISNUMBER(C79),ISNUMBER(D79)),C79*D79,"")</f>
        <v/>
      </c>
      <c r="F79" s="316" t="n">
        <v>9414.860000000001</v>
      </c>
      <c r="G79" s="317" t="n">
        <v>2.312339307966342e-06</v>
      </c>
      <c r="H79" s="241">
        <f>IF(AND(ISNUMBER(F79),ISNUMBER(G79)),F79*G79,"")</f>
        <v/>
      </c>
      <c r="I79" s="339">
        <f>IF(COUNT(C79,F79)=0,"",N(C79)-N(F79))</f>
        <v/>
      </c>
      <c r="J79" s="340">
        <f>IF(COUNT(E79,H79)=0,"",N(H79)-N(E79))</f>
        <v/>
      </c>
      <c r="K79" s="240">
        <f>IF(AND(ISNUMBER(C79),ISNUMBER(D79),ISNUMBER(F79),ISNUMBER(G79),C79&gt;0,F79&gt;0),ROUND(MIN(C79,F79)*(G79-D79),8),"")</f>
        <v/>
      </c>
      <c r="L79" s="177">
        <f>IF(OR(NOT(ISNUMBER(K79)),COUNT(C79,F79,D79)&lt;3),"",IF(MIN(C79,F79)*D79&lt;=0,"",ROUND(K79/(MIN(C79,F79)*D79)*100,2)))</f>
        <v/>
      </c>
      <c r="M79" s="343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inlineStr">
        <is>
          <t>XLM/BTC</t>
        </is>
      </c>
      <c r="C80" s="321" t="n">
        <v>550</v>
      </c>
      <c r="D80" s="322" t="n">
        <v>2.04292326037463e-05</v>
      </c>
      <c r="E80" s="247">
        <f>IF(AND(ISNUMBER(C80),ISNUMBER(D80)),C80*D80,"")</f>
        <v/>
      </c>
      <c r="F80" s="321" t="n">
        <v>100</v>
      </c>
      <c r="G80" s="322" t="n">
        <v>5.30469e-06</v>
      </c>
      <c r="H80" s="247">
        <f>IF(AND(ISNUMBER(F80),ISNUMBER(G80)),F80*G80,"")</f>
        <v/>
      </c>
      <c r="I80" s="341">
        <f>IF(COUNT(C80,F80)=0,"",N(C80)-N(F80))</f>
        <v/>
      </c>
      <c r="J80" s="342">
        <f>IF(COUNT(E80,H80)=0,"",N(H80)-N(E80))</f>
        <v/>
      </c>
      <c r="K80" s="246">
        <f>IF(AND(ISNUMBER(C80),ISNUMBER(D80),ISNUMBER(F80),ISNUMBER(G80),C80&gt;0,F80&gt;0),ROUND(MIN(C80,F80)*(G80-D80),8),"")</f>
        <v/>
      </c>
      <c r="L80" s="183">
        <f>IF(OR(NOT(ISNUMBER(K80)),COUNT(C80,F80,D80)&lt;3),"",IF(MIN(C80,F80)*D80&lt;=0,"",ROUND(K80/(MIN(C80,F80)*D80)*100,2)))</f>
        <v/>
      </c>
      <c r="M80" s="344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inlineStr">
        <is>
          <t>XRP/BTC</t>
        </is>
      </c>
      <c r="C81" s="316" t="n">
        <v>17918.80510118</v>
      </c>
      <c r="D81" s="317" t="n">
        <v>1.716931986550817e-05</v>
      </c>
      <c r="E81" s="241">
        <f>IF(AND(ISNUMBER(C81),ISNUMBER(D81)),C81*D81,"")</f>
        <v/>
      </c>
      <c r="F81" s="316" t="n">
        <v>17357.71908099</v>
      </c>
      <c r="G81" s="317" t="n">
        <v>2.703170458097162e-05</v>
      </c>
      <c r="H81" s="241">
        <f>IF(AND(ISNUMBER(F81),ISNUMBER(G81)),F81*G81,"")</f>
        <v/>
      </c>
      <c r="I81" s="339">
        <f>IF(COUNT(C81,F81)=0,"",N(C81)-N(F81))</f>
        <v/>
      </c>
      <c r="J81" s="340">
        <f>IF(COUNT(E81,H81)=0,"",N(H81)-N(E81))</f>
        <v/>
      </c>
      <c r="K81" s="240">
        <f>IF(AND(ISNUMBER(C81),ISNUMBER(D81),ISNUMBER(F81),ISNUMBER(G81),C81&gt;0,F81&gt;0),ROUND(MIN(C81,F81)*(G81-D81),8),"")</f>
        <v/>
      </c>
      <c r="L81" s="177">
        <f>IF(OR(NOT(ISNUMBER(K81)),COUNT(C81,F81,D81)&lt;3),"",IF(MIN(C81,F81)*D81&lt;=0,"",ROUND(K81/(MIN(C81,F81)*D81)*100,2)))</f>
        <v/>
      </c>
      <c r="M81" s="343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inlineStr">
        <is>
          <t>XTZ/BTC</t>
        </is>
      </c>
      <c r="C82" s="321" t="n">
        <v>155.1</v>
      </c>
      <c r="D82" s="322" t="n">
        <v>8.818498388136686e-05</v>
      </c>
      <c r="E82" s="247">
        <f>IF(AND(ISNUMBER(C82),ISNUMBER(D82)),C82*D82,"")</f>
        <v/>
      </c>
      <c r="F82" s="321" t="n">
        <v>118.7</v>
      </c>
      <c r="G82" s="322" t="n">
        <v>9.441367210614996e-05</v>
      </c>
      <c r="H82" s="247">
        <f>IF(AND(ISNUMBER(F82),ISNUMBER(G82)),F82*G82,"")</f>
        <v/>
      </c>
      <c r="I82" s="341">
        <f>IF(COUNT(C82,F82)=0,"",N(C82)-N(F82))</f>
        <v/>
      </c>
      <c r="J82" s="342">
        <f>IF(COUNT(E82,H82)=0,"",N(H82)-N(E82))</f>
        <v/>
      </c>
      <c r="K82" s="246">
        <f>IF(AND(ISNUMBER(C82),ISNUMBER(D82),ISNUMBER(F82),ISNUMBER(G82),C82&gt;0,F82&gt;0),ROUND(MIN(C82,F82)*(G82-D82),8),"")</f>
        <v/>
      </c>
      <c r="L82" s="183">
        <f>IF(OR(NOT(ISNUMBER(K82)),COUNT(C82,F82,D82)&lt;3),"",IF(MIN(C82,F82)*D82&lt;=0,"",ROUND(K82/(MIN(C82,F82)*D82)*100,2)))</f>
        <v/>
      </c>
      <c r="M82" s="344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inlineStr">
        <is>
          <t>ZRX/BTC</t>
        </is>
      </c>
      <c r="C83" s="316" t="n">
        <v>400</v>
      </c>
      <c r="D83" s="317" t="n">
        <v>2.498e-05</v>
      </c>
      <c r="E83" s="241">
        <f>IF(AND(ISNUMBER(C83),ISNUMBER(D83)),C83*D83,"")</f>
        <v/>
      </c>
      <c r="F83" s="316" t="n">
        <v>400</v>
      </c>
      <c r="G83" s="317" t="n">
        <v>2.57742e-05</v>
      </c>
      <c r="H83" s="241">
        <f>IF(AND(ISNUMBER(F83),ISNUMBER(G83)),F83*G83,"")</f>
        <v/>
      </c>
      <c r="I83" s="339">
        <f>IF(COUNT(C83,F83)=0,"",N(C83)-N(F83))</f>
        <v/>
      </c>
      <c r="J83" s="340">
        <f>IF(COUNT(E83,H83)=0,"",N(H83)-N(E83))</f>
        <v/>
      </c>
      <c r="K83" s="240">
        <f>IF(AND(ISNUMBER(C83),ISNUMBER(D83),ISNUMBER(F83),ISNUMBER(G83),C83&gt;0,F83&gt;0),ROUND(MIN(C83,F83)*(G83-D83),8),"")</f>
        <v/>
      </c>
      <c r="L83" s="177">
        <f>IF(OR(NOT(ISNUMBER(K83)),COUNT(C83,F83,D83)&lt;3),"",IF(MIN(C83,F83)*D83&lt;=0,"",ROUND(K83/(MIN(C83,F83)*D83)*100,2)))</f>
        <v/>
      </c>
      <c r="M83" s="343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inlineStr">
        <is>
          <t>LTC/ETH</t>
        </is>
      </c>
      <c r="C84" s="321" t="n">
        <v>272.17597869</v>
      </c>
      <c r="D84" s="322" t="n">
        <v>0.1001900682091985</v>
      </c>
      <c r="E84" s="247">
        <f>IF(AND(ISNUMBER(C84),ISNUMBER(D84)),C84*D84,"")</f>
        <v/>
      </c>
      <c r="F84" s="321" t="n">
        <v>259.51379384</v>
      </c>
      <c r="G84" s="322" t="n">
        <v>0.1123611646146555</v>
      </c>
      <c r="H84" s="247">
        <f>IF(AND(ISNUMBER(F84),ISNUMBER(G84)),F84*G84,"")</f>
        <v/>
      </c>
      <c r="I84" s="341">
        <f>IF(COUNT(C84,F84)=0,"",N(C84)-N(F84))</f>
        <v/>
      </c>
      <c r="J84" s="342">
        <f>IF(COUNT(E84,H84)=0,"",N(H84)-N(E84))</f>
        <v/>
      </c>
      <c r="K84" s="246">
        <f>IF(AND(ISNUMBER(C84),ISNUMBER(D84),ISNUMBER(F84),ISNUMBER(G84),C84&gt;0,F84&gt;0),ROUND(MIN(C84,F84)*(G84-D84),8),"")</f>
        <v/>
      </c>
      <c r="L84" s="183">
        <f>IF(OR(NOT(ISNUMBER(K84)),COUNT(C84,F84,D84)&lt;3),"",IF(MIN(C84,F84)*D84&lt;=0,"",ROUND(K84/(MIN(C84,F84)*D84)*100,2)))</f>
        <v/>
      </c>
      <c r="M84" s="344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inlineStr">
        <is>
          <t>BCH/ETH</t>
        </is>
      </c>
      <c r="C85" s="316" t="n">
        <v>16.77069789</v>
      </c>
      <c r="D85" s="317" t="n">
        <v>0.277713892806133</v>
      </c>
      <c r="E85" s="241">
        <f>IF(AND(ISNUMBER(C85),ISNUMBER(D85)),C85*D85,"")</f>
        <v/>
      </c>
      <c r="F85" s="316" t="n">
        <v>14.32103731</v>
      </c>
      <c r="G85" s="317" t="n">
        <v>0.1699407035955833</v>
      </c>
      <c r="H85" s="241">
        <f>IF(AND(ISNUMBER(F85),ISNUMBER(G85)),F85*G85,"")</f>
        <v/>
      </c>
      <c r="I85" s="339">
        <f>IF(COUNT(C85,F85)=0,"",N(C85)-N(F85))</f>
        <v/>
      </c>
      <c r="J85" s="340">
        <f>IF(COUNT(E85,H85)=0,"",N(H85)-N(E85))</f>
        <v/>
      </c>
      <c r="K85" s="240">
        <f>IF(AND(ISNUMBER(C85),ISNUMBER(D85),ISNUMBER(F85),ISNUMBER(G85),C85&gt;0,F85&gt;0),ROUND(MIN(C85,F85)*(G85-D85),8),"")</f>
        <v/>
      </c>
      <c r="L85" s="177">
        <f>IF(OR(NOT(ISNUMBER(K85)),COUNT(C85,F85,D85)&lt;3),"",IF(MIN(C85,F85)*D85&lt;=0,"",ROUND(K85/(MIN(C85,F85)*D85)*100,2)))</f>
        <v/>
      </c>
      <c r="M85" s="343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inlineStr">
        <is>
          <t>DASH/ETH</t>
        </is>
      </c>
      <c r="C86" s="321" t="n">
        <v>124.44640866</v>
      </c>
      <c r="D86" s="322" t="n">
        <v>0.09940758342652201</v>
      </c>
      <c r="E86" s="247">
        <f>IF(AND(ISNUMBER(C86),ISNUMBER(D86)),C86*D86,"")</f>
        <v/>
      </c>
      <c r="F86" s="321" t="n">
        <v>96.59043750000001</v>
      </c>
      <c r="G86" s="322" t="n">
        <v>0.08373726756724753</v>
      </c>
      <c r="H86" s="247">
        <f>IF(AND(ISNUMBER(F86),ISNUMBER(G86)),F86*G86,"")</f>
        <v/>
      </c>
      <c r="I86" s="341">
        <f>IF(COUNT(C86,F86)=0,"",N(C86)-N(F86))</f>
        <v/>
      </c>
      <c r="J86" s="342">
        <f>IF(COUNT(E86,H86)=0,"",N(H86)-N(E86))</f>
        <v/>
      </c>
      <c r="K86" s="246">
        <f>IF(AND(ISNUMBER(C86),ISNUMBER(D86),ISNUMBER(F86),ISNUMBER(G86),C86&gt;0,F86&gt;0),ROUND(MIN(C86,F86)*(G86-D86),8),"")</f>
        <v/>
      </c>
      <c r="L86" s="183">
        <f>IF(OR(NOT(ISNUMBER(K86)),COUNT(C86,F86,D86)&lt;3),"",IF(MIN(C86,F86)*D86&lt;=0,"",ROUND(K86/(MIN(C86,F86)*D86)*100,2)))</f>
        <v/>
      </c>
      <c r="M86" s="344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inlineStr">
        <is>
          <t>ADA/ETH</t>
        </is>
      </c>
      <c r="C87" s="316" t="n">
        <v>110</v>
      </c>
      <c r="D87" s="317" t="n">
        <v>0.0001489</v>
      </c>
      <c r="E87" s="241">
        <f>IF(AND(ISNUMBER(C87),ISNUMBER(D87)),C87*D87,"")</f>
        <v/>
      </c>
      <c r="F87" s="316" t="n">
        <v>100</v>
      </c>
      <c r="G87" s="317" t="n">
        <v>0.0002010987</v>
      </c>
      <c r="H87" s="241">
        <f>IF(AND(ISNUMBER(F87),ISNUMBER(G87)),F87*G87,"")</f>
        <v/>
      </c>
      <c r="I87" s="339">
        <f>IF(COUNT(C87,F87)=0,"",N(C87)-N(F87))</f>
        <v/>
      </c>
      <c r="J87" s="340">
        <f>IF(COUNT(E87,H87)=0,"",N(H87)-N(E87))</f>
        <v/>
      </c>
      <c r="K87" s="240">
        <f>IF(AND(ISNUMBER(C87),ISNUMBER(D87),ISNUMBER(F87),ISNUMBER(G87),C87&gt;0,F87&gt;0),ROUND(MIN(C87,F87)*(G87-D87),8),"")</f>
        <v/>
      </c>
      <c r="L87" s="177">
        <f>IF(OR(NOT(ISNUMBER(K87)),COUNT(C87,F87,D87)&lt;3),"",IF(MIN(C87,F87)*D87&lt;=0,"",ROUND(K87/(MIN(C87,F87)*D87)*100,2)))</f>
        <v/>
      </c>
      <c r="M87" s="343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inlineStr">
        <is>
          <t>EOS/ETH</t>
        </is>
      </c>
      <c r="C88" s="321" t="n">
        <v>30</v>
      </c>
      <c r="D88" s="322" t="n">
        <v>0.003065</v>
      </c>
      <c r="E88" s="247">
        <f>IF(AND(ISNUMBER(C88),ISNUMBER(D88)),C88*D88,"")</f>
        <v/>
      </c>
      <c r="F88" s="321" t="n">
        <v>30</v>
      </c>
      <c r="G88" s="322" t="n">
        <v>0.00301698</v>
      </c>
      <c r="H88" s="247">
        <f>IF(AND(ISNUMBER(F88),ISNUMBER(G88)),F88*G88,"")</f>
        <v/>
      </c>
      <c r="I88" s="341">
        <f>IF(COUNT(C88,F88)=0,"",N(C88)-N(F88))</f>
        <v/>
      </c>
      <c r="J88" s="342">
        <f>IF(COUNT(E88,H88)=0,"",N(H88)-N(E88))</f>
        <v/>
      </c>
      <c r="K88" s="246">
        <f>IF(AND(ISNUMBER(C88),ISNUMBER(D88),ISNUMBER(F88),ISNUMBER(G88),C88&gt;0,F88&gt;0),ROUND(MIN(C88,F88)*(G88-D88),8),"")</f>
        <v/>
      </c>
      <c r="L88" s="183">
        <f>IF(OR(NOT(ISNUMBER(K88)),COUNT(C88,F88,D88)&lt;3),"",IF(MIN(C88,F88)*D88&lt;=0,"",ROUND(K88/(MIN(C88,F88)*D88)*100,2)))</f>
        <v/>
      </c>
      <c r="M88" s="344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inlineStr">
        <is>
          <t>ETC/ETH</t>
        </is>
      </c>
      <c r="C89" s="316" t="n">
        <v>27</v>
      </c>
      <c r="D89" s="317" t="n">
        <v>0.01771518518518518</v>
      </c>
      <c r="E89" s="241">
        <f>IF(AND(ISNUMBER(C89),ISNUMBER(D89)),C89*D89,"")</f>
        <v/>
      </c>
      <c r="F89" s="316" t="n">
        <v>22</v>
      </c>
      <c r="G89" s="317" t="n">
        <v>0.02498680636363636</v>
      </c>
      <c r="H89" s="241">
        <f>IF(AND(ISNUMBER(F89),ISNUMBER(G89)),F89*G89,"")</f>
        <v/>
      </c>
      <c r="I89" s="339">
        <f>IF(COUNT(C89,F89)=0,"",N(C89)-N(F89))</f>
        <v/>
      </c>
      <c r="J89" s="340">
        <f>IF(COUNT(E89,H89)=0,"",N(H89)-N(E89))</f>
        <v/>
      </c>
      <c r="K89" s="240">
        <f>IF(AND(ISNUMBER(C89),ISNUMBER(D89),ISNUMBER(F89),ISNUMBER(G89),C89&gt;0,F89&gt;0),ROUND(MIN(C89,F89)*(G89-D89),8),"")</f>
        <v/>
      </c>
      <c r="L89" s="177">
        <f>IF(OR(NOT(ISNUMBER(K89)),COUNT(C89,F89,D89)&lt;3),"",IF(MIN(C89,F89)*D89&lt;=0,"",ROUND(K89/(MIN(C89,F89)*D89)*100,2)))</f>
        <v/>
      </c>
      <c r="M89" s="343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inlineStr">
        <is>
          <t>FUN/ETH</t>
        </is>
      </c>
      <c r="C90" s="321" t="n">
        <v>5000</v>
      </c>
      <c r="D90" s="322" t="n">
        <v>5.119999999999999e-06</v>
      </c>
      <c r="E90" s="247">
        <f>IF(AND(ISNUMBER(C90),ISNUMBER(D90)),C90*D90,"")</f>
        <v/>
      </c>
      <c r="F90" s="321" t="n"/>
      <c r="G90" s="322" t="n"/>
      <c r="H90" s="247">
        <f>IF(AND(ISNUMBER(F90),ISNUMBER(G90)),F90*G90,"")</f>
        <v/>
      </c>
      <c r="I90" s="341">
        <f>IF(COUNT(C90,F90)=0,"",N(C90)-N(F90))</f>
        <v/>
      </c>
      <c r="J90" s="342">
        <f>IF(COUNT(E90,H90)=0,"",N(H90)-N(E90))</f>
        <v/>
      </c>
      <c r="K90" s="246">
        <f>IF(AND(ISNUMBER(C90),ISNUMBER(D90),ISNUMBER(F90),ISNUMBER(G90),C90&gt;0,F90&gt;0),ROUND(MIN(C90,F90)*(G90-D90),8),"")</f>
        <v/>
      </c>
      <c r="L90" s="183">
        <f>IF(OR(NOT(ISNUMBER(K90)),COUNT(C90,F90,D90)&lt;3),"",IF(MIN(C90,F90)*D90&lt;=0,"",ROUND(K90/(MIN(C90,F90)*D90)*100,2)))</f>
        <v/>
      </c>
      <c r="M90" s="344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inlineStr">
        <is>
          <t>IOTX/ETH</t>
        </is>
      </c>
      <c r="C91" s="316" t="n">
        <v>1000</v>
      </c>
      <c r="D91" s="317" t="n">
        <v>1.074e-05</v>
      </c>
      <c r="E91" s="241">
        <f>IF(AND(ISNUMBER(C91),ISNUMBER(D91)),C91*D91,"")</f>
        <v/>
      </c>
      <c r="F91" s="316" t="n">
        <v>1000</v>
      </c>
      <c r="G91" s="317" t="n">
        <v>1.2542445e-05</v>
      </c>
      <c r="H91" s="241">
        <f>IF(AND(ISNUMBER(F91),ISNUMBER(G91)),F91*G91,"")</f>
        <v/>
      </c>
      <c r="I91" s="339">
        <f>IF(COUNT(C91,F91)=0,"",N(C91)-N(F91))</f>
        <v/>
      </c>
      <c r="J91" s="340">
        <f>IF(COUNT(E91,H91)=0,"",N(H91)-N(E91))</f>
        <v/>
      </c>
      <c r="K91" s="240">
        <f>IF(AND(ISNUMBER(C91),ISNUMBER(D91),ISNUMBER(F91),ISNUMBER(G91),C91&gt;0,F91&gt;0),ROUND(MIN(C91,F91)*(G91-D91),8),"")</f>
        <v/>
      </c>
      <c r="L91" s="177">
        <f>IF(OR(NOT(ISNUMBER(K91)),COUNT(C91,F91,D91)&lt;3),"",IF(MIN(C91,F91)*D91&lt;=0,"",ROUND(K91/(MIN(C91,F91)*D91)*100,2)))</f>
        <v/>
      </c>
      <c r="M91" s="343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inlineStr">
        <is>
          <t>LINK/ETH</t>
        </is>
      </c>
      <c r="C92" s="321" t="n">
        <v>4.32</v>
      </c>
      <c r="D92" s="322" t="n">
        <v>0.005671</v>
      </c>
      <c r="E92" s="247">
        <f>IF(AND(ISNUMBER(C92),ISNUMBER(D92)),C92*D92,"")</f>
        <v/>
      </c>
      <c r="F92" s="321" t="n">
        <v>4.3</v>
      </c>
      <c r="G92" s="322" t="n">
        <v>0.006226766999999999</v>
      </c>
      <c r="H92" s="247">
        <f>IF(AND(ISNUMBER(F92),ISNUMBER(G92)),F92*G92,"")</f>
        <v/>
      </c>
      <c r="I92" s="341">
        <f>IF(COUNT(C92,F92)=0,"",N(C92)-N(F92))</f>
        <v/>
      </c>
      <c r="J92" s="342">
        <f>IF(COUNT(E92,H92)=0,"",N(H92)-N(E92))</f>
        <v/>
      </c>
      <c r="K92" s="246">
        <f>IF(AND(ISNUMBER(C92),ISNUMBER(D92),ISNUMBER(F92),ISNUMBER(G92),C92&gt;0,F92&gt;0),ROUND(MIN(C92,F92)*(G92-D92),8),"")</f>
        <v/>
      </c>
      <c r="L92" s="183">
        <f>IF(OR(NOT(ISNUMBER(K92)),COUNT(C92,F92,D92)&lt;3),"",IF(MIN(C92,F92)*D92&lt;=0,"",ROUND(K92/(MIN(C92,F92)*D92)*100,2)))</f>
        <v/>
      </c>
      <c r="M92" s="344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inlineStr">
        <is>
          <t>LOOM/ETH</t>
        </is>
      </c>
      <c r="C93" s="316" t="n">
        <v>5200</v>
      </c>
      <c r="D93" s="317" t="n">
        <v>4.008076923076923e-05</v>
      </c>
      <c r="E93" s="241">
        <f>IF(AND(ISNUMBER(C93),ISNUMBER(D93)),C93*D93,"")</f>
        <v/>
      </c>
      <c r="F93" s="316" t="n">
        <v>5200</v>
      </c>
      <c r="G93" s="317" t="n">
        <v>4.391680846153846e-05</v>
      </c>
      <c r="H93" s="241">
        <f>IF(AND(ISNUMBER(F93),ISNUMBER(G93)),F93*G93,"")</f>
        <v/>
      </c>
      <c r="I93" s="339">
        <f>IF(COUNT(C93,F93)=0,"",N(C93)-N(F93))</f>
        <v/>
      </c>
      <c r="J93" s="340">
        <f>IF(COUNT(E93,H93)=0,"",N(H93)-N(E93))</f>
        <v/>
      </c>
      <c r="K93" s="240">
        <f>IF(AND(ISNUMBER(C93),ISNUMBER(D93),ISNUMBER(F93),ISNUMBER(G93),C93&gt;0,F93&gt;0),ROUND(MIN(C93,F93)*(G93-D93),8),"")</f>
        <v/>
      </c>
      <c r="L93" s="177">
        <f>IF(OR(NOT(ISNUMBER(K93)),COUNT(C93,F93,D93)&lt;3),"",IF(MIN(C93,F93)*D93&lt;=0,"",ROUND(K93/(MIN(C93,F93)*D93)*100,2)))</f>
        <v/>
      </c>
      <c r="M93" s="343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inlineStr">
        <is>
          <t>NEAR/ETH</t>
        </is>
      </c>
      <c r="C94" s="321" t="n">
        <v>24</v>
      </c>
      <c r="D94" s="322" t="n">
        <v>0.002535833333333333</v>
      </c>
      <c r="E94" s="247">
        <f>IF(AND(ISNUMBER(C94),ISNUMBER(D94)),C94*D94,"")</f>
        <v/>
      </c>
      <c r="F94" s="321" t="n"/>
      <c r="G94" s="322" t="n"/>
      <c r="H94" s="247">
        <f>IF(AND(ISNUMBER(F94),ISNUMBER(G94)),F94*G94,"")</f>
        <v/>
      </c>
      <c r="I94" s="341">
        <f>IF(COUNT(C94,F94)=0,"",N(C94)-N(F94))</f>
        <v/>
      </c>
      <c r="J94" s="342">
        <f>IF(COUNT(E94,H94)=0,"",N(H94)-N(E94))</f>
        <v/>
      </c>
      <c r="K94" s="246">
        <f>IF(AND(ISNUMBER(C94),ISNUMBER(D94),ISNUMBER(F94),ISNUMBER(G94),C94&gt;0,F94&gt;0),ROUND(MIN(C94,F94)*(G94-D94),8),"")</f>
        <v/>
      </c>
      <c r="L94" s="183">
        <f>IF(OR(NOT(ISNUMBER(K94)),COUNT(C94,F94,D94)&lt;3),"",IF(MIN(C94,F94)*D94&lt;=0,"",ROUND(K94/(MIN(C94,F94)*D94)*100,2)))</f>
        <v/>
      </c>
      <c r="M94" s="344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inlineStr">
        <is>
          <t>NEO/ETH</t>
        </is>
      </c>
      <c r="C95" s="316" t="n">
        <v>8.229999999999999</v>
      </c>
      <c r="D95" s="317" t="n">
        <v>0.007447251518833538</v>
      </c>
      <c r="E95" s="241">
        <f>IF(AND(ISNUMBER(C95),ISNUMBER(D95)),C95*D95,"")</f>
        <v/>
      </c>
      <c r="F95" s="316" t="n">
        <v>8.209999999999999</v>
      </c>
      <c r="G95" s="317" t="n">
        <v>0.009940838492082826</v>
      </c>
      <c r="H95" s="241">
        <f>IF(AND(ISNUMBER(F95),ISNUMBER(G95)),F95*G95,"")</f>
        <v/>
      </c>
      <c r="I95" s="339">
        <f>IF(COUNT(C95,F95)=0,"",N(C95)-N(F95))</f>
        <v/>
      </c>
      <c r="J95" s="340">
        <f>IF(COUNT(E95,H95)=0,"",N(H95)-N(E95))</f>
        <v/>
      </c>
      <c r="K95" s="240">
        <f>IF(AND(ISNUMBER(C95),ISNUMBER(D95),ISNUMBER(F95),ISNUMBER(G95),C95&gt;0,F95&gt;0),ROUND(MIN(C95,F95)*(G95-D95),8),"")</f>
        <v/>
      </c>
      <c r="L95" s="177">
        <f>IF(OR(NOT(ISNUMBER(K95)),COUNT(C95,F95,D95)&lt;3),"",IF(MIN(C95,F95)*D95&lt;=0,"",ROUND(K95/(MIN(C95,F95)*D95)*100,2)))</f>
        <v/>
      </c>
      <c r="M95" s="343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inlineStr">
        <is>
          <t>SC/ETH</t>
        </is>
      </c>
      <c r="C96" s="321" t="n">
        <v>38100</v>
      </c>
      <c r="D96" s="322" t="n">
        <v>5.061994750656168e-06</v>
      </c>
      <c r="E96" s="247">
        <f>IF(AND(ISNUMBER(C96),ISNUMBER(D96)),C96*D96,"")</f>
        <v/>
      </c>
      <c r="F96" s="321" t="n">
        <v>38000</v>
      </c>
      <c r="G96" s="322" t="n">
        <v>5.782106842105263e-06</v>
      </c>
      <c r="H96" s="247">
        <f>IF(AND(ISNUMBER(F96),ISNUMBER(G96)),F96*G96,"")</f>
        <v/>
      </c>
      <c r="I96" s="341">
        <f>IF(COUNT(C96,F96)=0,"",N(C96)-N(F96))</f>
        <v/>
      </c>
      <c r="J96" s="342">
        <f>IF(COUNT(E96,H96)=0,"",N(H96)-N(E96))</f>
        <v/>
      </c>
      <c r="K96" s="246">
        <f>IF(AND(ISNUMBER(C96),ISNUMBER(D96),ISNUMBER(F96),ISNUMBER(G96),C96&gt;0,F96&gt;0),ROUND(MIN(C96,F96)*(G96-D96),8),"")</f>
        <v/>
      </c>
      <c r="L96" s="183">
        <f>IF(OR(NOT(ISNUMBER(K96)),COUNT(C96,F96,D96)&lt;3),"",IF(MIN(C96,F96)*D96&lt;=0,"",ROUND(K96/(MIN(C96,F96)*D96)*100,2)))</f>
        <v/>
      </c>
      <c r="M96" s="344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inlineStr">
        <is>
          <t>STRAX/ETH</t>
        </is>
      </c>
      <c r="C97" s="316" t="n">
        <v>760</v>
      </c>
      <c r="D97" s="317" t="n">
        <v>0.0006104105263157895</v>
      </c>
      <c r="E97" s="241">
        <f>IF(AND(ISNUMBER(C97),ISNUMBER(D97)),C97*D97,"")</f>
        <v/>
      </c>
      <c r="F97" s="316" t="n">
        <v>760</v>
      </c>
      <c r="G97" s="317" t="n">
        <v>0.0006743370931578948</v>
      </c>
      <c r="H97" s="241">
        <f>IF(AND(ISNUMBER(F97),ISNUMBER(G97)),F97*G97,"")</f>
        <v/>
      </c>
      <c r="I97" s="339">
        <f>IF(COUNT(C97,F97)=0,"",N(C97)-N(F97))</f>
        <v/>
      </c>
      <c r="J97" s="340">
        <f>IF(COUNT(E97,H97)=0,"",N(H97)-N(E97))</f>
        <v/>
      </c>
      <c r="K97" s="240">
        <f>IF(AND(ISNUMBER(C97),ISNUMBER(D97),ISNUMBER(F97),ISNUMBER(G97),C97&gt;0,F97&gt;0),ROUND(MIN(C97,F97)*(G97-D97),8),"")</f>
        <v/>
      </c>
      <c r="L97" s="177">
        <f>IF(OR(NOT(ISNUMBER(K97)),COUNT(C97,F97,D97)&lt;3),"",IF(MIN(C97,F97)*D97&lt;=0,"",ROUND(K97/(MIN(C97,F97)*D97)*100,2)))</f>
        <v/>
      </c>
      <c r="M97" s="343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inlineStr">
        <is>
          <t>TRX/ETH</t>
        </is>
      </c>
      <c r="C98" s="321" t="n">
        <v>769</v>
      </c>
      <c r="D98" s="322" t="n">
        <v>3.124304291287386e-05</v>
      </c>
      <c r="E98" s="247">
        <f>IF(AND(ISNUMBER(C98),ISNUMBER(D98)),C98*D98,"")</f>
        <v/>
      </c>
      <c r="F98" s="321" t="n">
        <v>769</v>
      </c>
      <c r="G98" s="322" t="n">
        <v>4.048328633289987e-05</v>
      </c>
      <c r="H98" s="247">
        <f>IF(AND(ISNUMBER(F98),ISNUMBER(G98)),F98*G98,"")</f>
        <v/>
      </c>
      <c r="I98" s="341">
        <f>IF(COUNT(C98,F98)=0,"",N(C98)-N(F98))</f>
        <v/>
      </c>
      <c r="J98" s="342">
        <f>IF(COUNT(E98,H98)=0,"",N(H98)-N(E98))</f>
        <v/>
      </c>
      <c r="K98" s="246">
        <f>IF(AND(ISNUMBER(C98),ISNUMBER(D98),ISNUMBER(F98),ISNUMBER(G98),C98&gt;0,F98&gt;0),ROUND(MIN(C98,F98)*(G98-D98),8),"")</f>
        <v/>
      </c>
      <c r="L98" s="183">
        <f>IF(OR(NOT(ISNUMBER(K98)),COUNT(C98,F98,D98)&lt;3),"",IF(MIN(C98,F98)*D98&lt;=0,"",ROUND(K98/(MIN(C98,F98)*D98)*100,2)))</f>
        <v/>
      </c>
      <c r="M98" s="344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inlineStr">
        <is>
          <t>WAVES/ETH</t>
        </is>
      </c>
      <c r="C99" s="316" t="n">
        <v>12215.61512068</v>
      </c>
      <c r="D99" s="317" t="n">
        <v>0.001249635392215849</v>
      </c>
      <c r="E99" s="241">
        <f>IF(AND(ISNUMBER(C99),ISNUMBER(D99)),C99*D99,"")</f>
        <v/>
      </c>
      <c r="F99" s="316" t="n">
        <v>12197.79044604</v>
      </c>
      <c r="G99" s="317" t="n">
        <v>0.001372774367827996</v>
      </c>
      <c r="H99" s="241">
        <f>IF(AND(ISNUMBER(F99),ISNUMBER(G99)),F99*G99,"")</f>
        <v/>
      </c>
      <c r="I99" s="339">
        <f>IF(COUNT(C99,F99)=0,"",N(C99)-N(F99))</f>
        <v/>
      </c>
      <c r="J99" s="340">
        <f>IF(COUNT(E99,H99)=0,"",N(H99)-N(E99))</f>
        <v/>
      </c>
      <c r="K99" s="240">
        <f>IF(AND(ISNUMBER(C99),ISNUMBER(D99),ISNUMBER(F99),ISNUMBER(G99),C99&gt;0,F99&gt;0),ROUND(MIN(C99,F99)*(G99-D99),8),"")</f>
        <v/>
      </c>
      <c r="L99" s="177">
        <f>IF(OR(NOT(ISNUMBER(K99)),COUNT(C99,F99,D99)&lt;3),"",IF(MIN(C99,F99)*D99&lt;=0,"",ROUND(K99/(MIN(C99,F99)*D99)*100,2)))</f>
        <v/>
      </c>
      <c r="M99" s="343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inlineStr">
        <is>
          <t>XEM/ETH</t>
        </is>
      </c>
      <c r="C100" s="321" t="n">
        <v>17343</v>
      </c>
      <c r="D100" s="322" t="n">
        <v>0.0001228771567779508</v>
      </c>
      <c r="E100" s="247">
        <f>IF(AND(ISNUMBER(C100),ISNUMBER(D100)),C100*D100,"")</f>
        <v/>
      </c>
      <c r="F100" s="321" t="n">
        <v>17343</v>
      </c>
      <c r="G100" s="322" t="n">
        <v>0.0001237489577062792</v>
      </c>
      <c r="H100" s="247">
        <f>IF(AND(ISNUMBER(F100),ISNUMBER(G100)),F100*G100,"")</f>
        <v/>
      </c>
      <c r="I100" s="341">
        <f>IF(COUNT(C100,F100)=0,"",N(C100)-N(F100))</f>
        <v/>
      </c>
      <c r="J100" s="342">
        <f>IF(COUNT(E100,H100)=0,"",N(H100)-N(E100))</f>
        <v/>
      </c>
      <c r="K100" s="246">
        <f>IF(AND(ISNUMBER(C100),ISNUMBER(D100),ISNUMBER(F100),ISNUMBER(G100),C100&gt;0,F100&gt;0),ROUND(MIN(C100,F100)*(G100-D100),8),"")</f>
        <v/>
      </c>
      <c r="L100" s="183">
        <f>IF(OR(NOT(ISNUMBER(K100)),COUNT(C100,F100,D100)&lt;3),"",IF(MIN(C100,F100)*D100&lt;=0,"",ROUND(K100/(MIN(C100,F100)*D100)*100,2)))</f>
        <v/>
      </c>
      <c r="M100" s="344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inlineStr">
        <is>
          <t>XMR/ETH</t>
        </is>
      </c>
      <c r="C101" s="316" t="n">
        <v>4.232</v>
      </c>
      <c r="D101" s="317" t="n">
        <v>0.09114404536862003</v>
      </c>
      <c r="E101" s="241">
        <f>IF(AND(ISNUMBER(C101),ISNUMBER(D101)),C101*D101,"")</f>
        <v/>
      </c>
      <c r="F101" s="316" t="n">
        <v>2</v>
      </c>
      <c r="G101" s="317" t="n">
        <v>0.08207284500000001</v>
      </c>
      <c r="H101" s="241">
        <f>IF(AND(ISNUMBER(F101),ISNUMBER(G101)),F101*G101,"")</f>
        <v/>
      </c>
      <c r="I101" s="339">
        <f>IF(COUNT(C101,F101)=0,"",N(C101)-N(F101))</f>
        <v/>
      </c>
      <c r="J101" s="340">
        <f>IF(COUNT(E101,H101)=0,"",N(H101)-N(E101))</f>
        <v/>
      </c>
      <c r="K101" s="240">
        <f>IF(AND(ISNUMBER(C101),ISNUMBER(D101),ISNUMBER(F101),ISNUMBER(G101),C101&gt;0,F101&gt;0),ROUND(MIN(C101,F101)*(G101-D101),8),"")</f>
        <v/>
      </c>
      <c r="L101" s="177">
        <f>IF(OR(NOT(ISNUMBER(K101)),COUNT(C101,F101,D101)&lt;3),"",IF(MIN(C101,F101)*D101&lt;=0,"",ROUND(K101/(MIN(C101,F101)*D101)*100,2)))</f>
        <v/>
      </c>
      <c r="M101" s="343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inlineStr">
        <is>
          <t>XRP/ETH</t>
        </is>
      </c>
      <c r="C102" s="321" t="n">
        <v>13612.22270131</v>
      </c>
      <c r="D102" s="322" t="n">
        <v>0.000565933569774547</v>
      </c>
      <c r="E102" s="247">
        <f>IF(AND(ISNUMBER(C102),ISNUMBER(D102)),C102*D102,"")</f>
        <v/>
      </c>
      <c r="F102" s="321" t="n">
        <v>13296</v>
      </c>
      <c r="G102" s="322" t="n">
        <v>0.0006441171822495486</v>
      </c>
      <c r="H102" s="247">
        <f>IF(AND(ISNUMBER(F102),ISNUMBER(G102)),F102*G102,"")</f>
        <v/>
      </c>
      <c r="I102" s="341">
        <f>IF(COUNT(C102,F102)=0,"",N(C102)-N(F102))</f>
        <v/>
      </c>
      <c r="J102" s="342">
        <f>IF(COUNT(E102,H102)=0,"",N(H102)-N(E102))</f>
        <v/>
      </c>
      <c r="K102" s="246">
        <f>IF(AND(ISNUMBER(C102),ISNUMBER(D102),ISNUMBER(F102),ISNUMBER(G102),C102&gt;0,F102&gt;0),ROUND(MIN(C102,F102)*(G102-D102),8),"")</f>
        <v/>
      </c>
      <c r="L102" s="183">
        <f>IF(OR(NOT(ISNUMBER(K102)),COUNT(C102,F102,D102)&lt;3),"",IF(MIN(C102,F102)*D102&lt;=0,"",ROUND(K102/(MIN(C102,F102)*D102)*100,2)))</f>
        <v/>
      </c>
      <c r="M102" s="344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inlineStr">
        <is>
          <t>ZRX/ETH</t>
        </is>
      </c>
      <c r="C103" s="316" t="n">
        <v>2052</v>
      </c>
      <c r="D103" s="317" t="n">
        <v>0.0004077923001949318</v>
      </c>
      <c r="E103" s="241">
        <f>IF(AND(ISNUMBER(C103),ISNUMBER(D103)),C103*D103,"")</f>
        <v/>
      </c>
      <c r="F103" s="316" t="n">
        <v>2050</v>
      </c>
      <c r="G103" s="317" t="n">
        <v>0.000423005351707317</v>
      </c>
      <c r="H103" s="241">
        <f>IF(AND(ISNUMBER(F103),ISNUMBER(G103)),F103*G103,"")</f>
        <v/>
      </c>
      <c r="I103" s="339">
        <f>IF(COUNT(C103,F103)=0,"",N(C103)-N(F103))</f>
        <v/>
      </c>
      <c r="J103" s="340">
        <f>IF(COUNT(E103,H103)=0,"",N(H103)-N(E103))</f>
        <v/>
      </c>
      <c r="K103" s="240">
        <f>IF(AND(ISNUMBER(C103),ISNUMBER(D103),ISNUMBER(F103),ISNUMBER(G103),C103&gt;0,F103&gt;0),ROUND(MIN(C103,F103)*(G103-D103),8),"")</f>
        <v/>
      </c>
      <c r="L103" s="177">
        <f>IF(OR(NOT(ISNUMBER(K103)),COUNT(C103,F103,D103)&lt;3),"",IF(MIN(C103,F103)*D103&lt;=0,"",ROUND(K103/(MIN(C103,F103)*D103)*100,2)))</f>
        <v/>
      </c>
      <c r="M103" s="343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inlineStr">
        <is>
          <t>BCH/WAVES</t>
        </is>
      </c>
      <c r="C104" s="321" t="n"/>
      <c r="D104" s="322" t="n"/>
      <c r="E104" s="247">
        <f>IF(AND(ISNUMBER(C104),ISNUMBER(D104)),C104*D104,"")</f>
        <v/>
      </c>
      <c r="F104" s="321" t="n">
        <v>3.22137708</v>
      </c>
      <c r="G104" s="322" t="n">
        <v>58.97640325996013</v>
      </c>
      <c r="H104" s="247">
        <f>IF(AND(ISNUMBER(F104),ISNUMBER(G104)),F104*G104,"")</f>
        <v/>
      </c>
      <c r="I104" s="341">
        <f>IF(COUNT(C104,F104)=0,"",N(C104)-N(F104))</f>
        <v/>
      </c>
      <c r="J104" s="342">
        <f>IF(COUNT(E104,H104)=0,"",N(H104)-N(E104))</f>
        <v/>
      </c>
      <c r="K104" s="246">
        <f>IF(AND(ISNUMBER(C104),ISNUMBER(D104),ISNUMBER(F104),ISNUMBER(G104),C104&gt;0,F104&gt;0),ROUND(MIN(C104,F104)*(G104-D104),8),"")</f>
        <v/>
      </c>
      <c r="L104" s="183">
        <f>IF(OR(NOT(ISNUMBER(K104)),COUNT(C104,F104,D104)&lt;3),"",IF(MIN(C104,F104)*D104&lt;=0,"",ROUND(K104/(MIN(C104,F104)*D104)*100,2)))</f>
        <v/>
      </c>
      <c r="M104" s="344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inlineStr">
        <is>
          <t>DASH/LTC</t>
        </is>
      </c>
      <c r="C105" s="316" t="n">
        <v>24.50911753</v>
      </c>
      <c r="D105" s="317" t="n">
        <v>1.113559837428066</v>
      </c>
      <c r="E105" s="241">
        <f>IF(AND(ISNUMBER(C105),ISNUMBER(D105)),C105*D105,"")</f>
        <v/>
      </c>
      <c r="F105" s="316" t="n">
        <v>8.549999999999999</v>
      </c>
      <c r="G105" s="317" t="n">
        <v>1.619771760647368</v>
      </c>
      <c r="H105" s="241">
        <f>IF(AND(ISNUMBER(F105),ISNUMBER(G105)),F105*G105,"")</f>
        <v/>
      </c>
      <c r="I105" s="339">
        <f>IF(COUNT(C105,F105)=0,"",N(C105)-N(F105))</f>
        <v/>
      </c>
      <c r="J105" s="340">
        <f>IF(COUNT(E105,H105)=0,"",N(H105)-N(E105))</f>
        <v/>
      </c>
      <c r="K105" s="240">
        <f>IF(AND(ISNUMBER(C105),ISNUMBER(D105),ISNUMBER(F105),ISNUMBER(G105),C105&gt;0,F105&gt;0),ROUND(MIN(C105,F105)*(G105-D105),8),"")</f>
        <v/>
      </c>
      <c r="L105" s="177">
        <f>IF(OR(NOT(ISNUMBER(K105)),COUNT(C105,F105,D105)&lt;3),"",IF(MIN(C105,F105)*D105&lt;=0,"",ROUND(K105/(MIN(C105,F105)*D105)*100,2)))</f>
        <v/>
      </c>
      <c r="M105" s="343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inlineStr">
        <is>
          <t>LTC/BCH</t>
        </is>
      </c>
      <c r="C106" s="321" t="n">
        <v>3.41</v>
      </c>
      <c r="D106" s="322" t="n">
        <v>0.2999574311606203</v>
      </c>
      <c r="E106" s="247">
        <f>IF(AND(ISNUMBER(C106),ISNUMBER(D106)),C106*D106,"")</f>
        <v/>
      </c>
      <c r="F106" s="321" t="n">
        <v>3.41</v>
      </c>
      <c r="G106" s="322" t="n">
        <v>0.4416400293255132</v>
      </c>
      <c r="H106" s="247">
        <f>IF(AND(ISNUMBER(F106),ISNUMBER(G106)),F106*G106,"")</f>
        <v/>
      </c>
      <c r="I106" s="341">
        <f>IF(COUNT(C106,F106)=0,"",N(C106)-N(F106))</f>
        <v/>
      </c>
      <c r="J106" s="342">
        <f>IF(COUNT(E106,H106)=0,"",N(H106)-N(E106))</f>
        <v/>
      </c>
      <c r="K106" s="246">
        <f>IF(AND(ISNUMBER(C106),ISNUMBER(D106),ISNUMBER(F106),ISNUMBER(G106),C106&gt;0,F106&gt;0),ROUND(MIN(C106,F106)*(G106-D106),8),"")</f>
        <v/>
      </c>
      <c r="L106" s="183">
        <f>IF(OR(NOT(ISNUMBER(K106)),COUNT(C106,F106,D106)&lt;3),"",IF(MIN(C106,F106)*D106&lt;=0,"",ROUND(K106/(MIN(C106,F106)*D106)*100,2)))</f>
        <v/>
      </c>
      <c r="M106" s="344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inlineStr">
        <is>
          <t>SHIB/DOGE</t>
        </is>
      </c>
      <c r="C107" s="316" t="n">
        <v>20828043</v>
      </c>
      <c r="D107" s="317" t="n">
        <v>0.0001406374221188232</v>
      </c>
      <c r="E107" s="241">
        <f>IF(AND(ISNUMBER(C107),ISNUMBER(D107)),C107*D107,"")</f>
        <v/>
      </c>
      <c r="F107" s="316" t="n">
        <v>20717095</v>
      </c>
      <c r="G107" s="317" t="n">
        <v>0.0001613022118060471</v>
      </c>
      <c r="H107" s="241">
        <f>IF(AND(ISNUMBER(F107),ISNUMBER(G107)),F107*G107,"")</f>
        <v/>
      </c>
      <c r="I107" s="339">
        <f>IF(COUNT(C107,F107)=0,"",N(C107)-N(F107))</f>
        <v/>
      </c>
      <c r="J107" s="340">
        <f>IF(COUNT(E107,H107)=0,"",N(H107)-N(E107))</f>
        <v/>
      </c>
      <c r="K107" s="240">
        <f>IF(AND(ISNUMBER(C107),ISNUMBER(D107),ISNUMBER(F107),ISNUMBER(G107),C107&gt;0,F107&gt;0),ROUND(MIN(C107,F107)*(G107-D107),8),"")</f>
        <v/>
      </c>
      <c r="L107" s="177">
        <f>IF(OR(NOT(ISNUMBER(K107)),COUNT(C107,F107,D107)&lt;3),"",IF(MIN(C107,F107)*D107&lt;=0,"",ROUND(K107/(MIN(C107,F107)*D107)*100,2)))</f>
        <v/>
      </c>
      <c r="M107" s="343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inlineStr">
        <is>
          <t>TRX/XRP</t>
        </is>
      </c>
      <c r="C108" s="321" t="n">
        <v>77800</v>
      </c>
      <c r="D108" s="322" t="n">
        <v>0.08545643958868895</v>
      </c>
      <c r="E108" s="247">
        <f>IF(AND(ISNUMBER(C108),ISNUMBER(D108)),C108*D108,"")</f>
        <v/>
      </c>
      <c r="F108" s="321" t="n">
        <v>77700</v>
      </c>
      <c r="G108" s="322" t="n">
        <v>0.1014004542857143</v>
      </c>
      <c r="H108" s="247">
        <f>IF(AND(ISNUMBER(F108),ISNUMBER(G108)),F108*G108,"")</f>
        <v/>
      </c>
      <c r="I108" s="341">
        <f>IF(COUNT(C108,F108)=0,"",N(C108)-N(F108))</f>
        <v/>
      </c>
      <c r="J108" s="342">
        <f>IF(COUNT(E108,H108)=0,"",N(H108)-N(E108))</f>
        <v/>
      </c>
      <c r="K108" s="246">
        <f>IF(AND(ISNUMBER(C108),ISNUMBER(D108),ISNUMBER(F108),ISNUMBER(G108),C108&gt;0,F108&gt;0),ROUND(MIN(C108,F108)*(G108-D108),8),"")</f>
        <v/>
      </c>
      <c r="L108" s="183">
        <f>IF(OR(NOT(ISNUMBER(K108)),COUNT(C108,F108,D108)&lt;3),"",IF(MIN(C108,F108)*D108&lt;=0,"",ROUND(K108/(MIN(C108,F108)*D108)*100,2)))</f>
        <v/>
      </c>
      <c r="M108" s="344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316" t="n"/>
      <c r="D109" s="317" t="n"/>
      <c r="E109" s="241">
        <f>IF(AND(ISNUMBER(C109),ISNUMBER(D109)),C109*D109,"")</f>
        <v/>
      </c>
      <c r="F109" s="316" t="n"/>
      <c r="G109" s="317" t="n"/>
      <c r="H109" s="241">
        <f>IF(AND(ISNUMBER(F109),ISNUMBER(G109)),F109*G109,"")</f>
        <v/>
      </c>
      <c r="I109" s="339">
        <f>IF(COUNT(C109,F109)=0,"",N(C109)-N(F109))</f>
        <v/>
      </c>
      <c r="J109" s="340">
        <f>IF(COUNT(E109,H109)=0,"",N(H109)-N(E109))</f>
        <v/>
      </c>
      <c r="K109" s="240">
        <f>IF(AND(ISNUMBER(C109),ISNUMBER(D109),ISNUMBER(F109),ISNUMBER(G109),C109&gt;0,F109&gt;0),ROUND(MIN(C109,F109)*(G109-D109),8),"")</f>
        <v/>
      </c>
      <c r="L109" s="177">
        <f>IF(OR(NOT(ISNUMBER(K109)),COUNT(C109,F109,D109)&lt;3),"",IF(MIN(C109,F109)*D109&lt;=0,"",ROUND(K109/(MIN(C109,F109)*D109)*100,2)))</f>
        <v/>
      </c>
      <c r="M109" s="343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321" t="n"/>
      <c r="D110" s="322" t="n"/>
      <c r="E110" s="247">
        <f>IF(AND(ISNUMBER(C110),ISNUMBER(D110)),C110*D110,"")</f>
        <v/>
      </c>
      <c r="F110" s="321" t="n"/>
      <c r="G110" s="322" t="n"/>
      <c r="H110" s="247">
        <f>IF(AND(ISNUMBER(F110),ISNUMBER(G110)),F110*G110,"")</f>
        <v/>
      </c>
      <c r="I110" s="341">
        <f>IF(COUNT(C110,F110)=0,"",N(C110)-N(F110))</f>
        <v/>
      </c>
      <c r="J110" s="342">
        <f>IF(COUNT(E110,H110)=0,"",N(H110)-N(E110))</f>
        <v/>
      </c>
      <c r="K110" s="246">
        <f>IF(AND(ISNUMBER(C110),ISNUMBER(D110),ISNUMBER(F110),ISNUMBER(G110),C110&gt;0,F110&gt;0),ROUND(MIN(C110,F110)*(G110-D110),8),"")</f>
        <v/>
      </c>
      <c r="L110" s="183">
        <f>IF(OR(NOT(ISNUMBER(K110)),COUNT(C110,F110,D110)&lt;3),"",IF(MIN(C110,F110)*D110&lt;=0,"",ROUND(K110/(MIN(C110,F110)*D110)*100,2)))</f>
        <v/>
      </c>
      <c r="M110" s="344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316" t="n"/>
      <c r="D111" s="317" t="n"/>
      <c r="E111" s="241">
        <f>IF(AND(ISNUMBER(C111),ISNUMBER(D111)),C111*D111,"")</f>
        <v/>
      </c>
      <c r="F111" s="316" t="n"/>
      <c r="G111" s="317" t="n"/>
      <c r="H111" s="241">
        <f>IF(AND(ISNUMBER(F111),ISNUMBER(G111)),F111*G111,"")</f>
        <v/>
      </c>
      <c r="I111" s="339">
        <f>IF(COUNT(C111,F111)=0,"",N(C111)-N(F111))</f>
        <v/>
      </c>
      <c r="J111" s="340">
        <f>IF(COUNT(E111,H111)=0,"",N(H111)-N(E111))</f>
        <v/>
      </c>
      <c r="K111" s="240">
        <f>IF(AND(ISNUMBER(C111),ISNUMBER(D111),ISNUMBER(F111),ISNUMBER(G111),C111&gt;0,F111&gt;0),ROUND(MIN(C111,F111)*(G111-D111),8),"")</f>
        <v/>
      </c>
      <c r="L111" s="177">
        <f>IF(OR(NOT(ISNUMBER(K111)),COUNT(C111,F111,D111)&lt;3),"",IF(MIN(C111,F111)*D111&lt;=0,"",ROUND(K111/(MIN(C111,F111)*D111)*100,2)))</f>
        <v/>
      </c>
      <c r="M111" s="343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321" t="n"/>
      <c r="D112" s="322" t="n"/>
      <c r="E112" s="247">
        <f>IF(AND(ISNUMBER(C112),ISNUMBER(D112)),C112*D112,"")</f>
        <v/>
      </c>
      <c r="F112" s="321" t="n"/>
      <c r="G112" s="322" t="n"/>
      <c r="H112" s="247">
        <f>IF(AND(ISNUMBER(F112),ISNUMBER(G112)),F112*G112,"")</f>
        <v/>
      </c>
      <c r="I112" s="341">
        <f>IF(COUNT(C112,F112)=0,"",N(C112)-N(F112))</f>
        <v/>
      </c>
      <c r="J112" s="342">
        <f>IF(COUNT(E112,H112)=0,"",N(H112)-N(E112))</f>
        <v/>
      </c>
      <c r="K112" s="246">
        <f>IF(AND(ISNUMBER(C112),ISNUMBER(D112),ISNUMBER(F112),ISNUMBER(G112),C112&gt;0,F112&gt;0),ROUND(MIN(C112,F112)*(G112-D112),8),"")</f>
        <v/>
      </c>
      <c r="L112" s="183">
        <f>IF(OR(NOT(ISNUMBER(K112)),COUNT(C112,F112,D112)&lt;3),"",IF(MIN(C112,F112)*D112&lt;=0,"",ROUND(K112/(MIN(C112,F112)*D112)*100,2)))</f>
        <v/>
      </c>
      <c r="M112" s="344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316" t="n"/>
      <c r="D113" s="317" t="n"/>
      <c r="E113" s="241">
        <f>IF(AND(ISNUMBER(C113),ISNUMBER(D113)),C113*D113,"")</f>
        <v/>
      </c>
      <c r="F113" s="316" t="n"/>
      <c r="G113" s="317" t="n"/>
      <c r="H113" s="241">
        <f>IF(AND(ISNUMBER(F113),ISNUMBER(G113)),F113*G113,"")</f>
        <v/>
      </c>
      <c r="I113" s="339">
        <f>IF(COUNT(C113,F113)=0,"",N(C113)-N(F113))</f>
        <v/>
      </c>
      <c r="J113" s="340">
        <f>IF(COUNT(E113,H113)=0,"",N(H113)-N(E113))</f>
        <v/>
      </c>
      <c r="K113" s="240">
        <f>IF(AND(ISNUMBER(C113),ISNUMBER(D113),ISNUMBER(F113),ISNUMBER(G113),C113&gt;0,F113&gt;0),ROUND(MIN(C113,F113)*(G113-D113),8),"")</f>
        <v/>
      </c>
      <c r="L113" s="177">
        <f>IF(OR(NOT(ISNUMBER(K113)),COUNT(C113,F113,D113)&lt;3),"",IF(MIN(C113,F113)*D113&lt;=0,"",ROUND(K113/(MIN(C113,F113)*D113)*100,2)))</f>
        <v/>
      </c>
      <c r="M113" s="343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321" t="n"/>
      <c r="D114" s="322" t="n"/>
      <c r="E114" s="247">
        <f>IF(AND(ISNUMBER(C114),ISNUMBER(D114)),C114*D114,"")</f>
        <v/>
      </c>
      <c r="F114" s="321" t="n"/>
      <c r="G114" s="322" t="n"/>
      <c r="H114" s="247">
        <f>IF(AND(ISNUMBER(F114),ISNUMBER(G114)),F114*G114,"")</f>
        <v/>
      </c>
      <c r="I114" s="341">
        <f>IF(COUNT(C114,F114)=0,"",N(C114)-N(F114))</f>
        <v/>
      </c>
      <c r="J114" s="342">
        <f>IF(COUNT(E114,H114)=0,"",N(H114)-N(E114))</f>
        <v/>
      </c>
      <c r="K114" s="246">
        <f>IF(AND(ISNUMBER(C114),ISNUMBER(D114),ISNUMBER(F114),ISNUMBER(G114),C114&gt;0,F114&gt;0),ROUND(MIN(C114,F114)*(G114-D114),8),"")</f>
        <v/>
      </c>
      <c r="L114" s="183">
        <f>IF(OR(NOT(ISNUMBER(K114)),COUNT(C114,F114,D114)&lt;3),"",IF(MIN(C114,F114)*D114&lt;=0,"",ROUND(K114/(MIN(C114,F114)*D114)*100,2)))</f>
        <v/>
      </c>
      <c r="M114" s="344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316" t="n"/>
      <c r="D115" s="317" t="n"/>
      <c r="E115" s="241">
        <f>IF(AND(ISNUMBER(C115),ISNUMBER(D115)),C115*D115,"")</f>
        <v/>
      </c>
      <c r="F115" s="316" t="n"/>
      <c r="G115" s="317" t="n"/>
      <c r="H115" s="241">
        <f>IF(AND(ISNUMBER(F115),ISNUMBER(G115)),F115*G115,"")</f>
        <v/>
      </c>
      <c r="I115" s="339">
        <f>IF(COUNT(C115,F115)=0,"",N(C115)-N(F115))</f>
        <v/>
      </c>
      <c r="J115" s="340">
        <f>IF(COUNT(E115,H115)=0,"",N(H115)-N(E115))</f>
        <v/>
      </c>
      <c r="K115" s="240">
        <f>IF(AND(ISNUMBER(C115),ISNUMBER(D115),ISNUMBER(F115),ISNUMBER(G115),C115&gt;0,F115&gt;0),ROUND(MIN(C115,F115)*(G115-D115),8),"")</f>
        <v/>
      </c>
      <c r="L115" s="177">
        <f>IF(OR(NOT(ISNUMBER(K115)),COUNT(C115,F115,D115)&lt;3),"",IF(MIN(C115,F115)*D115&lt;=0,"",ROUND(K115/(MIN(C115,F115)*D115)*100,2)))</f>
        <v/>
      </c>
      <c r="M115" s="343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321" t="n"/>
      <c r="D116" s="322" t="n"/>
      <c r="E116" s="247">
        <f>IF(AND(ISNUMBER(C116),ISNUMBER(D116)),C116*D116,"")</f>
        <v/>
      </c>
      <c r="F116" s="321" t="n"/>
      <c r="G116" s="322" t="n"/>
      <c r="H116" s="247">
        <f>IF(AND(ISNUMBER(F116),ISNUMBER(G116)),F116*G116,"")</f>
        <v/>
      </c>
      <c r="I116" s="341">
        <f>IF(COUNT(C116,F116)=0,"",N(C116)-N(F116))</f>
        <v/>
      </c>
      <c r="J116" s="342">
        <f>IF(COUNT(E116,H116)=0,"",N(H116)-N(E116))</f>
        <v/>
      </c>
      <c r="K116" s="246">
        <f>IF(AND(ISNUMBER(C116),ISNUMBER(D116),ISNUMBER(F116),ISNUMBER(G116),C116&gt;0,F116&gt;0),ROUND(MIN(C116,F116)*(G116-D116),8),"")</f>
        <v/>
      </c>
      <c r="L116" s="183">
        <f>IF(OR(NOT(ISNUMBER(K116)),COUNT(C116,F116,D116)&lt;3),"",IF(MIN(C116,F116)*D116&lt;=0,"",ROUND(K116/(MIN(C116,F116)*D116)*100,2)))</f>
        <v/>
      </c>
      <c r="M116" s="344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316" t="n"/>
      <c r="D117" s="317" t="n"/>
      <c r="E117" s="241">
        <f>IF(AND(ISNUMBER(C117),ISNUMBER(D117)),C117*D117,"")</f>
        <v/>
      </c>
      <c r="F117" s="316" t="n"/>
      <c r="G117" s="317" t="n"/>
      <c r="H117" s="241">
        <f>IF(AND(ISNUMBER(F117),ISNUMBER(G117)),F117*G117,"")</f>
        <v/>
      </c>
      <c r="I117" s="339">
        <f>IF(COUNT(C117,F117)=0,"",N(C117)-N(F117))</f>
        <v/>
      </c>
      <c r="J117" s="340">
        <f>IF(COUNT(E117,H117)=0,"",N(H117)-N(E117))</f>
        <v/>
      </c>
      <c r="K117" s="240">
        <f>IF(AND(ISNUMBER(C117),ISNUMBER(D117),ISNUMBER(F117),ISNUMBER(G117),C117&gt;0,F117&gt;0),ROUND(MIN(C117,F117)*(G117-D117),8),"")</f>
        <v/>
      </c>
      <c r="L117" s="177">
        <f>IF(OR(NOT(ISNUMBER(K117)),COUNT(C117,F117,D117)&lt;3),"",IF(MIN(C117,F117)*D117&lt;=0,"",ROUND(K117/(MIN(C117,F117)*D117)*100,2)))</f>
        <v/>
      </c>
      <c r="M117" s="343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321" t="n"/>
      <c r="D118" s="322" t="n"/>
      <c r="E118" s="247">
        <f>IF(AND(ISNUMBER(C118),ISNUMBER(D118)),C118*D118,"")</f>
        <v/>
      </c>
      <c r="F118" s="321" t="n"/>
      <c r="G118" s="322" t="n"/>
      <c r="H118" s="247">
        <f>IF(AND(ISNUMBER(F118),ISNUMBER(G118)),F118*G118,"")</f>
        <v/>
      </c>
      <c r="I118" s="341">
        <f>IF(COUNT(C118,F118)=0,"",N(C118)-N(F118))</f>
        <v/>
      </c>
      <c r="J118" s="342">
        <f>IF(COUNT(E118,H118)=0,"",N(H118)-N(E118))</f>
        <v/>
      </c>
      <c r="K118" s="246">
        <f>IF(AND(ISNUMBER(C118),ISNUMBER(D118),ISNUMBER(F118),ISNUMBER(G118),C118&gt;0,F118&gt;0),ROUND(MIN(C118,F118)*(G118-D118),8),"")</f>
        <v/>
      </c>
      <c r="L118" s="183">
        <f>IF(OR(NOT(ISNUMBER(K118)),COUNT(C118,F118,D118)&lt;3),"",IF(MIN(C118,F118)*D118&lt;=0,"",ROUND(K118/(MIN(C118,F118)*D118)*100,2)))</f>
        <v/>
      </c>
      <c r="M118" s="344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316" t="n"/>
      <c r="D119" s="317" t="n"/>
      <c r="E119" s="241">
        <f>IF(AND(ISNUMBER(C119),ISNUMBER(D119)),C119*D119,"")</f>
        <v/>
      </c>
      <c r="F119" s="316" t="n"/>
      <c r="G119" s="317" t="n"/>
      <c r="H119" s="241">
        <f>IF(AND(ISNUMBER(F119),ISNUMBER(G119)),F119*G119,"")</f>
        <v/>
      </c>
      <c r="I119" s="339">
        <f>IF(COUNT(C119,F119)=0,"",N(C119)-N(F119))</f>
        <v/>
      </c>
      <c r="J119" s="340">
        <f>IF(COUNT(E119,H119)=0,"",N(H119)-N(E119))</f>
        <v/>
      </c>
      <c r="K119" s="240">
        <f>IF(AND(ISNUMBER(C119),ISNUMBER(D119),ISNUMBER(F119),ISNUMBER(G119),C119&gt;0,F119&gt;0),ROUND(MIN(C119,F119)*(G119-D119),8),"")</f>
        <v/>
      </c>
      <c r="L119" s="177">
        <f>IF(OR(NOT(ISNUMBER(K119)),COUNT(C119,F119,D119)&lt;3),"",IF(MIN(C119,F119)*D119&lt;=0,"",ROUND(K119/(MIN(C119,F119)*D119)*100,2)))</f>
        <v/>
      </c>
      <c r="M119" s="343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321" t="n"/>
      <c r="D120" s="322" t="n"/>
      <c r="E120" s="247">
        <f>IF(AND(ISNUMBER(C120),ISNUMBER(D120)),C120*D120,"")</f>
        <v/>
      </c>
      <c r="F120" s="321" t="n"/>
      <c r="G120" s="322" t="n"/>
      <c r="H120" s="247">
        <f>IF(AND(ISNUMBER(F120),ISNUMBER(G120)),F120*G120,"")</f>
        <v/>
      </c>
      <c r="I120" s="341">
        <f>IF(COUNT(C120,F120)=0,"",N(C120)-N(F120))</f>
        <v/>
      </c>
      <c r="J120" s="342">
        <f>IF(COUNT(E120,H120)=0,"",N(H120)-N(E120))</f>
        <v/>
      </c>
      <c r="K120" s="246">
        <f>IF(AND(ISNUMBER(C120),ISNUMBER(D120),ISNUMBER(F120),ISNUMBER(G120),C120&gt;0,F120&gt;0),ROUND(MIN(C120,F120)*(G120-D120),8),"")</f>
        <v/>
      </c>
      <c r="L120" s="183">
        <f>IF(OR(NOT(ISNUMBER(K120)),COUNT(C120,F120,D120)&lt;3),"",IF(MIN(C120,F120)*D120&lt;=0,"",ROUND(K120/(MIN(C120,F120)*D120)*100,2)))</f>
        <v/>
      </c>
      <c r="M120" s="344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316" t="n"/>
      <c r="D121" s="317" t="n"/>
      <c r="E121" s="241">
        <f>IF(AND(ISNUMBER(C121),ISNUMBER(D121)),C121*D121,"")</f>
        <v/>
      </c>
      <c r="F121" s="316" t="n"/>
      <c r="G121" s="317" t="n"/>
      <c r="H121" s="241">
        <f>IF(AND(ISNUMBER(F121),ISNUMBER(G121)),F121*G121,"")</f>
        <v/>
      </c>
      <c r="I121" s="339">
        <f>IF(COUNT(C121,F121)=0,"",N(C121)-N(F121))</f>
        <v/>
      </c>
      <c r="J121" s="340">
        <f>IF(COUNT(E121,H121)=0,"",N(H121)-N(E121))</f>
        <v/>
      </c>
      <c r="K121" s="240">
        <f>IF(AND(ISNUMBER(C121),ISNUMBER(D121),ISNUMBER(F121),ISNUMBER(G121),C121&gt;0,F121&gt;0),ROUND(MIN(C121,F121)*(G121-D121),8),"")</f>
        <v/>
      </c>
      <c r="L121" s="177">
        <f>IF(OR(NOT(ISNUMBER(K121)),COUNT(C121,F121,D121)&lt;3),"",IF(MIN(C121,F121)*D121&lt;=0,"",ROUND(K121/(MIN(C121,F121)*D121)*100,2)))</f>
        <v/>
      </c>
      <c r="M121" s="343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321" t="n"/>
      <c r="D122" s="322" t="n"/>
      <c r="E122" s="247">
        <f>IF(AND(ISNUMBER(C122),ISNUMBER(D122)),C122*D122,"")</f>
        <v/>
      </c>
      <c r="F122" s="321" t="n"/>
      <c r="G122" s="322" t="n"/>
      <c r="H122" s="247">
        <f>IF(AND(ISNUMBER(F122),ISNUMBER(G122)),F122*G122,"")</f>
        <v/>
      </c>
      <c r="I122" s="341">
        <f>IF(COUNT(C122,F122)=0,"",N(C122)-N(F122))</f>
        <v/>
      </c>
      <c r="J122" s="342">
        <f>IF(COUNT(E122,H122)=0,"",N(H122)-N(E122))</f>
        <v/>
      </c>
      <c r="K122" s="246">
        <f>IF(AND(ISNUMBER(C122),ISNUMBER(D122),ISNUMBER(F122),ISNUMBER(G122),C122&gt;0,F122&gt;0),ROUND(MIN(C122,F122)*(G122-D122),8),"")</f>
        <v/>
      </c>
      <c r="L122" s="183">
        <f>IF(OR(NOT(ISNUMBER(K122)),COUNT(C122,F122,D122)&lt;3),"",IF(MIN(C122,F122)*D122&lt;=0,"",ROUND(K122/(MIN(C122,F122)*D122)*100,2)))</f>
        <v/>
      </c>
      <c r="M122" s="344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316" t="n"/>
      <c r="D123" s="317" t="n"/>
      <c r="E123" s="241">
        <f>IF(AND(ISNUMBER(C123),ISNUMBER(D123)),C123*D123,"")</f>
        <v/>
      </c>
      <c r="F123" s="316" t="n"/>
      <c r="G123" s="317" t="n"/>
      <c r="H123" s="241">
        <f>IF(AND(ISNUMBER(F123),ISNUMBER(G123)),F123*G123,"")</f>
        <v/>
      </c>
      <c r="I123" s="339">
        <f>IF(COUNT(C123,F123)=0,"",N(C123)-N(F123))</f>
        <v/>
      </c>
      <c r="J123" s="340">
        <f>IF(COUNT(E123,H123)=0,"",N(H123)-N(E123))</f>
        <v/>
      </c>
      <c r="K123" s="240">
        <f>IF(AND(ISNUMBER(C123),ISNUMBER(D123),ISNUMBER(F123),ISNUMBER(G123),C123&gt;0,F123&gt;0),ROUND(MIN(C123,F123)*(G123-D123),8),"")</f>
        <v/>
      </c>
      <c r="L123" s="177">
        <f>IF(OR(NOT(ISNUMBER(K123)),COUNT(C123,F123,D123)&lt;3),"",IF(MIN(C123,F123)*D123&lt;=0,"",ROUND(K123/(MIN(C123,F123)*D123)*100,2)))</f>
        <v/>
      </c>
      <c r="M123" s="343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321" t="n"/>
      <c r="D124" s="322" t="n"/>
      <c r="E124" s="247">
        <f>IF(AND(ISNUMBER(C124),ISNUMBER(D124)),C124*D124,"")</f>
        <v/>
      </c>
      <c r="F124" s="321" t="n"/>
      <c r="G124" s="322" t="n"/>
      <c r="H124" s="247">
        <f>IF(AND(ISNUMBER(F124),ISNUMBER(G124)),F124*G124,"")</f>
        <v/>
      </c>
      <c r="I124" s="341">
        <f>IF(COUNT(C124,F124)=0,"",N(C124)-N(F124))</f>
        <v/>
      </c>
      <c r="J124" s="342">
        <f>IF(COUNT(E124,H124)=0,"",N(H124)-N(E124))</f>
        <v/>
      </c>
      <c r="K124" s="246">
        <f>IF(AND(ISNUMBER(C124),ISNUMBER(D124),ISNUMBER(F124),ISNUMBER(G124),C124&gt;0,F124&gt;0),ROUND(MIN(C124,F124)*(G124-D124),8),"")</f>
        <v/>
      </c>
      <c r="L124" s="183">
        <f>IF(OR(NOT(ISNUMBER(K124)),COUNT(C124,F124,D124)&lt;3),"",IF(MIN(C124,F124)*D124&lt;=0,"",ROUND(K124/(MIN(C124,F124)*D124)*100,2)))</f>
        <v/>
      </c>
      <c r="M124" s="344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316" t="n"/>
      <c r="D125" s="317" t="n"/>
      <c r="E125" s="241">
        <f>IF(AND(ISNUMBER(C125),ISNUMBER(D125)),C125*D125,"")</f>
        <v/>
      </c>
      <c r="F125" s="316" t="n"/>
      <c r="G125" s="317" t="n"/>
      <c r="H125" s="241">
        <f>IF(AND(ISNUMBER(F125),ISNUMBER(G125)),F125*G125,"")</f>
        <v/>
      </c>
      <c r="I125" s="339">
        <f>IF(COUNT(C125,F125)=0,"",N(C125)-N(F125))</f>
        <v/>
      </c>
      <c r="J125" s="340">
        <f>IF(COUNT(E125,H125)=0,"",N(H125)-N(E125))</f>
        <v/>
      </c>
      <c r="K125" s="240">
        <f>IF(AND(ISNUMBER(C125),ISNUMBER(D125),ISNUMBER(F125),ISNUMBER(G125),C125&gt;0,F125&gt;0),ROUND(MIN(C125,F125)*(G125-D125),8),"")</f>
        <v/>
      </c>
      <c r="L125" s="177">
        <f>IF(OR(NOT(ISNUMBER(K125)),COUNT(C125,F125,D125)&lt;3),"",IF(MIN(C125,F125)*D125&lt;=0,"",ROUND(K125/(MIN(C125,F125)*D125)*100,2)))</f>
        <v/>
      </c>
      <c r="M125" s="343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321" t="n"/>
      <c r="D126" s="322" t="n"/>
      <c r="E126" s="247">
        <f>IF(AND(ISNUMBER(C126),ISNUMBER(D126)),C126*D126,"")</f>
        <v/>
      </c>
      <c r="F126" s="321" t="n"/>
      <c r="G126" s="322" t="n"/>
      <c r="H126" s="247">
        <f>IF(AND(ISNUMBER(F126),ISNUMBER(G126)),F126*G126,"")</f>
        <v/>
      </c>
      <c r="I126" s="341">
        <f>IF(COUNT(C126,F126)=0,"",N(C126)-N(F126))</f>
        <v/>
      </c>
      <c r="J126" s="342">
        <f>IF(COUNT(E126,H126)=0,"",N(H126)-N(E126))</f>
        <v/>
      </c>
      <c r="K126" s="246">
        <f>IF(AND(ISNUMBER(C126),ISNUMBER(D126),ISNUMBER(F126),ISNUMBER(G126),C126&gt;0,F126&gt;0),ROUND(MIN(C126,F126)*(G126-D126),8),"")</f>
        <v/>
      </c>
      <c r="L126" s="183">
        <f>IF(OR(NOT(ISNUMBER(K126)),COUNT(C126,F126,D126)&lt;3),"",IF(MIN(C126,F126)*D126&lt;=0,"",ROUND(K126/(MIN(C126,F126)*D126)*100,2)))</f>
        <v/>
      </c>
      <c r="M126" s="344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316" t="n"/>
      <c r="D127" s="317" t="n"/>
      <c r="E127" s="241">
        <f>IF(AND(ISNUMBER(C127),ISNUMBER(D127)),C127*D127,"")</f>
        <v/>
      </c>
      <c r="F127" s="316" t="n"/>
      <c r="G127" s="317" t="n"/>
      <c r="H127" s="241">
        <f>IF(AND(ISNUMBER(F127),ISNUMBER(G127)),F127*G127,"")</f>
        <v/>
      </c>
      <c r="I127" s="339">
        <f>IF(COUNT(C127,F127)=0,"",N(C127)-N(F127))</f>
        <v/>
      </c>
      <c r="J127" s="340">
        <f>IF(COUNT(E127,H127)=0,"",N(H127)-N(E127))</f>
        <v/>
      </c>
      <c r="K127" s="240">
        <f>IF(AND(ISNUMBER(C127),ISNUMBER(D127),ISNUMBER(F127),ISNUMBER(G127),C127&gt;0,F127&gt;0),ROUND(MIN(C127,F127)*(G127-D127),8),"")</f>
        <v/>
      </c>
      <c r="L127" s="177">
        <f>IF(OR(NOT(ISNUMBER(K127)),COUNT(C127,F127,D127)&lt;3),"",IF(MIN(C127,F127)*D127&lt;=0,"",ROUND(K127/(MIN(C127,F127)*D127)*100,2)))</f>
        <v/>
      </c>
      <c r="M127" s="343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321" t="n"/>
      <c r="D128" s="322" t="n"/>
      <c r="E128" s="247">
        <f>IF(AND(ISNUMBER(C128),ISNUMBER(D128)),C128*D128,"")</f>
        <v/>
      </c>
      <c r="F128" s="321" t="n"/>
      <c r="G128" s="322" t="n"/>
      <c r="H128" s="247">
        <f>IF(AND(ISNUMBER(F128),ISNUMBER(G128)),F128*G128,"")</f>
        <v/>
      </c>
      <c r="I128" s="341">
        <f>IF(COUNT(C128,F128)=0,"",N(C128)-N(F128))</f>
        <v/>
      </c>
      <c r="J128" s="342">
        <f>IF(COUNT(E128,H128)=0,"",N(H128)-N(E128))</f>
        <v/>
      </c>
      <c r="K128" s="246">
        <f>IF(AND(ISNUMBER(C128),ISNUMBER(D128),ISNUMBER(F128),ISNUMBER(G128),C128&gt;0,F128&gt;0),ROUND(MIN(C128,F128)*(G128-D128),8),"")</f>
        <v/>
      </c>
      <c r="L128" s="183">
        <f>IF(OR(NOT(ISNUMBER(K128)),COUNT(C128,F128,D128)&lt;3),"",IF(MIN(C128,F128)*D128&lt;=0,"",ROUND(K128/(MIN(C128,F128)*D128)*100,2)))</f>
        <v/>
      </c>
      <c r="M128" s="344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316" t="n"/>
      <c r="D129" s="317" t="n"/>
      <c r="E129" s="241">
        <f>IF(AND(ISNUMBER(C129),ISNUMBER(D129)),C129*D129,"")</f>
        <v/>
      </c>
      <c r="F129" s="316" t="n"/>
      <c r="G129" s="317" t="n"/>
      <c r="H129" s="241">
        <f>IF(AND(ISNUMBER(F129),ISNUMBER(G129)),F129*G129,"")</f>
        <v/>
      </c>
      <c r="I129" s="339">
        <f>IF(COUNT(C129,F129)=0,"",N(C129)-N(F129))</f>
        <v/>
      </c>
      <c r="J129" s="340">
        <f>IF(COUNT(E129,H129)=0,"",N(H129)-N(E129))</f>
        <v/>
      </c>
      <c r="K129" s="240">
        <f>IF(AND(ISNUMBER(C129),ISNUMBER(D129),ISNUMBER(F129),ISNUMBER(G129),C129&gt;0,F129&gt;0),ROUND(MIN(C129,F129)*(G129-D129),8),"")</f>
        <v/>
      </c>
      <c r="L129" s="177">
        <f>IF(OR(NOT(ISNUMBER(K129)),COUNT(C129,F129,D129)&lt;3),"",IF(MIN(C129,F129)*D129&lt;=0,"",ROUND(K129/(MIN(C129,F129)*D129)*100,2)))</f>
        <v/>
      </c>
      <c r="M129" s="343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321" t="n"/>
      <c r="D130" s="322" t="n"/>
      <c r="E130" s="247">
        <f>IF(AND(ISNUMBER(C130),ISNUMBER(D130)),C130*D130,"")</f>
        <v/>
      </c>
      <c r="F130" s="321" t="n"/>
      <c r="G130" s="322" t="n"/>
      <c r="H130" s="247">
        <f>IF(AND(ISNUMBER(F130),ISNUMBER(G130)),F130*G130,"")</f>
        <v/>
      </c>
      <c r="I130" s="341">
        <f>IF(COUNT(C130,F130)=0,"",N(C130)-N(F130))</f>
        <v/>
      </c>
      <c r="J130" s="342">
        <f>IF(COUNT(E130,H130)=0,"",N(H130)-N(E130))</f>
        <v/>
      </c>
      <c r="K130" s="246">
        <f>IF(AND(ISNUMBER(C130),ISNUMBER(D130),ISNUMBER(F130),ISNUMBER(G130),C130&gt;0,F130&gt;0),ROUND(MIN(C130,F130)*(G130-D130),8),"")</f>
        <v/>
      </c>
      <c r="L130" s="183">
        <f>IF(OR(NOT(ISNUMBER(K130)),COUNT(C130,F130,D130)&lt;3),"",IF(MIN(C130,F130)*D130&lt;=0,"",ROUND(K130/(MIN(C130,F130)*D130)*100,2)))</f>
        <v/>
      </c>
      <c r="M130" s="344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316" t="n"/>
      <c r="D131" s="317" t="n"/>
      <c r="E131" s="241">
        <f>IF(AND(ISNUMBER(C131),ISNUMBER(D131)),C131*D131,"")</f>
        <v/>
      </c>
      <c r="F131" s="316" t="n"/>
      <c r="G131" s="317" t="n"/>
      <c r="H131" s="241">
        <f>IF(AND(ISNUMBER(F131),ISNUMBER(G131)),F131*G131,"")</f>
        <v/>
      </c>
      <c r="I131" s="339">
        <f>IF(COUNT(C131,F131)=0,"",N(C131)-N(F131))</f>
        <v/>
      </c>
      <c r="J131" s="340">
        <f>IF(COUNT(E131,H131)=0,"",N(H131)-N(E131))</f>
        <v/>
      </c>
      <c r="K131" s="240">
        <f>IF(AND(ISNUMBER(C131),ISNUMBER(D131),ISNUMBER(F131),ISNUMBER(G131),C131&gt;0,F131&gt;0),ROUND(MIN(C131,F131)*(G131-D131),8),"")</f>
        <v/>
      </c>
      <c r="L131" s="177">
        <f>IF(OR(NOT(ISNUMBER(K131)),COUNT(C131,F131,D131)&lt;3),"",IF(MIN(C131,F131)*D131&lt;=0,"",ROUND(K131/(MIN(C131,F131)*D131)*100,2)))</f>
        <v/>
      </c>
      <c r="M131" s="343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321" t="n"/>
      <c r="D132" s="322" t="n"/>
      <c r="E132" s="247">
        <f>IF(AND(ISNUMBER(C132),ISNUMBER(D132)),C132*D132,"")</f>
        <v/>
      </c>
      <c r="F132" s="321" t="n"/>
      <c r="G132" s="322" t="n"/>
      <c r="H132" s="247">
        <f>IF(AND(ISNUMBER(F132),ISNUMBER(G132)),F132*G132,"")</f>
        <v/>
      </c>
      <c r="I132" s="341">
        <f>IF(COUNT(C132,F132)=0,"",N(C132)-N(F132))</f>
        <v/>
      </c>
      <c r="J132" s="342">
        <f>IF(COUNT(E132,H132)=0,"",N(H132)-N(E132))</f>
        <v/>
      </c>
      <c r="K132" s="246">
        <f>IF(AND(ISNUMBER(C132),ISNUMBER(D132),ISNUMBER(F132),ISNUMBER(G132),C132&gt;0,F132&gt;0),ROUND(MIN(C132,F132)*(G132-D132),8),"")</f>
        <v/>
      </c>
      <c r="L132" s="183">
        <f>IF(OR(NOT(ISNUMBER(K132)),COUNT(C132,F132,D132)&lt;3),"",IF(MIN(C132,F132)*D132&lt;=0,"",ROUND(K132/(MIN(C132,F132)*D132)*100,2)))</f>
        <v/>
      </c>
      <c r="M132" s="344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316" t="n"/>
      <c r="D133" s="317" t="n"/>
      <c r="E133" s="241">
        <f>IF(AND(ISNUMBER(C133),ISNUMBER(D133)),C133*D133,"")</f>
        <v/>
      </c>
      <c r="F133" s="316" t="n"/>
      <c r="G133" s="317" t="n"/>
      <c r="H133" s="241">
        <f>IF(AND(ISNUMBER(F133),ISNUMBER(G133)),F133*G133,"")</f>
        <v/>
      </c>
      <c r="I133" s="339">
        <f>IF(COUNT(C133,F133)=0,"",N(C133)-N(F133))</f>
        <v/>
      </c>
      <c r="J133" s="340">
        <f>IF(COUNT(E133,H133)=0,"",N(H133)-N(E133))</f>
        <v/>
      </c>
      <c r="K133" s="240">
        <f>IF(AND(ISNUMBER(C133),ISNUMBER(D133),ISNUMBER(F133),ISNUMBER(G133),C133&gt;0,F133&gt;0),ROUND(MIN(C133,F133)*(G133-D133),8),"")</f>
        <v/>
      </c>
      <c r="L133" s="177">
        <f>IF(OR(NOT(ISNUMBER(K133)),COUNT(C133,F133,D133)&lt;3),"",IF(MIN(C133,F133)*D133&lt;=0,"",ROUND(K133/(MIN(C133,F133)*D133)*100,2)))</f>
        <v/>
      </c>
      <c r="M133" s="343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321" t="n"/>
      <c r="D134" s="322" t="n"/>
      <c r="E134" s="247">
        <f>IF(AND(ISNUMBER(C134),ISNUMBER(D134)),C134*D134,"")</f>
        <v/>
      </c>
      <c r="F134" s="321" t="n"/>
      <c r="G134" s="322" t="n"/>
      <c r="H134" s="247">
        <f>IF(AND(ISNUMBER(F134),ISNUMBER(G134)),F134*G134,"")</f>
        <v/>
      </c>
      <c r="I134" s="341">
        <f>IF(COUNT(C134,F134)=0,"",N(C134)-N(F134))</f>
        <v/>
      </c>
      <c r="J134" s="342">
        <f>IF(COUNT(E134,H134)=0,"",N(H134)-N(E134))</f>
        <v/>
      </c>
      <c r="K134" s="246">
        <f>IF(AND(ISNUMBER(C134),ISNUMBER(D134),ISNUMBER(F134),ISNUMBER(G134),C134&gt;0,F134&gt;0),ROUND(MIN(C134,F134)*(G134-D134),8),"")</f>
        <v/>
      </c>
      <c r="L134" s="183">
        <f>IF(OR(NOT(ISNUMBER(K134)),COUNT(C134,F134,D134)&lt;3),"",IF(MIN(C134,F134)*D134&lt;=0,"",ROUND(K134/(MIN(C134,F134)*D134)*100,2)))</f>
        <v/>
      </c>
      <c r="M134" s="344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316" t="n"/>
      <c r="D135" s="317" t="n"/>
      <c r="E135" s="241">
        <f>IF(AND(ISNUMBER(C135),ISNUMBER(D135)),C135*D135,"")</f>
        <v/>
      </c>
      <c r="F135" s="316" t="n"/>
      <c r="G135" s="317" t="n"/>
      <c r="H135" s="241">
        <f>IF(AND(ISNUMBER(F135),ISNUMBER(G135)),F135*G135,"")</f>
        <v/>
      </c>
      <c r="I135" s="339">
        <f>IF(COUNT(C135,F135)=0,"",N(C135)-N(F135))</f>
        <v/>
      </c>
      <c r="J135" s="340">
        <f>IF(COUNT(E135,H135)=0,"",N(H135)-N(E135))</f>
        <v/>
      </c>
      <c r="K135" s="240">
        <f>IF(AND(ISNUMBER(C135),ISNUMBER(D135),ISNUMBER(F135),ISNUMBER(G135),C135&gt;0,F135&gt;0),ROUND(MIN(C135,F135)*(G135-D135),8),"")</f>
        <v/>
      </c>
      <c r="L135" s="177">
        <f>IF(OR(NOT(ISNUMBER(K135)),COUNT(C135,F135,D135)&lt;3),"",IF(MIN(C135,F135)*D135&lt;=0,"",ROUND(K135/(MIN(C135,F135)*D135)*100,2)))</f>
        <v/>
      </c>
      <c r="M135" s="343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321" t="n"/>
      <c r="D136" s="322" t="n"/>
      <c r="E136" s="247">
        <f>IF(AND(ISNUMBER(C136),ISNUMBER(D136)),C136*D136,"")</f>
        <v/>
      </c>
      <c r="F136" s="321" t="n"/>
      <c r="G136" s="322" t="n"/>
      <c r="H136" s="247">
        <f>IF(AND(ISNUMBER(F136),ISNUMBER(G136)),F136*G136,"")</f>
        <v/>
      </c>
      <c r="I136" s="341">
        <f>IF(COUNT(C136,F136)=0,"",N(C136)-N(F136))</f>
        <v/>
      </c>
      <c r="J136" s="342">
        <f>IF(COUNT(E136,H136)=0,"",N(H136)-N(E136))</f>
        <v/>
      </c>
      <c r="K136" s="246">
        <f>IF(AND(ISNUMBER(C136),ISNUMBER(D136),ISNUMBER(F136),ISNUMBER(G136),C136&gt;0,F136&gt;0),ROUND(MIN(C136,F136)*(G136-D136),8),"")</f>
        <v/>
      </c>
      <c r="L136" s="183">
        <f>IF(OR(NOT(ISNUMBER(K136)),COUNT(C136,F136,D136)&lt;3),"",IF(MIN(C136,F136)*D136&lt;=0,"",ROUND(K136/(MIN(C136,F136)*D136)*100,2)))</f>
        <v/>
      </c>
      <c r="M136" s="344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316" t="n"/>
      <c r="D137" s="317" t="n"/>
      <c r="E137" s="241">
        <f>IF(AND(ISNUMBER(C137),ISNUMBER(D137)),C137*D137,"")</f>
        <v/>
      </c>
      <c r="F137" s="316" t="n"/>
      <c r="G137" s="317" t="n"/>
      <c r="H137" s="241">
        <f>IF(AND(ISNUMBER(F137),ISNUMBER(G137)),F137*G137,"")</f>
        <v/>
      </c>
      <c r="I137" s="339">
        <f>IF(COUNT(C137,F137)=0,"",N(C137)-N(F137))</f>
        <v/>
      </c>
      <c r="J137" s="340">
        <f>IF(COUNT(E137,H137)=0,"",N(H137)-N(E137))</f>
        <v/>
      </c>
      <c r="K137" s="240">
        <f>IF(AND(ISNUMBER(C137),ISNUMBER(D137),ISNUMBER(F137),ISNUMBER(G137),C137&gt;0,F137&gt;0),ROUND(MIN(C137,F137)*(G137-D137),8),"")</f>
        <v/>
      </c>
      <c r="L137" s="177">
        <f>IF(OR(NOT(ISNUMBER(K137)),COUNT(C137,F137,D137)&lt;3),"",IF(MIN(C137,F137)*D137&lt;=0,"",ROUND(K137/(MIN(C137,F137)*D137)*100,2)))</f>
        <v/>
      </c>
      <c r="M137" s="343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321" t="n"/>
      <c r="D138" s="322" t="n"/>
      <c r="E138" s="247">
        <f>IF(AND(ISNUMBER(C138),ISNUMBER(D138)),C138*D138,"")</f>
        <v/>
      </c>
      <c r="F138" s="321" t="n"/>
      <c r="G138" s="322" t="n"/>
      <c r="H138" s="247">
        <f>IF(AND(ISNUMBER(F138),ISNUMBER(G138)),F138*G138,"")</f>
        <v/>
      </c>
      <c r="I138" s="341">
        <f>IF(COUNT(C138,F138)=0,"",N(C138)-N(F138))</f>
        <v/>
      </c>
      <c r="J138" s="342">
        <f>IF(COUNT(E138,H138)=0,"",N(H138)-N(E138))</f>
        <v/>
      </c>
      <c r="K138" s="246">
        <f>IF(AND(ISNUMBER(C138),ISNUMBER(D138),ISNUMBER(F138),ISNUMBER(G138),C138&gt;0,F138&gt;0),ROUND(MIN(C138,F138)*(G138-D138),8),"")</f>
        <v/>
      </c>
      <c r="L138" s="183">
        <f>IF(OR(NOT(ISNUMBER(K138)),COUNT(C138,F138,D138)&lt;3),"",IF(MIN(C138,F138)*D138&lt;=0,"",ROUND(K138/(MIN(C138,F138)*D138)*100,2)))</f>
        <v/>
      </c>
      <c r="M138" s="344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316" t="n"/>
      <c r="D139" s="317" t="n"/>
      <c r="E139" s="241">
        <f>IF(AND(ISNUMBER(C139),ISNUMBER(D139)),C139*D139,"")</f>
        <v/>
      </c>
      <c r="F139" s="316" t="n"/>
      <c r="G139" s="317" t="n"/>
      <c r="H139" s="241">
        <f>IF(AND(ISNUMBER(F139),ISNUMBER(G139)),F139*G139,"")</f>
        <v/>
      </c>
      <c r="I139" s="339">
        <f>IF(COUNT(C139,F139)=0,"",N(C139)-N(F139))</f>
        <v/>
      </c>
      <c r="J139" s="340">
        <f>IF(COUNT(E139,H139)=0,"",N(H139)-N(E139))</f>
        <v/>
      </c>
      <c r="K139" s="240">
        <f>IF(AND(ISNUMBER(C139),ISNUMBER(D139),ISNUMBER(F139),ISNUMBER(G139),C139&gt;0,F139&gt;0),ROUND(MIN(C139,F139)*(G139-D139),8),"")</f>
        <v/>
      </c>
      <c r="L139" s="177">
        <f>IF(OR(NOT(ISNUMBER(K139)),COUNT(C139,F139,D139)&lt;3),"",IF(MIN(C139,F139)*D139&lt;=0,"",ROUND(K139/(MIN(C139,F139)*D139)*100,2)))</f>
        <v/>
      </c>
      <c r="M139" s="343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321" t="n"/>
      <c r="D140" s="322" t="n"/>
      <c r="E140" s="247">
        <f>IF(AND(ISNUMBER(C140),ISNUMBER(D140)),C140*D140,"")</f>
        <v/>
      </c>
      <c r="F140" s="321" t="n"/>
      <c r="G140" s="322" t="n"/>
      <c r="H140" s="247">
        <f>IF(AND(ISNUMBER(F140),ISNUMBER(G140)),F140*G140,"")</f>
        <v/>
      </c>
      <c r="I140" s="341">
        <f>IF(COUNT(C140,F140)=0,"",N(C140)-N(F140))</f>
        <v/>
      </c>
      <c r="J140" s="342">
        <f>IF(COUNT(E140,H140)=0,"",N(H140)-N(E140))</f>
        <v/>
      </c>
      <c r="K140" s="246">
        <f>IF(AND(ISNUMBER(C140),ISNUMBER(D140),ISNUMBER(F140),ISNUMBER(G140),C140&gt;0,F140&gt;0),ROUND(MIN(C140,F140)*(G140-D140),8),"")</f>
        <v/>
      </c>
      <c r="L140" s="183">
        <f>IF(OR(NOT(ISNUMBER(K140)),COUNT(C140,F140,D140)&lt;3),"",IF(MIN(C140,F140)*D140&lt;=0,"",ROUND(K140/(MIN(C140,F140)*D140)*100,2)))</f>
        <v/>
      </c>
      <c r="M140" s="344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316" t="n"/>
      <c r="D141" s="317" t="n"/>
      <c r="E141" s="241">
        <f>IF(AND(ISNUMBER(C141),ISNUMBER(D141)),C141*D141,"")</f>
        <v/>
      </c>
      <c r="F141" s="316" t="n"/>
      <c r="G141" s="317" t="n"/>
      <c r="H141" s="241">
        <f>IF(AND(ISNUMBER(F141),ISNUMBER(G141)),F141*G141,"")</f>
        <v/>
      </c>
      <c r="I141" s="339">
        <f>IF(COUNT(C141,F141)=0,"",N(C141)-N(F141))</f>
        <v/>
      </c>
      <c r="J141" s="340">
        <f>IF(COUNT(E141,H141)=0,"",N(H141)-N(E141))</f>
        <v/>
      </c>
      <c r="K141" s="240">
        <f>IF(AND(ISNUMBER(C141),ISNUMBER(D141),ISNUMBER(F141),ISNUMBER(G141),C141&gt;0,F141&gt;0),ROUND(MIN(C141,F141)*(G141-D141),8),"")</f>
        <v/>
      </c>
      <c r="L141" s="177">
        <f>IF(OR(NOT(ISNUMBER(K141)),COUNT(C141,F141,D141)&lt;3),"",IF(MIN(C141,F141)*D141&lt;=0,"",ROUND(K141/(MIN(C141,F141)*D141)*100,2)))</f>
        <v/>
      </c>
      <c r="M141" s="343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321" t="n"/>
      <c r="D142" s="322" t="n"/>
      <c r="E142" s="247">
        <f>IF(AND(ISNUMBER(C142),ISNUMBER(D142)),C142*D142,"")</f>
        <v/>
      </c>
      <c r="F142" s="321" t="n"/>
      <c r="G142" s="322" t="n"/>
      <c r="H142" s="247">
        <f>IF(AND(ISNUMBER(F142),ISNUMBER(G142)),F142*G142,"")</f>
        <v/>
      </c>
      <c r="I142" s="341">
        <f>IF(COUNT(C142,F142)=0,"",N(C142)-N(F142))</f>
        <v/>
      </c>
      <c r="J142" s="342">
        <f>IF(COUNT(E142,H142)=0,"",N(H142)-N(E142))</f>
        <v/>
      </c>
      <c r="K142" s="246">
        <f>IF(AND(ISNUMBER(C142),ISNUMBER(D142),ISNUMBER(F142),ISNUMBER(G142),C142&gt;0,F142&gt;0),ROUND(MIN(C142,F142)*(G142-D142),8),"")</f>
        <v/>
      </c>
      <c r="L142" s="183">
        <f>IF(OR(NOT(ISNUMBER(K142)),COUNT(C142,F142,D142)&lt;3),"",IF(MIN(C142,F142)*D142&lt;=0,"",ROUND(K142/(MIN(C142,F142)*D142)*100,2)))</f>
        <v/>
      </c>
      <c r="M142" s="344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316" t="n"/>
      <c r="D143" s="317" t="n"/>
      <c r="E143" s="241">
        <f>IF(AND(ISNUMBER(C143),ISNUMBER(D143)),C143*D143,"")</f>
        <v/>
      </c>
      <c r="F143" s="316" t="n"/>
      <c r="G143" s="317" t="n"/>
      <c r="H143" s="241">
        <f>IF(AND(ISNUMBER(F143),ISNUMBER(G143)),F143*G143,"")</f>
        <v/>
      </c>
      <c r="I143" s="339">
        <f>IF(COUNT(C143,F143)=0,"",N(C143)-N(F143))</f>
        <v/>
      </c>
      <c r="J143" s="340">
        <f>IF(COUNT(E143,H143)=0,"",N(H143)-N(E143))</f>
        <v/>
      </c>
      <c r="K143" s="240">
        <f>IF(AND(ISNUMBER(C143),ISNUMBER(D143),ISNUMBER(F143),ISNUMBER(G143),C143&gt;0,F143&gt;0),ROUND(MIN(C143,F143)*(G143-D143),8),"")</f>
        <v/>
      </c>
      <c r="L143" s="177">
        <f>IF(OR(NOT(ISNUMBER(K143)),COUNT(C143,F143,D143)&lt;3),"",IF(MIN(C143,F143)*D143&lt;=0,"",ROUND(K143/(MIN(C143,F143)*D143)*100,2)))</f>
        <v/>
      </c>
      <c r="M143" s="343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321" t="n"/>
      <c r="D144" s="322" t="n"/>
      <c r="E144" s="247">
        <f>IF(AND(ISNUMBER(C144),ISNUMBER(D144)),C144*D144,"")</f>
        <v/>
      </c>
      <c r="F144" s="321" t="n"/>
      <c r="G144" s="322" t="n"/>
      <c r="H144" s="247">
        <f>IF(AND(ISNUMBER(F144),ISNUMBER(G144)),F144*G144,"")</f>
        <v/>
      </c>
      <c r="I144" s="341">
        <f>IF(COUNT(C144,F144)=0,"",N(C144)-N(F144))</f>
        <v/>
      </c>
      <c r="J144" s="342">
        <f>IF(COUNT(E144,H144)=0,"",N(H144)-N(E144))</f>
        <v/>
      </c>
      <c r="K144" s="246">
        <f>IF(AND(ISNUMBER(C144),ISNUMBER(D144),ISNUMBER(F144),ISNUMBER(G144),C144&gt;0,F144&gt;0),ROUND(MIN(C144,F144)*(G144-D144),8),"")</f>
        <v/>
      </c>
      <c r="L144" s="183">
        <f>IF(OR(NOT(ISNUMBER(K144)),COUNT(C144,F144,D144)&lt;3),"",IF(MIN(C144,F144)*D144&lt;=0,"",ROUND(K144/(MIN(C144,F144)*D144)*100,2)))</f>
        <v/>
      </c>
      <c r="M144" s="344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316" t="n"/>
      <c r="D145" s="317" t="n"/>
      <c r="E145" s="241">
        <f>IF(AND(ISNUMBER(C145),ISNUMBER(D145)),C145*D145,"")</f>
        <v/>
      </c>
      <c r="F145" s="316" t="n"/>
      <c r="G145" s="317" t="n"/>
      <c r="H145" s="241">
        <f>IF(AND(ISNUMBER(F145),ISNUMBER(G145)),F145*G145,"")</f>
        <v/>
      </c>
      <c r="I145" s="339">
        <f>IF(COUNT(C145,F145)=0,"",N(C145)-N(F145))</f>
        <v/>
      </c>
      <c r="J145" s="340">
        <f>IF(COUNT(E145,H145)=0,"",N(H145)-N(E145))</f>
        <v/>
      </c>
      <c r="K145" s="240">
        <f>IF(AND(ISNUMBER(C145),ISNUMBER(D145),ISNUMBER(F145),ISNUMBER(G145),C145&gt;0,F145&gt;0),ROUND(MIN(C145,F145)*(G145-D145),8),"")</f>
        <v/>
      </c>
      <c r="L145" s="177">
        <f>IF(OR(NOT(ISNUMBER(K145)),COUNT(C145,F145,D145)&lt;3),"",IF(MIN(C145,F145)*D145&lt;=0,"",ROUND(K145/(MIN(C145,F145)*D145)*100,2)))</f>
        <v/>
      </c>
      <c r="M145" s="343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321" t="n"/>
      <c r="D146" s="322" t="n"/>
      <c r="E146" s="247">
        <f>IF(AND(ISNUMBER(C146),ISNUMBER(D146)),C146*D146,"")</f>
        <v/>
      </c>
      <c r="F146" s="321" t="n"/>
      <c r="G146" s="322" t="n"/>
      <c r="H146" s="247">
        <f>IF(AND(ISNUMBER(F146),ISNUMBER(G146)),F146*G146,"")</f>
        <v/>
      </c>
      <c r="I146" s="341">
        <f>IF(COUNT(C146,F146)=0,"",N(C146)-N(F146))</f>
        <v/>
      </c>
      <c r="J146" s="342">
        <f>IF(COUNT(E146,H146)=0,"",N(H146)-N(E146))</f>
        <v/>
      </c>
      <c r="K146" s="246">
        <f>IF(AND(ISNUMBER(C146),ISNUMBER(D146),ISNUMBER(F146),ISNUMBER(G146),C146&gt;0,F146&gt;0),ROUND(MIN(C146,F146)*(G146-D146),8),"")</f>
        <v/>
      </c>
      <c r="L146" s="183">
        <f>IF(OR(NOT(ISNUMBER(K146)),COUNT(C146,F146,D146)&lt;3),"",IF(MIN(C146,F146)*D146&lt;=0,"",ROUND(K146/(MIN(C146,F146)*D146)*100,2)))</f>
        <v/>
      </c>
      <c r="M146" s="344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316" t="n"/>
      <c r="D147" s="317" t="n"/>
      <c r="E147" s="241">
        <f>IF(AND(ISNUMBER(C147),ISNUMBER(D147)),C147*D147,"")</f>
        <v/>
      </c>
      <c r="F147" s="316" t="n"/>
      <c r="G147" s="317" t="n"/>
      <c r="H147" s="241">
        <f>IF(AND(ISNUMBER(F147),ISNUMBER(G147)),F147*G147,"")</f>
        <v/>
      </c>
      <c r="I147" s="339">
        <f>IF(COUNT(C147,F147)=0,"",N(C147)-N(F147))</f>
        <v/>
      </c>
      <c r="J147" s="340">
        <f>IF(COUNT(E147,H147)=0,"",N(H147)-N(E147))</f>
        <v/>
      </c>
      <c r="K147" s="240">
        <f>IF(AND(ISNUMBER(C147),ISNUMBER(D147),ISNUMBER(F147),ISNUMBER(G147),C147&gt;0,F147&gt;0),ROUND(MIN(C147,F147)*(G147-D147),8),"")</f>
        <v/>
      </c>
      <c r="L147" s="177">
        <f>IF(OR(NOT(ISNUMBER(K147)),COUNT(C147,F147,D147)&lt;3),"",IF(MIN(C147,F147)*D147&lt;=0,"",ROUND(K147/(MIN(C147,F147)*D147)*100,2)))</f>
        <v/>
      </c>
      <c r="M147" s="343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321" t="n"/>
      <c r="D148" s="322" t="n"/>
      <c r="E148" s="247">
        <f>IF(AND(ISNUMBER(C148),ISNUMBER(D148)),C148*D148,"")</f>
        <v/>
      </c>
      <c r="F148" s="321" t="n"/>
      <c r="G148" s="322" t="n"/>
      <c r="H148" s="247">
        <f>IF(AND(ISNUMBER(F148),ISNUMBER(G148)),F148*G148,"")</f>
        <v/>
      </c>
      <c r="I148" s="341">
        <f>IF(COUNT(C148,F148)=0,"",N(C148)-N(F148))</f>
        <v/>
      </c>
      <c r="J148" s="342">
        <f>IF(COUNT(E148,H148)=0,"",N(H148)-N(E148))</f>
        <v/>
      </c>
      <c r="K148" s="246">
        <f>IF(AND(ISNUMBER(C148),ISNUMBER(D148),ISNUMBER(F148),ISNUMBER(G148),C148&gt;0,F148&gt;0),ROUND(MIN(C148,F148)*(G148-D148),8),"")</f>
        <v/>
      </c>
      <c r="L148" s="183">
        <f>IF(OR(NOT(ISNUMBER(K148)),COUNT(C148,F148,D148)&lt;3),"",IF(MIN(C148,F148)*D148&lt;=0,"",ROUND(K148/(MIN(C148,F148)*D148)*100,2)))</f>
        <v/>
      </c>
      <c r="M148" s="344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316" t="n"/>
      <c r="D149" s="317" t="n"/>
      <c r="E149" s="241">
        <f>IF(AND(ISNUMBER(C149),ISNUMBER(D149)),C149*D149,"")</f>
        <v/>
      </c>
      <c r="F149" s="316" t="n"/>
      <c r="G149" s="317" t="n"/>
      <c r="H149" s="241">
        <f>IF(AND(ISNUMBER(F149),ISNUMBER(G149)),F149*G149,"")</f>
        <v/>
      </c>
      <c r="I149" s="339">
        <f>IF(COUNT(C149,F149)=0,"",N(C149)-N(F149))</f>
        <v/>
      </c>
      <c r="J149" s="340">
        <f>IF(COUNT(E149,H149)=0,"",N(H149)-N(E149))</f>
        <v/>
      </c>
      <c r="K149" s="240">
        <f>IF(AND(ISNUMBER(C149),ISNUMBER(D149),ISNUMBER(F149),ISNUMBER(G149),C149&gt;0,F149&gt;0),ROUND(MIN(C149,F149)*(G149-D149),8),"")</f>
        <v/>
      </c>
      <c r="L149" s="177">
        <f>IF(OR(NOT(ISNUMBER(K149)),COUNT(C149,F149,D149)&lt;3),"",IF(MIN(C149,F149)*D149&lt;=0,"",ROUND(K149/(MIN(C149,F149)*D149)*100,2)))</f>
        <v/>
      </c>
      <c r="M149" s="343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321" t="n"/>
      <c r="D150" s="322" t="n"/>
      <c r="E150" s="247">
        <f>IF(AND(ISNUMBER(C150),ISNUMBER(D150)),C150*D150,"")</f>
        <v/>
      </c>
      <c r="F150" s="321" t="n"/>
      <c r="G150" s="322" t="n"/>
      <c r="H150" s="247">
        <f>IF(AND(ISNUMBER(F150),ISNUMBER(G150)),F150*G150,"")</f>
        <v/>
      </c>
      <c r="I150" s="341">
        <f>IF(COUNT(C150,F150)=0,"",N(C150)-N(F150))</f>
        <v/>
      </c>
      <c r="J150" s="342">
        <f>IF(COUNT(E150,H150)=0,"",N(H150)-N(E150))</f>
        <v/>
      </c>
      <c r="K150" s="246">
        <f>IF(AND(ISNUMBER(C150),ISNUMBER(D150),ISNUMBER(F150),ISNUMBER(G150),C150&gt;0,F150&gt;0),ROUND(MIN(C150,F150)*(G150-D150),8),"")</f>
        <v/>
      </c>
      <c r="L150" s="183">
        <f>IF(OR(NOT(ISNUMBER(K150)),COUNT(C150,F150,D150)&lt;3),"",IF(MIN(C150,F150)*D150&lt;=0,"",ROUND(K150/(MIN(C150,F150)*D150)*100,2)))</f>
        <v/>
      </c>
      <c r="M150" s="344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316" t="n"/>
      <c r="D151" s="317" t="n"/>
      <c r="E151" s="241">
        <f>IF(AND(ISNUMBER(C151),ISNUMBER(D151)),C151*D151,"")</f>
        <v/>
      </c>
      <c r="F151" s="316" t="n"/>
      <c r="G151" s="317" t="n"/>
      <c r="H151" s="241">
        <f>IF(AND(ISNUMBER(F151),ISNUMBER(G151)),F151*G151,"")</f>
        <v/>
      </c>
      <c r="I151" s="339">
        <f>IF(COUNT(C151,F151)=0,"",N(C151)-N(F151))</f>
        <v/>
      </c>
      <c r="J151" s="340">
        <f>IF(COUNT(E151,H151)=0,"",N(H151)-N(E151))</f>
        <v/>
      </c>
      <c r="K151" s="240">
        <f>IF(AND(ISNUMBER(C151),ISNUMBER(D151),ISNUMBER(F151),ISNUMBER(G151),C151&gt;0,F151&gt;0),ROUND(MIN(C151,F151)*(G151-D151),8),"")</f>
        <v/>
      </c>
      <c r="L151" s="177">
        <f>IF(OR(NOT(ISNUMBER(K151)),COUNT(C151,F151,D151)&lt;3),"",IF(MIN(C151,F151)*D151&lt;=0,"",ROUND(K151/(MIN(C151,F151)*D151)*100,2)))</f>
        <v/>
      </c>
      <c r="M151" s="343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321" t="n"/>
      <c r="D152" s="322" t="n"/>
      <c r="E152" s="247">
        <f>IF(AND(ISNUMBER(C152),ISNUMBER(D152)),C152*D152,"")</f>
        <v/>
      </c>
      <c r="F152" s="321" t="n"/>
      <c r="G152" s="322" t="n"/>
      <c r="H152" s="247">
        <f>IF(AND(ISNUMBER(F152),ISNUMBER(G152)),F152*G152,"")</f>
        <v/>
      </c>
      <c r="I152" s="341">
        <f>IF(COUNT(C152,F152)=0,"",N(C152)-N(F152))</f>
        <v/>
      </c>
      <c r="J152" s="342">
        <f>IF(COUNT(E152,H152)=0,"",N(H152)-N(E152))</f>
        <v/>
      </c>
      <c r="K152" s="246">
        <f>IF(AND(ISNUMBER(C152),ISNUMBER(D152),ISNUMBER(F152),ISNUMBER(G152),C152&gt;0,F152&gt;0),ROUND(MIN(C152,F152)*(G152-D152),8),"")</f>
        <v/>
      </c>
      <c r="L152" s="183">
        <f>IF(OR(NOT(ISNUMBER(K152)),COUNT(C152,F152,D152)&lt;3),"",IF(MIN(C152,F152)*D152&lt;=0,"",ROUND(K152/(MIN(C152,F152)*D152)*100,2)))</f>
        <v/>
      </c>
      <c r="M152" s="344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316" t="n"/>
      <c r="D153" s="317" t="n"/>
      <c r="E153" s="241">
        <f>IF(AND(ISNUMBER(C153),ISNUMBER(D153)),C153*D153,"")</f>
        <v/>
      </c>
      <c r="F153" s="316" t="n"/>
      <c r="G153" s="317" t="n"/>
      <c r="H153" s="241">
        <f>IF(AND(ISNUMBER(F153),ISNUMBER(G153)),F153*G153,"")</f>
        <v/>
      </c>
      <c r="I153" s="339">
        <f>IF(COUNT(C153,F153)=0,"",N(C153)-N(F153))</f>
        <v/>
      </c>
      <c r="J153" s="340">
        <f>IF(COUNT(E153,H153)=0,"",N(H153)-N(E153))</f>
        <v/>
      </c>
      <c r="K153" s="240">
        <f>IF(AND(ISNUMBER(C153),ISNUMBER(D153),ISNUMBER(F153),ISNUMBER(G153),C153&gt;0,F153&gt;0),ROUND(MIN(C153,F153)*(G153-D153),8),"")</f>
        <v/>
      </c>
      <c r="L153" s="177">
        <f>IF(OR(NOT(ISNUMBER(K153)),COUNT(C153,F153,D153)&lt;3),"",IF(MIN(C153,F153)*D153&lt;=0,"",ROUND(K153/(MIN(C153,F153)*D153)*100,2)))</f>
        <v/>
      </c>
      <c r="M153" s="343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321" t="n"/>
      <c r="D154" s="322" t="n"/>
      <c r="E154" s="247">
        <f>IF(AND(ISNUMBER(C154),ISNUMBER(D154)),C154*D154,"")</f>
        <v/>
      </c>
      <c r="F154" s="321" t="n"/>
      <c r="G154" s="322" t="n"/>
      <c r="H154" s="247">
        <f>IF(AND(ISNUMBER(F154),ISNUMBER(G154)),F154*G154,"")</f>
        <v/>
      </c>
      <c r="I154" s="341">
        <f>IF(COUNT(C154,F154)=0,"",N(C154)-N(F154))</f>
        <v/>
      </c>
      <c r="J154" s="342">
        <f>IF(COUNT(E154,H154)=0,"",N(H154)-N(E154))</f>
        <v/>
      </c>
      <c r="K154" s="246">
        <f>IF(AND(ISNUMBER(C154),ISNUMBER(D154),ISNUMBER(F154),ISNUMBER(G154),C154&gt;0,F154&gt;0),ROUND(MIN(C154,F154)*(G154-D154),8),"")</f>
        <v/>
      </c>
      <c r="L154" s="183">
        <f>IF(OR(NOT(ISNUMBER(K154)),COUNT(C154,F154,D154)&lt;3),"",IF(MIN(C154,F154)*D154&lt;=0,"",ROUND(K154/(MIN(C154,F154)*D154)*100,2)))</f>
        <v/>
      </c>
      <c r="M154" s="344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316" t="n"/>
      <c r="D155" s="317" t="n"/>
      <c r="E155" s="241">
        <f>IF(AND(ISNUMBER(C155),ISNUMBER(D155)),C155*D155,"")</f>
        <v/>
      </c>
      <c r="F155" s="316" t="n"/>
      <c r="G155" s="317" t="n"/>
      <c r="H155" s="241">
        <f>IF(AND(ISNUMBER(F155),ISNUMBER(G155)),F155*G155,"")</f>
        <v/>
      </c>
      <c r="I155" s="339">
        <f>IF(COUNT(C155,F155)=0,"",N(C155)-N(F155))</f>
        <v/>
      </c>
      <c r="J155" s="340">
        <f>IF(COUNT(E155,H155)=0,"",N(H155)-N(E155))</f>
        <v/>
      </c>
      <c r="K155" s="240">
        <f>IF(AND(ISNUMBER(C155),ISNUMBER(D155),ISNUMBER(F155),ISNUMBER(G155),C155&gt;0,F155&gt;0),ROUND(MIN(C155,F155)*(G155-D155),8),"")</f>
        <v/>
      </c>
      <c r="L155" s="177">
        <f>IF(OR(NOT(ISNUMBER(K155)),COUNT(C155,F155,D155)&lt;3),"",IF(MIN(C155,F155)*D155&lt;=0,"",ROUND(K155/(MIN(C155,F155)*D155)*100,2)))</f>
        <v/>
      </c>
      <c r="M155" s="343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321" t="n"/>
      <c r="D156" s="322" t="n"/>
      <c r="E156" s="247">
        <f>IF(AND(ISNUMBER(C156),ISNUMBER(D156)),C156*D156,"")</f>
        <v/>
      </c>
      <c r="F156" s="321" t="n"/>
      <c r="G156" s="322" t="n"/>
      <c r="H156" s="247">
        <f>IF(AND(ISNUMBER(F156),ISNUMBER(G156)),F156*G156,"")</f>
        <v/>
      </c>
      <c r="I156" s="341">
        <f>IF(COUNT(C156,F156)=0,"",N(C156)-N(F156))</f>
        <v/>
      </c>
      <c r="J156" s="342">
        <f>IF(COUNT(E156,H156)=0,"",N(H156)-N(E156))</f>
        <v/>
      </c>
      <c r="K156" s="246">
        <f>IF(AND(ISNUMBER(C156),ISNUMBER(D156),ISNUMBER(F156),ISNUMBER(G156),C156&gt;0,F156&gt;0),ROUND(MIN(C156,F156)*(G156-D156),8),"")</f>
        <v/>
      </c>
      <c r="L156" s="183">
        <f>IF(OR(NOT(ISNUMBER(K156)),COUNT(C156,F156,D156)&lt;3),"",IF(MIN(C156,F156)*D156&lt;=0,"",ROUND(K156/(MIN(C156,F156)*D156)*100,2)))</f>
        <v/>
      </c>
      <c r="M156" s="344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316" t="n"/>
      <c r="D157" s="317" t="n"/>
      <c r="E157" s="241">
        <f>IF(AND(ISNUMBER(C157),ISNUMBER(D157)),C157*D157,"")</f>
        <v/>
      </c>
      <c r="F157" s="316" t="n"/>
      <c r="G157" s="317" t="n"/>
      <c r="H157" s="241">
        <f>IF(AND(ISNUMBER(F157),ISNUMBER(G157)),F157*G157,"")</f>
        <v/>
      </c>
      <c r="I157" s="339">
        <f>IF(COUNT(C157,F157)=0,"",N(C157)-N(F157))</f>
        <v/>
      </c>
      <c r="J157" s="340">
        <f>IF(COUNT(E157,H157)=0,"",N(H157)-N(E157))</f>
        <v/>
      </c>
      <c r="K157" s="240">
        <f>IF(AND(ISNUMBER(C157),ISNUMBER(D157),ISNUMBER(F157),ISNUMBER(G157),C157&gt;0,F157&gt;0),ROUND(MIN(C157,F157)*(G157-D157),8),"")</f>
        <v/>
      </c>
      <c r="L157" s="177">
        <f>IF(OR(NOT(ISNUMBER(K157)),COUNT(C157,F157,D157)&lt;3),"",IF(MIN(C157,F157)*D157&lt;=0,"",ROUND(K157/(MIN(C157,F157)*D157)*100,2)))</f>
        <v/>
      </c>
      <c r="M157" s="343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321" t="n"/>
      <c r="D158" s="322" t="n"/>
      <c r="E158" s="247">
        <f>IF(AND(ISNUMBER(C158),ISNUMBER(D158)),C158*D158,"")</f>
        <v/>
      </c>
      <c r="F158" s="321" t="n"/>
      <c r="G158" s="322" t="n"/>
      <c r="H158" s="247">
        <f>IF(AND(ISNUMBER(F158),ISNUMBER(G158)),F158*G158,"")</f>
        <v/>
      </c>
      <c r="I158" s="341">
        <f>IF(COUNT(C158,F158)=0,"",N(C158)-N(F158))</f>
        <v/>
      </c>
      <c r="J158" s="342">
        <f>IF(COUNT(E158,H158)=0,"",N(H158)-N(E158))</f>
        <v/>
      </c>
      <c r="K158" s="246">
        <f>IF(AND(ISNUMBER(C158),ISNUMBER(D158),ISNUMBER(F158),ISNUMBER(G158),C158&gt;0,F158&gt;0),ROUND(MIN(C158,F158)*(G158-D158),8),"")</f>
        <v/>
      </c>
      <c r="L158" s="183">
        <f>IF(OR(NOT(ISNUMBER(K158)),COUNT(C158,F158,D158)&lt;3),"",IF(MIN(C158,F158)*D158&lt;=0,"",ROUND(K158/(MIN(C158,F158)*D158)*100,2)))</f>
        <v/>
      </c>
      <c r="M158" s="344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316" t="n"/>
      <c r="D159" s="317" t="n"/>
      <c r="E159" s="241">
        <f>IF(AND(ISNUMBER(C159),ISNUMBER(D159)),C159*D159,"")</f>
        <v/>
      </c>
      <c r="F159" s="316" t="n"/>
      <c r="G159" s="317" t="n"/>
      <c r="H159" s="241">
        <f>IF(AND(ISNUMBER(F159),ISNUMBER(G159)),F159*G159,"")</f>
        <v/>
      </c>
      <c r="I159" s="339">
        <f>IF(COUNT(C159,F159)=0,"",N(C159)-N(F159))</f>
        <v/>
      </c>
      <c r="J159" s="340">
        <f>IF(COUNT(E159,H159)=0,"",N(H159)-N(E159))</f>
        <v/>
      </c>
      <c r="K159" s="240">
        <f>IF(AND(ISNUMBER(C159),ISNUMBER(D159),ISNUMBER(F159),ISNUMBER(G159),C159&gt;0,F159&gt;0),ROUND(MIN(C159,F159)*(G159-D159),8),"")</f>
        <v/>
      </c>
      <c r="L159" s="177">
        <f>IF(OR(NOT(ISNUMBER(K159)),COUNT(C159,F159,D159)&lt;3),"",IF(MIN(C159,F159)*D159&lt;=0,"",ROUND(K159/(MIN(C159,F159)*D159)*100,2)))</f>
        <v/>
      </c>
      <c r="M159" s="343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321" t="n"/>
      <c r="D160" s="322" t="n"/>
      <c r="E160" s="247">
        <f>IF(AND(ISNUMBER(C160),ISNUMBER(D160)),C160*D160,"")</f>
        <v/>
      </c>
      <c r="F160" s="321" t="n"/>
      <c r="G160" s="322" t="n"/>
      <c r="H160" s="247">
        <f>IF(AND(ISNUMBER(F160),ISNUMBER(G160)),F160*G160,"")</f>
        <v/>
      </c>
      <c r="I160" s="341">
        <f>IF(COUNT(C160,F160)=0,"",N(C160)-N(F160))</f>
        <v/>
      </c>
      <c r="J160" s="342">
        <f>IF(COUNT(E160,H160)=0,"",N(H160)-N(E160))</f>
        <v/>
      </c>
      <c r="K160" s="246">
        <f>IF(AND(ISNUMBER(C160),ISNUMBER(D160),ISNUMBER(F160),ISNUMBER(G160),C160&gt;0,F160&gt;0),ROUND(MIN(C160,F160)*(G160-D160),8),"")</f>
        <v/>
      </c>
      <c r="L160" s="183">
        <f>IF(OR(NOT(ISNUMBER(K160)),COUNT(C160,F160,D160)&lt;3),"",IF(MIN(C160,F160)*D160&lt;=0,"",ROUND(K160/(MIN(C160,F160)*D160)*100,2)))</f>
        <v/>
      </c>
      <c r="M160" s="344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316" t="n"/>
      <c r="D161" s="317" t="n"/>
      <c r="E161" s="241">
        <f>IF(AND(ISNUMBER(C161),ISNUMBER(D161)),C161*D161,"")</f>
        <v/>
      </c>
      <c r="F161" s="316" t="n"/>
      <c r="G161" s="317" t="n"/>
      <c r="H161" s="241">
        <f>IF(AND(ISNUMBER(F161),ISNUMBER(G161)),F161*G161,"")</f>
        <v/>
      </c>
      <c r="I161" s="339">
        <f>IF(COUNT(C161,F161)=0,"",N(C161)-N(F161))</f>
        <v/>
      </c>
      <c r="J161" s="340">
        <f>IF(COUNT(E161,H161)=0,"",N(H161)-N(E161))</f>
        <v/>
      </c>
      <c r="K161" s="240">
        <f>IF(AND(ISNUMBER(C161),ISNUMBER(D161),ISNUMBER(F161),ISNUMBER(G161),C161&gt;0,F161&gt;0),ROUND(MIN(C161,F161)*(G161-D161),8),"")</f>
        <v/>
      </c>
      <c r="L161" s="177">
        <f>IF(OR(NOT(ISNUMBER(K161)),COUNT(C161,F161,D161)&lt;3),"",IF(MIN(C161,F161)*D161&lt;=0,"",ROUND(K161/(MIN(C161,F161)*D161)*100,2)))</f>
        <v/>
      </c>
      <c r="M161" s="343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321" t="n"/>
      <c r="D162" s="322" t="n"/>
      <c r="E162" s="247">
        <f>IF(AND(ISNUMBER(C162),ISNUMBER(D162)),C162*D162,"")</f>
        <v/>
      </c>
      <c r="F162" s="321" t="n"/>
      <c r="G162" s="322" t="n"/>
      <c r="H162" s="247">
        <f>IF(AND(ISNUMBER(F162),ISNUMBER(G162)),F162*G162,"")</f>
        <v/>
      </c>
      <c r="I162" s="341">
        <f>IF(COUNT(C162,F162)=0,"",N(C162)-N(F162))</f>
        <v/>
      </c>
      <c r="J162" s="342">
        <f>IF(COUNT(E162,H162)=0,"",N(H162)-N(E162))</f>
        <v/>
      </c>
      <c r="K162" s="246">
        <f>IF(AND(ISNUMBER(C162),ISNUMBER(D162),ISNUMBER(F162),ISNUMBER(G162),C162&gt;0,F162&gt;0),ROUND(MIN(C162,F162)*(G162-D162),8),"")</f>
        <v/>
      </c>
      <c r="L162" s="183">
        <f>IF(OR(NOT(ISNUMBER(K162)),COUNT(C162,F162,D162)&lt;3),"",IF(MIN(C162,F162)*D162&lt;=0,"",ROUND(K162/(MIN(C162,F162)*D162)*100,2)))</f>
        <v/>
      </c>
      <c r="M162" s="344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316" t="n"/>
      <c r="D163" s="317" t="n"/>
      <c r="E163" s="241">
        <f>IF(AND(ISNUMBER(C163),ISNUMBER(D163)),C163*D163,"")</f>
        <v/>
      </c>
      <c r="F163" s="316" t="n"/>
      <c r="G163" s="317" t="n"/>
      <c r="H163" s="241">
        <f>IF(AND(ISNUMBER(F163),ISNUMBER(G163)),F163*G163,"")</f>
        <v/>
      </c>
      <c r="I163" s="339">
        <f>IF(COUNT(C163,F163)=0,"",N(C163)-N(F163))</f>
        <v/>
      </c>
      <c r="J163" s="340">
        <f>IF(COUNT(E163,H163)=0,"",N(H163)-N(E163))</f>
        <v/>
      </c>
      <c r="K163" s="240">
        <f>IF(AND(ISNUMBER(C163),ISNUMBER(D163),ISNUMBER(F163),ISNUMBER(G163),C163&gt;0,F163&gt;0),ROUND(MIN(C163,F163)*(G163-D163),8),"")</f>
        <v/>
      </c>
      <c r="L163" s="177">
        <f>IF(OR(NOT(ISNUMBER(K163)),COUNT(C163,F163,D163)&lt;3),"",IF(MIN(C163,F163)*D163&lt;=0,"",ROUND(K163/(MIN(C163,F163)*D163)*100,2)))</f>
        <v/>
      </c>
      <c r="M163" s="343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321" t="n"/>
      <c r="D164" s="322" t="n"/>
      <c r="E164" s="247">
        <f>IF(AND(ISNUMBER(C164),ISNUMBER(D164)),C164*D164,"")</f>
        <v/>
      </c>
      <c r="F164" s="321" t="n"/>
      <c r="G164" s="322" t="n"/>
      <c r="H164" s="247">
        <f>IF(AND(ISNUMBER(F164),ISNUMBER(G164)),F164*G164,"")</f>
        <v/>
      </c>
      <c r="I164" s="341">
        <f>IF(COUNT(C164,F164)=0,"",N(C164)-N(F164))</f>
        <v/>
      </c>
      <c r="J164" s="342">
        <f>IF(COUNT(E164,H164)=0,"",N(H164)-N(E164))</f>
        <v/>
      </c>
      <c r="K164" s="246">
        <f>IF(AND(ISNUMBER(C164),ISNUMBER(D164),ISNUMBER(F164),ISNUMBER(G164),C164&gt;0,F164&gt;0),ROUND(MIN(C164,F164)*(G164-D164),8),"")</f>
        <v/>
      </c>
      <c r="L164" s="183">
        <f>IF(OR(NOT(ISNUMBER(K164)),COUNT(C164,F164,D164)&lt;3),"",IF(MIN(C164,F164)*D164&lt;=0,"",ROUND(K164/(MIN(C164,F164)*D164)*100,2)))</f>
        <v/>
      </c>
      <c r="M164" s="344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316" t="n"/>
      <c r="D165" s="317" t="n"/>
      <c r="E165" s="241">
        <f>IF(AND(ISNUMBER(C165),ISNUMBER(D165)),C165*D165,"")</f>
        <v/>
      </c>
      <c r="F165" s="316" t="n"/>
      <c r="G165" s="317" t="n"/>
      <c r="H165" s="241">
        <f>IF(AND(ISNUMBER(F165),ISNUMBER(G165)),F165*G165,"")</f>
        <v/>
      </c>
      <c r="I165" s="339">
        <f>IF(COUNT(C165,F165)=0,"",N(C165)-N(F165))</f>
        <v/>
      </c>
      <c r="J165" s="340">
        <f>IF(COUNT(E165,H165)=0,"",N(H165)-N(E165))</f>
        <v/>
      </c>
      <c r="K165" s="240">
        <f>IF(AND(ISNUMBER(C165),ISNUMBER(D165),ISNUMBER(F165),ISNUMBER(G165),C165&gt;0,F165&gt;0),ROUND(MIN(C165,F165)*(G165-D165),8),"")</f>
        <v/>
      </c>
      <c r="L165" s="177">
        <f>IF(OR(NOT(ISNUMBER(K165)),COUNT(C165,F165,D165)&lt;3),"",IF(MIN(C165,F165)*D165&lt;=0,"",ROUND(K165/(MIN(C165,F165)*D165)*100,2)))</f>
        <v/>
      </c>
      <c r="M165" s="343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321" t="n"/>
      <c r="D166" s="322" t="n"/>
      <c r="E166" s="247">
        <f>IF(AND(ISNUMBER(C166),ISNUMBER(D166)),C166*D166,"")</f>
        <v/>
      </c>
      <c r="F166" s="321" t="n"/>
      <c r="G166" s="322" t="n"/>
      <c r="H166" s="247">
        <f>IF(AND(ISNUMBER(F166),ISNUMBER(G166)),F166*G166,"")</f>
        <v/>
      </c>
      <c r="I166" s="341">
        <f>IF(COUNT(C166,F166)=0,"",N(C166)-N(F166))</f>
        <v/>
      </c>
      <c r="J166" s="342">
        <f>IF(COUNT(E166,H166)=0,"",N(H166)-N(E166))</f>
        <v/>
      </c>
      <c r="K166" s="246">
        <f>IF(AND(ISNUMBER(C166),ISNUMBER(D166),ISNUMBER(F166),ISNUMBER(G166),C166&gt;0,F166&gt;0),ROUND(MIN(C166,F166)*(G166-D166),8),"")</f>
        <v/>
      </c>
      <c r="L166" s="183">
        <f>IF(OR(NOT(ISNUMBER(K166)),COUNT(C166,F166,D166)&lt;3),"",IF(MIN(C166,F166)*D166&lt;=0,"",ROUND(K166/(MIN(C166,F166)*D166)*100,2)))</f>
        <v/>
      </c>
      <c r="M166" s="344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316" t="n"/>
      <c r="D167" s="317" t="n"/>
      <c r="E167" s="241">
        <f>IF(AND(ISNUMBER(C167),ISNUMBER(D167)),C167*D167,"")</f>
        <v/>
      </c>
      <c r="F167" s="316" t="n"/>
      <c r="G167" s="317" t="n"/>
      <c r="H167" s="241">
        <f>IF(AND(ISNUMBER(F167),ISNUMBER(G167)),F167*G167,"")</f>
        <v/>
      </c>
      <c r="I167" s="339">
        <f>IF(COUNT(C167,F167)=0,"",N(C167)-N(F167))</f>
        <v/>
      </c>
      <c r="J167" s="340">
        <f>IF(COUNT(E167,H167)=0,"",N(H167)-N(E167))</f>
        <v/>
      </c>
      <c r="K167" s="240">
        <f>IF(AND(ISNUMBER(C167),ISNUMBER(D167),ISNUMBER(F167),ISNUMBER(G167),C167&gt;0,F167&gt;0),ROUND(MIN(C167,F167)*(G167-D167),8),"")</f>
        <v/>
      </c>
      <c r="L167" s="177">
        <f>IF(OR(NOT(ISNUMBER(K167)),COUNT(C167,F167,D167)&lt;3),"",IF(MIN(C167,F167)*D167&lt;=0,"",ROUND(K167/(MIN(C167,F167)*D167)*100,2)))</f>
        <v/>
      </c>
      <c r="M167" s="343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321" t="n"/>
      <c r="D168" s="322" t="n"/>
      <c r="E168" s="247">
        <f>IF(AND(ISNUMBER(C168),ISNUMBER(D168)),C168*D168,"")</f>
        <v/>
      </c>
      <c r="F168" s="321" t="n"/>
      <c r="G168" s="322" t="n"/>
      <c r="H168" s="247">
        <f>IF(AND(ISNUMBER(F168),ISNUMBER(G168)),F168*G168,"")</f>
        <v/>
      </c>
      <c r="I168" s="341">
        <f>IF(COUNT(C168,F168)=0,"",N(C168)-N(F168))</f>
        <v/>
      </c>
      <c r="J168" s="342">
        <f>IF(COUNT(E168,H168)=0,"",N(H168)-N(E168))</f>
        <v/>
      </c>
      <c r="K168" s="246">
        <f>IF(AND(ISNUMBER(C168),ISNUMBER(D168),ISNUMBER(F168),ISNUMBER(G168),C168&gt;0,F168&gt;0),ROUND(MIN(C168,F168)*(G168-D168),8),"")</f>
        <v/>
      </c>
      <c r="L168" s="183">
        <f>IF(OR(NOT(ISNUMBER(K168)),COUNT(C168,F168,D168)&lt;3),"",IF(MIN(C168,F168)*D168&lt;=0,"",ROUND(K168/(MIN(C168,F168)*D168)*100,2)))</f>
        <v/>
      </c>
      <c r="M168" s="344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316" t="n"/>
      <c r="D169" s="317" t="n"/>
      <c r="E169" s="241">
        <f>IF(AND(ISNUMBER(C169),ISNUMBER(D169)),C169*D169,"")</f>
        <v/>
      </c>
      <c r="F169" s="316" t="n"/>
      <c r="G169" s="317" t="n"/>
      <c r="H169" s="241">
        <f>IF(AND(ISNUMBER(F169),ISNUMBER(G169)),F169*G169,"")</f>
        <v/>
      </c>
      <c r="I169" s="339">
        <f>IF(COUNT(C169,F169)=0,"",N(C169)-N(F169))</f>
        <v/>
      </c>
      <c r="J169" s="340">
        <f>IF(COUNT(E169,H169)=0,"",N(H169)-N(E169))</f>
        <v/>
      </c>
      <c r="K169" s="240">
        <f>IF(AND(ISNUMBER(C169),ISNUMBER(D169),ISNUMBER(F169),ISNUMBER(G169),C169&gt;0,F169&gt;0),ROUND(MIN(C169,F169)*(G169-D169),8),"")</f>
        <v/>
      </c>
      <c r="L169" s="177">
        <f>IF(OR(NOT(ISNUMBER(K169)),COUNT(C169,F169,D169)&lt;3),"",IF(MIN(C169,F169)*D169&lt;=0,"",ROUND(K169/(MIN(C169,F169)*D169)*100,2)))</f>
        <v/>
      </c>
      <c r="M169" s="343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321" t="n"/>
      <c r="D170" s="322" t="n"/>
      <c r="E170" s="247">
        <f>IF(AND(ISNUMBER(C170),ISNUMBER(D170)),C170*D170,"")</f>
        <v/>
      </c>
      <c r="F170" s="321" t="n"/>
      <c r="G170" s="322" t="n"/>
      <c r="H170" s="247">
        <f>IF(AND(ISNUMBER(F170),ISNUMBER(G170)),F170*G170,"")</f>
        <v/>
      </c>
      <c r="I170" s="341">
        <f>IF(COUNT(C170,F170)=0,"",N(C170)-N(F170))</f>
        <v/>
      </c>
      <c r="J170" s="342">
        <f>IF(COUNT(E170,H170)=0,"",N(H170)-N(E170))</f>
        <v/>
      </c>
      <c r="K170" s="246">
        <f>IF(AND(ISNUMBER(C170),ISNUMBER(D170),ISNUMBER(F170),ISNUMBER(G170),C170&gt;0,F170&gt;0),ROUND(MIN(C170,F170)*(G170-D170),8),"")</f>
        <v/>
      </c>
      <c r="L170" s="183">
        <f>IF(OR(NOT(ISNUMBER(K170)),COUNT(C170,F170,D170)&lt;3),"",IF(MIN(C170,F170)*D170&lt;=0,"",ROUND(K170/(MIN(C170,F170)*D170)*100,2)))</f>
        <v/>
      </c>
      <c r="M170" s="344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316" t="n"/>
      <c r="D171" s="317" t="n"/>
      <c r="E171" s="241">
        <f>IF(AND(ISNUMBER(C171),ISNUMBER(D171)),C171*D171,"")</f>
        <v/>
      </c>
      <c r="F171" s="316" t="n"/>
      <c r="G171" s="317" t="n"/>
      <c r="H171" s="241">
        <f>IF(AND(ISNUMBER(F171),ISNUMBER(G171)),F171*G171,"")</f>
        <v/>
      </c>
      <c r="I171" s="339">
        <f>IF(COUNT(C171,F171)=0,"",N(C171)-N(F171))</f>
        <v/>
      </c>
      <c r="J171" s="340">
        <f>IF(COUNT(E171,H171)=0,"",N(H171)-N(E171))</f>
        <v/>
      </c>
      <c r="K171" s="240">
        <f>IF(AND(ISNUMBER(C171),ISNUMBER(D171),ISNUMBER(F171),ISNUMBER(G171),C171&gt;0,F171&gt;0),ROUND(MIN(C171,F171)*(G171-D171),8),"")</f>
        <v/>
      </c>
      <c r="L171" s="177">
        <f>IF(OR(NOT(ISNUMBER(K171)),COUNT(C171,F171,D171)&lt;3),"",IF(MIN(C171,F171)*D171&lt;=0,"",ROUND(K171/(MIN(C171,F171)*D171)*100,2)))</f>
        <v/>
      </c>
      <c r="M171" s="343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321" t="n"/>
      <c r="D172" s="322" t="n"/>
      <c r="E172" s="247">
        <f>IF(AND(ISNUMBER(C172),ISNUMBER(D172)),C172*D172,"")</f>
        <v/>
      </c>
      <c r="F172" s="321" t="n"/>
      <c r="G172" s="322" t="n"/>
      <c r="H172" s="247">
        <f>IF(AND(ISNUMBER(F172),ISNUMBER(G172)),F172*G172,"")</f>
        <v/>
      </c>
      <c r="I172" s="341">
        <f>IF(COUNT(C172,F172)=0,"",N(C172)-N(F172))</f>
        <v/>
      </c>
      <c r="J172" s="342">
        <f>IF(COUNT(E172,H172)=0,"",N(H172)-N(E172))</f>
        <v/>
      </c>
      <c r="K172" s="246">
        <f>IF(AND(ISNUMBER(C172),ISNUMBER(D172),ISNUMBER(F172),ISNUMBER(G172),C172&gt;0,F172&gt;0),ROUND(MIN(C172,F172)*(G172-D172),8),"")</f>
        <v/>
      </c>
      <c r="L172" s="183">
        <f>IF(OR(NOT(ISNUMBER(K172)),COUNT(C172,F172,D172)&lt;3),"",IF(MIN(C172,F172)*D172&lt;=0,"",ROUND(K172/(MIN(C172,F172)*D172)*100,2)))</f>
        <v/>
      </c>
      <c r="M172" s="344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316" t="n"/>
      <c r="D173" s="317" t="n"/>
      <c r="E173" s="241">
        <f>IF(AND(ISNUMBER(C173),ISNUMBER(D173)),C173*D173,"")</f>
        <v/>
      </c>
      <c r="F173" s="316" t="n"/>
      <c r="G173" s="317" t="n"/>
      <c r="H173" s="241">
        <f>IF(AND(ISNUMBER(F173),ISNUMBER(G173)),F173*G173,"")</f>
        <v/>
      </c>
      <c r="I173" s="339">
        <f>IF(COUNT(C173,F173)=0,"",N(C173)-N(F173))</f>
        <v/>
      </c>
      <c r="J173" s="340">
        <f>IF(COUNT(E173,H173)=0,"",N(H173)-N(E173))</f>
        <v/>
      </c>
      <c r="K173" s="240">
        <f>IF(AND(ISNUMBER(C173),ISNUMBER(D173),ISNUMBER(F173),ISNUMBER(G173),C173&gt;0,F173&gt;0),ROUND(MIN(C173,F173)*(G173-D173),8),"")</f>
        <v/>
      </c>
      <c r="L173" s="177">
        <f>IF(OR(NOT(ISNUMBER(K173)),COUNT(C173,F173,D173)&lt;3),"",IF(MIN(C173,F173)*D173&lt;=0,"",ROUND(K173/(MIN(C173,F173)*D173)*100,2)))</f>
        <v/>
      </c>
      <c r="M173" s="343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321" t="n"/>
      <c r="D174" s="322" t="n"/>
      <c r="E174" s="247">
        <f>IF(AND(ISNUMBER(C174),ISNUMBER(D174)),C174*D174,"")</f>
        <v/>
      </c>
      <c r="F174" s="321" t="n"/>
      <c r="G174" s="322" t="n"/>
      <c r="H174" s="247">
        <f>IF(AND(ISNUMBER(F174),ISNUMBER(G174)),F174*G174,"")</f>
        <v/>
      </c>
      <c r="I174" s="341">
        <f>IF(COUNT(C174,F174)=0,"",N(C174)-N(F174))</f>
        <v/>
      </c>
      <c r="J174" s="342">
        <f>IF(COUNT(E174,H174)=0,"",N(H174)-N(E174))</f>
        <v/>
      </c>
      <c r="K174" s="246">
        <f>IF(AND(ISNUMBER(C174),ISNUMBER(D174),ISNUMBER(F174),ISNUMBER(G174),C174&gt;0,F174&gt;0),ROUND(MIN(C174,F174)*(G174-D174),8),"")</f>
        <v/>
      </c>
      <c r="L174" s="183">
        <f>IF(OR(NOT(ISNUMBER(K174)),COUNT(C174,F174,D174)&lt;3),"",IF(MIN(C174,F174)*D174&lt;=0,"",ROUND(K174/(MIN(C174,F174)*D174)*100,2)))</f>
        <v/>
      </c>
      <c r="M174" s="344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316" t="n"/>
      <c r="D175" s="317" t="n"/>
      <c r="E175" s="241">
        <f>IF(AND(ISNUMBER(C175),ISNUMBER(D175)),C175*D175,"")</f>
        <v/>
      </c>
      <c r="F175" s="316" t="n"/>
      <c r="G175" s="317" t="n"/>
      <c r="H175" s="241">
        <f>IF(AND(ISNUMBER(F175),ISNUMBER(G175)),F175*G175,"")</f>
        <v/>
      </c>
      <c r="I175" s="339">
        <f>IF(COUNT(C175,F175)=0,"",N(C175)-N(F175))</f>
        <v/>
      </c>
      <c r="J175" s="340">
        <f>IF(COUNT(E175,H175)=0,"",N(H175)-N(E175))</f>
        <v/>
      </c>
      <c r="K175" s="240">
        <f>IF(AND(ISNUMBER(C175),ISNUMBER(D175),ISNUMBER(F175),ISNUMBER(G175),C175&gt;0,F175&gt;0),ROUND(MIN(C175,F175)*(G175-D175),8),"")</f>
        <v/>
      </c>
      <c r="L175" s="177">
        <f>IF(OR(NOT(ISNUMBER(K175)),COUNT(C175,F175,D175)&lt;3),"",IF(MIN(C175,F175)*D175&lt;=0,"",ROUND(K175/(MIN(C175,F175)*D175)*100,2)))</f>
        <v/>
      </c>
      <c r="M175" s="343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321" t="n"/>
      <c r="D176" s="322" t="n"/>
      <c r="E176" s="247">
        <f>IF(AND(ISNUMBER(C176),ISNUMBER(D176)),C176*D176,"")</f>
        <v/>
      </c>
      <c r="F176" s="321" t="n"/>
      <c r="G176" s="322" t="n"/>
      <c r="H176" s="247">
        <f>IF(AND(ISNUMBER(F176),ISNUMBER(G176)),F176*G176,"")</f>
        <v/>
      </c>
      <c r="I176" s="341">
        <f>IF(COUNT(C176,F176)=0,"",N(C176)-N(F176))</f>
        <v/>
      </c>
      <c r="J176" s="342">
        <f>IF(COUNT(E176,H176)=0,"",N(H176)-N(E176))</f>
        <v/>
      </c>
      <c r="K176" s="246">
        <f>IF(AND(ISNUMBER(C176),ISNUMBER(D176),ISNUMBER(F176),ISNUMBER(G176),C176&gt;0,F176&gt;0),ROUND(MIN(C176,F176)*(G176-D176),8),"")</f>
        <v/>
      </c>
      <c r="L176" s="183">
        <f>IF(OR(NOT(ISNUMBER(K176)),COUNT(C176,F176,D176)&lt;3),"",IF(MIN(C176,F176)*D176&lt;=0,"",ROUND(K176/(MIN(C176,F176)*D176)*100,2)))</f>
        <v/>
      </c>
      <c r="M176" s="344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316" t="n"/>
      <c r="D177" s="317" t="n"/>
      <c r="E177" s="241">
        <f>IF(AND(ISNUMBER(C177),ISNUMBER(D177)),C177*D177,"")</f>
        <v/>
      </c>
      <c r="F177" s="316" t="n"/>
      <c r="G177" s="317" t="n"/>
      <c r="H177" s="241">
        <f>IF(AND(ISNUMBER(F177),ISNUMBER(G177)),F177*G177,"")</f>
        <v/>
      </c>
      <c r="I177" s="339">
        <f>IF(COUNT(C177,F177)=0,"",N(C177)-N(F177))</f>
        <v/>
      </c>
      <c r="J177" s="340">
        <f>IF(COUNT(E177,H177)=0,"",N(H177)-N(E177))</f>
        <v/>
      </c>
      <c r="K177" s="240">
        <f>IF(AND(ISNUMBER(C177),ISNUMBER(D177),ISNUMBER(F177),ISNUMBER(G177),C177&gt;0,F177&gt;0),ROUND(MIN(C177,F177)*(G177-D177),8),"")</f>
        <v/>
      </c>
      <c r="L177" s="177">
        <f>IF(OR(NOT(ISNUMBER(K177)),COUNT(C177,F177,D177)&lt;3),"",IF(MIN(C177,F177)*D177&lt;=0,"",ROUND(K177/(MIN(C177,F177)*D177)*100,2)))</f>
        <v/>
      </c>
      <c r="M177" s="343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321" t="n"/>
      <c r="D178" s="322" t="n"/>
      <c r="E178" s="247">
        <f>IF(AND(ISNUMBER(C178),ISNUMBER(D178)),C178*D178,"")</f>
        <v/>
      </c>
      <c r="F178" s="321" t="n"/>
      <c r="G178" s="322" t="n"/>
      <c r="H178" s="247">
        <f>IF(AND(ISNUMBER(F178),ISNUMBER(G178)),F178*G178,"")</f>
        <v/>
      </c>
      <c r="I178" s="341">
        <f>IF(COUNT(C178,F178)=0,"",N(C178)-N(F178))</f>
        <v/>
      </c>
      <c r="J178" s="342">
        <f>IF(COUNT(E178,H178)=0,"",N(H178)-N(E178))</f>
        <v/>
      </c>
      <c r="K178" s="246">
        <f>IF(AND(ISNUMBER(C178),ISNUMBER(D178),ISNUMBER(F178),ISNUMBER(G178),C178&gt;0,F178&gt;0),ROUND(MIN(C178,F178)*(G178-D178),8),"")</f>
        <v/>
      </c>
      <c r="L178" s="183">
        <f>IF(OR(NOT(ISNUMBER(K178)),COUNT(C178,F178,D178)&lt;3),"",IF(MIN(C178,F178)*D178&lt;=0,"",ROUND(K178/(MIN(C178,F178)*D178)*100,2)))</f>
        <v/>
      </c>
      <c r="M178" s="344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316" t="n"/>
      <c r="D179" s="317" t="n"/>
      <c r="E179" s="241">
        <f>IF(AND(ISNUMBER(C179),ISNUMBER(D179)),C179*D179,"")</f>
        <v/>
      </c>
      <c r="F179" s="316" t="n"/>
      <c r="G179" s="317" t="n"/>
      <c r="H179" s="241">
        <f>IF(AND(ISNUMBER(F179),ISNUMBER(G179)),F179*G179,"")</f>
        <v/>
      </c>
      <c r="I179" s="339">
        <f>IF(COUNT(C179,F179)=0,"",N(C179)-N(F179))</f>
        <v/>
      </c>
      <c r="J179" s="340">
        <f>IF(COUNT(E179,H179)=0,"",N(H179)-N(E179))</f>
        <v/>
      </c>
      <c r="K179" s="240">
        <f>IF(AND(ISNUMBER(C179),ISNUMBER(D179),ISNUMBER(F179),ISNUMBER(G179),C179&gt;0,F179&gt;0),ROUND(MIN(C179,F179)*(G179-D179),8),"")</f>
        <v/>
      </c>
      <c r="L179" s="177">
        <f>IF(OR(NOT(ISNUMBER(K179)),COUNT(C179,F179,D179)&lt;3),"",IF(MIN(C179,F179)*D179&lt;=0,"",ROUND(K179/(MIN(C179,F179)*D179)*100,2)))</f>
        <v/>
      </c>
      <c r="M179" s="343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321" t="n"/>
      <c r="D180" s="322" t="n"/>
      <c r="E180" s="247">
        <f>IF(AND(ISNUMBER(C180),ISNUMBER(D180)),C180*D180,"")</f>
        <v/>
      </c>
      <c r="F180" s="321" t="n"/>
      <c r="G180" s="322" t="n"/>
      <c r="H180" s="247">
        <f>IF(AND(ISNUMBER(F180),ISNUMBER(G180)),F180*G180,"")</f>
        <v/>
      </c>
      <c r="I180" s="341">
        <f>IF(COUNT(C180,F180)=0,"",N(C180)-N(F180))</f>
        <v/>
      </c>
      <c r="J180" s="342">
        <f>IF(COUNT(E180,H180)=0,"",N(H180)-N(E180))</f>
        <v/>
      </c>
      <c r="K180" s="246">
        <f>IF(AND(ISNUMBER(C180),ISNUMBER(D180),ISNUMBER(F180),ISNUMBER(G180),C180&gt;0,F180&gt;0),ROUND(MIN(C180,F180)*(G180-D180),8),"")</f>
        <v/>
      </c>
      <c r="L180" s="183">
        <f>IF(OR(NOT(ISNUMBER(K180)),COUNT(C180,F180,D180)&lt;3),"",IF(MIN(C180,F180)*D180&lt;=0,"",ROUND(K180/(MIN(C180,F180)*D180)*100,2)))</f>
        <v/>
      </c>
      <c r="M180" s="344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316" t="n"/>
      <c r="D181" s="317" t="n"/>
      <c r="E181" s="241">
        <f>IF(AND(ISNUMBER(C181),ISNUMBER(D181)),C181*D181,"")</f>
        <v/>
      </c>
      <c r="F181" s="316" t="n"/>
      <c r="G181" s="317" t="n"/>
      <c r="H181" s="241">
        <f>IF(AND(ISNUMBER(F181),ISNUMBER(G181)),F181*G181,"")</f>
        <v/>
      </c>
      <c r="I181" s="339">
        <f>IF(COUNT(C181,F181)=0,"",N(C181)-N(F181))</f>
        <v/>
      </c>
      <c r="J181" s="340">
        <f>IF(COUNT(E181,H181)=0,"",N(H181)-N(E181))</f>
        <v/>
      </c>
      <c r="K181" s="240">
        <f>IF(AND(ISNUMBER(C181),ISNUMBER(D181),ISNUMBER(F181),ISNUMBER(G181),C181&gt;0,F181&gt;0),ROUND(MIN(C181,F181)*(G181-D181),8),"")</f>
        <v/>
      </c>
      <c r="L181" s="177">
        <f>IF(OR(NOT(ISNUMBER(K181)),COUNT(C181,F181,D181)&lt;3),"",IF(MIN(C181,F181)*D181&lt;=0,"",ROUND(K181/(MIN(C181,F181)*D181)*100,2)))</f>
        <v/>
      </c>
      <c r="M181" s="343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321" t="n"/>
      <c r="D182" s="322" t="n"/>
      <c r="E182" s="247">
        <f>IF(AND(ISNUMBER(C182),ISNUMBER(D182)),C182*D182,"")</f>
        <v/>
      </c>
      <c r="F182" s="321" t="n"/>
      <c r="G182" s="322" t="n"/>
      <c r="H182" s="247">
        <f>IF(AND(ISNUMBER(F182),ISNUMBER(G182)),F182*G182,"")</f>
        <v/>
      </c>
      <c r="I182" s="341">
        <f>IF(COUNT(C182,F182)=0,"",N(C182)-N(F182))</f>
        <v/>
      </c>
      <c r="J182" s="342">
        <f>IF(COUNT(E182,H182)=0,"",N(H182)-N(E182))</f>
        <v/>
      </c>
      <c r="K182" s="246">
        <f>IF(AND(ISNUMBER(C182),ISNUMBER(D182),ISNUMBER(F182),ISNUMBER(G182),C182&gt;0,F182&gt;0),ROUND(MIN(C182,F182)*(G182-D182),8),"")</f>
        <v/>
      </c>
      <c r="L182" s="183">
        <f>IF(OR(NOT(ISNUMBER(K182)),COUNT(C182,F182,D182)&lt;3),"",IF(MIN(C182,F182)*D182&lt;=0,"",ROUND(K182/(MIN(C182,F182)*D182)*100,2)))</f>
        <v/>
      </c>
      <c r="M182" s="344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316" t="n"/>
      <c r="D183" s="317" t="n"/>
      <c r="E183" s="241">
        <f>IF(AND(ISNUMBER(C183),ISNUMBER(D183)),C183*D183,"")</f>
        <v/>
      </c>
      <c r="F183" s="316" t="n"/>
      <c r="G183" s="317" t="n"/>
      <c r="H183" s="241">
        <f>IF(AND(ISNUMBER(F183),ISNUMBER(G183)),F183*G183,"")</f>
        <v/>
      </c>
      <c r="I183" s="339">
        <f>IF(COUNT(C183,F183)=0,"",N(C183)-N(F183))</f>
        <v/>
      </c>
      <c r="J183" s="340">
        <f>IF(COUNT(E183,H183)=0,"",N(H183)-N(E183))</f>
        <v/>
      </c>
      <c r="K183" s="240">
        <f>IF(AND(ISNUMBER(C183),ISNUMBER(D183),ISNUMBER(F183),ISNUMBER(G183),C183&gt;0,F183&gt;0),ROUND(MIN(C183,F183)*(G183-D183),8),"")</f>
        <v/>
      </c>
      <c r="L183" s="177">
        <f>IF(OR(NOT(ISNUMBER(K183)),COUNT(C183,F183,D183)&lt;3),"",IF(MIN(C183,F183)*D183&lt;=0,"",ROUND(K183/(MIN(C183,F183)*D183)*100,2)))</f>
        <v/>
      </c>
      <c r="M183" s="343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321" t="n"/>
      <c r="D184" s="322" t="n"/>
      <c r="E184" s="247">
        <f>IF(AND(ISNUMBER(C184),ISNUMBER(D184)),C184*D184,"")</f>
        <v/>
      </c>
      <c r="F184" s="321" t="n"/>
      <c r="G184" s="322" t="n"/>
      <c r="H184" s="247">
        <f>IF(AND(ISNUMBER(F184),ISNUMBER(G184)),F184*G184,"")</f>
        <v/>
      </c>
      <c r="I184" s="341">
        <f>IF(COUNT(C184,F184)=0,"",N(C184)-N(F184))</f>
        <v/>
      </c>
      <c r="J184" s="342">
        <f>IF(COUNT(E184,H184)=0,"",N(H184)-N(E184))</f>
        <v/>
      </c>
      <c r="K184" s="246">
        <f>IF(AND(ISNUMBER(C184),ISNUMBER(D184),ISNUMBER(F184),ISNUMBER(G184),C184&gt;0,F184&gt;0),ROUND(MIN(C184,F184)*(G184-D184),8),"")</f>
        <v/>
      </c>
      <c r="L184" s="183">
        <f>IF(OR(NOT(ISNUMBER(K184)),COUNT(C184,F184,D184)&lt;3),"",IF(MIN(C184,F184)*D184&lt;=0,"",ROUND(K184/(MIN(C184,F184)*D184)*100,2)))</f>
        <v/>
      </c>
      <c r="M184" s="344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316" t="n"/>
      <c r="D185" s="317" t="n"/>
      <c r="E185" s="241">
        <f>IF(AND(ISNUMBER(C185),ISNUMBER(D185)),C185*D185,"")</f>
        <v/>
      </c>
      <c r="F185" s="316" t="n"/>
      <c r="G185" s="317" t="n"/>
      <c r="H185" s="241">
        <f>IF(AND(ISNUMBER(F185),ISNUMBER(G185)),F185*G185,"")</f>
        <v/>
      </c>
      <c r="I185" s="339">
        <f>IF(COUNT(C185,F185)=0,"",N(C185)-N(F185))</f>
        <v/>
      </c>
      <c r="J185" s="340">
        <f>IF(COUNT(E185,H185)=0,"",N(H185)-N(E185))</f>
        <v/>
      </c>
      <c r="K185" s="240">
        <f>IF(AND(ISNUMBER(C185),ISNUMBER(D185),ISNUMBER(F185),ISNUMBER(G185),C185&gt;0,F185&gt;0),ROUND(MIN(C185,F185)*(G185-D185),8),"")</f>
        <v/>
      </c>
      <c r="L185" s="177">
        <f>IF(OR(NOT(ISNUMBER(K185)),COUNT(C185,F185,D185)&lt;3),"",IF(MIN(C185,F185)*D185&lt;=0,"",ROUND(K185/(MIN(C185,F185)*D185)*100,2)))</f>
        <v/>
      </c>
      <c r="M185" s="343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321" t="n"/>
      <c r="D186" s="322" t="n"/>
      <c r="E186" s="247">
        <f>IF(AND(ISNUMBER(C186),ISNUMBER(D186)),C186*D186,"")</f>
        <v/>
      </c>
      <c r="F186" s="321" t="n"/>
      <c r="G186" s="322" t="n"/>
      <c r="H186" s="247">
        <f>IF(AND(ISNUMBER(F186),ISNUMBER(G186)),F186*G186,"")</f>
        <v/>
      </c>
      <c r="I186" s="341">
        <f>IF(COUNT(C186,F186)=0,"",N(C186)-N(F186))</f>
        <v/>
      </c>
      <c r="J186" s="342">
        <f>IF(COUNT(E186,H186)=0,"",N(H186)-N(E186))</f>
        <v/>
      </c>
      <c r="K186" s="246">
        <f>IF(AND(ISNUMBER(C186),ISNUMBER(D186),ISNUMBER(F186),ISNUMBER(G186),C186&gt;0,F186&gt;0),ROUND(MIN(C186,F186)*(G186-D186),8),"")</f>
        <v/>
      </c>
      <c r="L186" s="183">
        <f>IF(OR(NOT(ISNUMBER(K186)),COUNT(C186,F186,D186)&lt;3),"",IF(MIN(C186,F186)*D186&lt;=0,"",ROUND(K186/(MIN(C186,F186)*D186)*100,2)))</f>
        <v/>
      </c>
      <c r="M186" s="344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316" t="n"/>
      <c r="D187" s="317" t="n"/>
      <c r="E187" s="241">
        <f>IF(AND(ISNUMBER(C187),ISNUMBER(D187)),C187*D187,"")</f>
        <v/>
      </c>
      <c r="F187" s="316" t="n"/>
      <c r="G187" s="317" t="n"/>
      <c r="H187" s="241">
        <f>IF(AND(ISNUMBER(F187),ISNUMBER(G187)),F187*G187,"")</f>
        <v/>
      </c>
      <c r="I187" s="339">
        <f>IF(COUNT(C187,F187)=0,"",N(C187)-N(F187))</f>
        <v/>
      </c>
      <c r="J187" s="340">
        <f>IF(COUNT(E187,H187)=0,"",N(H187)-N(E187))</f>
        <v/>
      </c>
      <c r="K187" s="240">
        <f>IF(AND(ISNUMBER(C187),ISNUMBER(D187),ISNUMBER(F187),ISNUMBER(G187),C187&gt;0,F187&gt;0),ROUND(MIN(C187,F187)*(G187-D187),8),"")</f>
        <v/>
      </c>
      <c r="L187" s="177">
        <f>IF(OR(NOT(ISNUMBER(K187)),COUNT(C187,F187,D187)&lt;3),"",IF(MIN(C187,F187)*D187&lt;=0,"",ROUND(K187/(MIN(C187,F187)*D187)*100,2)))</f>
        <v/>
      </c>
      <c r="M187" s="343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321" t="n"/>
      <c r="D188" s="322" t="n"/>
      <c r="E188" s="247">
        <f>IF(AND(ISNUMBER(C188),ISNUMBER(D188)),C188*D188,"")</f>
        <v/>
      </c>
      <c r="F188" s="321" t="n"/>
      <c r="G188" s="322" t="n"/>
      <c r="H188" s="247">
        <f>IF(AND(ISNUMBER(F188),ISNUMBER(G188)),F188*G188,"")</f>
        <v/>
      </c>
      <c r="I188" s="341">
        <f>IF(COUNT(C188,F188)=0,"",N(C188)-N(F188))</f>
        <v/>
      </c>
      <c r="J188" s="342">
        <f>IF(COUNT(E188,H188)=0,"",N(H188)-N(E188))</f>
        <v/>
      </c>
      <c r="K188" s="246">
        <f>IF(AND(ISNUMBER(C188),ISNUMBER(D188),ISNUMBER(F188),ISNUMBER(G188),C188&gt;0,F188&gt;0),ROUND(MIN(C188,F188)*(G188-D188),8),"")</f>
        <v/>
      </c>
      <c r="L188" s="183">
        <f>IF(OR(NOT(ISNUMBER(K188)),COUNT(C188,F188,D188)&lt;3),"",IF(MIN(C188,F188)*D188&lt;=0,"",ROUND(K188/(MIN(C188,F188)*D188)*100,2)))</f>
        <v/>
      </c>
      <c r="M188" s="344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316" t="n"/>
      <c r="D189" s="317" t="n"/>
      <c r="E189" s="241">
        <f>IF(AND(ISNUMBER(C189),ISNUMBER(D189)),C189*D189,"")</f>
        <v/>
      </c>
      <c r="F189" s="316" t="n"/>
      <c r="G189" s="317" t="n"/>
      <c r="H189" s="241">
        <f>IF(AND(ISNUMBER(F189),ISNUMBER(G189)),F189*G189,"")</f>
        <v/>
      </c>
      <c r="I189" s="339">
        <f>IF(COUNT(C189,F189)=0,"",N(C189)-N(F189))</f>
        <v/>
      </c>
      <c r="J189" s="340">
        <f>IF(COUNT(E189,H189)=0,"",N(H189)-N(E189))</f>
        <v/>
      </c>
      <c r="K189" s="240">
        <f>IF(AND(ISNUMBER(C189),ISNUMBER(D189),ISNUMBER(F189),ISNUMBER(G189),C189&gt;0,F189&gt;0),ROUND(MIN(C189,F189)*(G189-D189),8),"")</f>
        <v/>
      </c>
      <c r="L189" s="177">
        <f>IF(OR(NOT(ISNUMBER(K189)),COUNT(C189,F189,D189)&lt;3),"",IF(MIN(C189,F189)*D189&lt;=0,"",ROUND(K189/(MIN(C189,F189)*D189)*100,2)))</f>
        <v/>
      </c>
      <c r="M189" s="343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321" t="n"/>
      <c r="D190" s="322" t="n"/>
      <c r="E190" s="247">
        <f>IF(AND(ISNUMBER(C190),ISNUMBER(D190)),C190*D190,"")</f>
        <v/>
      </c>
      <c r="F190" s="321" t="n"/>
      <c r="G190" s="322" t="n"/>
      <c r="H190" s="247">
        <f>IF(AND(ISNUMBER(F190),ISNUMBER(G190)),F190*G190,"")</f>
        <v/>
      </c>
      <c r="I190" s="341">
        <f>IF(COUNT(C190,F190)=0,"",N(C190)-N(F190))</f>
        <v/>
      </c>
      <c r="J190" s="342">
        <f>IF(COUNT(E190,H190)=0,"",N(H190)-N(E190))</f>
        <v/>
      </c>
      <c r="K190" s="246">
        <f>IF(AND(ISNUMBER(C190),ISNUMBER(D190),ISNUMBER(F190),ISNUMBER(G190),C190&gt;0,F190&gt;0),ROUND(MIN(C190,F190)*(G190-D190),8),"")</f>
        <v/>
      </c>
      <c r="L190" s="183">
        <f>IF(OR(NOT(ISNUMBER(K190)),COUNT(C190,F190,D190)&lt;3),"",IF(MIN(C190,F190)*D190&lt;=0,"",ROUND(K190/(MIN(C190,F190)*D190)*100,2)))</f>
        <v/>
      </c>
      <c r="M190" s="344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316" t="n"/>
      <c r="D191" s="317" t="n"/>
      <c r="E191" s="241">
        <f>IF(AND(ISNUMBER(C191),ISNUMBER(D191)),C191*D191,"")</f>
        <v/>
      </c>
      <c r="F191" s="316" t="n"/>
      <c r="G191" s="317" t="n"/>
      <c r="H191" s="241">
        <f>IF(AND(ISNUMBER(F191),ISNUMBER(G191)),F191*G191,"")</f>
        <v/>
      </c>
      <c r="I191" s="339">
        <f>IF(COUNT(C191,F191)=0,"",N(C191)-N(F191))</f>
        <v/>
      </c>
      <c r="J191" s="340">
        <f>IF(COUNT(E191,H191)=0,"",N(H191)-N(E191))</f>
        <v/>
      </c>
      <c r="K191" s="240">
        <f>IF(AND(ISNUMBER(C191),ISNUMBER(D191),ISNUMBER(F191),ISNUMBER(G191),C191&gt;0,F191&gt;0),ROUND(MIN(C191,F191)*(G191-D191),8),"")</f>
        <v/>
      </c>
      <c r="L191" s="177">
        <f>IF(OR(NOT(ISNUMBER(K191)),COUNT(C191,F191,D191)&lt;3),"",IF(MIN(C191,F191)*D191&lt;=0,"",ROUND(K191/(MIN(C191,F191)*D191)*100,2)))</f>
        <v/>
      </c>
      <c r="M191" s="343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321" t="n"/>
      <c r="D192" s="322" t="n"/>
      <c r="E192" s="247">
        <f>IF(AND(ISNUMBER(C192),ISNUMBER(D192)),C192*D192,"")</f>
        <v/>
      </c>
      <c r="F192" s="321" t="n"/>
      <c r="G192" s="322" t="n"/>
      <c r="H192" s="247">
        <f>IF(AND(ISNUMBER(F192),ISNUMBER(G192)),F192*G192,"")</f>
        <v/>
      </c>
      <c r="I192" s="341">
        <f>IF(COUNT(C192,F192)=0,"",N(C192)-N(F192))</f>
        <v/>
      </c>
      <c r="J192" s="342">
        <f>IF(COUNT(E192,H192)=0,"",N(H192)-N(E192))</f>
        <v/>
      </c>
      <c r="K192" s="246">
        <f>IF(AND(ISNUMBER(C192),ISNUMBER(D192),ISNUMBER(F192),ISNUMBER(G192),C192&gt;0,F192&gt;0),ROUND(MIN(C192,F192)*(G192-D192),8),"")</f>
        <v/>
      </c>
      <c r="L192" s="183">
        <f>IF(OR(NOT(ISNUMBER(K192)),COUNT(C192,F192,D192)&lt;3),"",IF(MIN(C192,F192)*D192&lt;=0,"",ROUND(K192/(MIN(C192,F192)*D192)*100,2)))</f>
        <v/>
      </c>
      <c r="M192" s="344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316" t="n"/>
      <c r="D193" s="317" t="n"/>
      <c r="E193" s="241">
        <f>IF(AND(ISNUMBER(C193),ISNUMBER(D193)),C193*D193,"")</f>
        <v/>
      </c>
      <c r="F193" s="316" t="n"/>
      <c r="G193" s="317" t="n"/>
      <c r="H193" s="241">
        <f>IF(AND(ISNUMBER(F193),ISNUMBER(G193)),F193*G193,"")</f>
        <v/>
      </c>
      <c r="I193" s="339">
        <f>IF(COUNT(C193,F193)=0,"",N(C193)-N(F193))</f>
        <v/>
      </c>
      <c r="J193" s="340">
        <f>IF(COUNT(E193,H193)=0,"",N(H193)-N(E193))</f>
        <v/>
      </c>
      <c r="K193" s="240">
        <f>IF(AND(ISNUMBER(C193),ISNUMBER(D193),ISNUMBER(F193),ISNUMBER(G193),C193&gt;0,F193&gt;0),ROUND(MIN(C193,F193)*(G193-D193),8),"")</f>
        <v/>
      </c>
      <c r="L193" s="177">
        <f>IF(OR(NOT(ISNUMBER(K193)),COUNT(C193,F193,D193)&lt;3),"",IF(MIN(C193,F193)*D193&lt;=0,"",ROUND(K193/(MIN(C193,F193)*D193)*100,2)))</f>
        <v/>
      </c>
      <c r="M193" s="343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321" t="n"/>
      <c r="D194" s="322" t="n"/>
      <c r="E194" s="247">
        <f>IF(AND(ISNUMBER(C194),ISNUMBER(D194)),C194*D194,"")</f>
        <v/>
      </c>
      <c r="F194" s="321" t="n"/>
      <c r="G194" s="322" t="n"/>
      <c r="H194" s="247">
        <f>IF(AND(ISNUMBER(F194),ISNUMBER(G194)),F194*G194,"")</f>
        <v/>
      </c>
      <c r="I194" s="341">
        <f>IF(COUNT(C194,F194)=0,"",N(C194)-N(F194))</f>
        <v/>
      </c>
      <c r="J194" s="342">
        <f>IF(COUNT(E194,H194)=0,"",N(H194)-N(E194))</f>
        <v/>
      </c>
      <c r="K194" s="246">
        <f>IF(AND(ISNUMBER(C194),ISNUMBER(D194),ISNUMBER(F194),ISNUMBER(G194),C194&gt;0,F194&gt;0),ROUND(MIN(C194,F194)*(G194-D194),8),"")</f>
        <v/>
      </c>
      <c r="L194" s="183">
        <f>IF(OR(NOT(ISNUMBER(K194)),COUNT(C194,F194,D194)&lt;3),"",IF(MIN(C194,F194)*D194&lt;=0,"",ROUND(K194/(MIN(C194,F194)*D194)*100,2)))</f>
        <v/>
      </c>
      <c r="M194" s="344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316" t="n"/>
      <c r="D195" s="317" t="n"/>
      <c r="E195" s="241">
        <f>IF(AND(ISNUMBER(C195),ISNUMBER(D195)),C195*D195,"")</f>
        <v/>
      </c>
      <c r="F195" s="316" t="n"/>
      <c r="G195" s="317" t="n"/>
      <c r="H195" s="241">
        <f>IF(AND(ISNUMBER(F195),ISNUMBER(G195)),F195*G195,"")</f>
        <v/>
      </c>
      <c r="I195" s="339">
        <f>IF(COUNT(C195,F195)=0,"",N(C195)-N(F195))</f>
        <v/>
      </c>
      <c r="J195" s="340">
        <f>IF(COUNT(E195,H195)=0,"",N(H195)-N(E195))</f>
        <v/>
      </c>
      <c r="K195" s="240">
        <f>IF(AND(ISNUMBER(C195),ISNUMBER(D195),ISNUMBER(F195),ISNUMBER(G195),C195&gt;0,F195&gt;0),ROUND(MIN(C195,F195)*(G195-D195),8),"")</f>
        <v/>
      </c>
      <c r="L195" s="177">
        <f>IF(OR(NOT(ISNUMBER(K195)),COUNT(C195,F195,D195)&lt;3),"",IF(MIN(C195,F195)*D195&lt;=0,"",ROUND(K195/(MIN(C195,F195)*D195)*100,2)))</f>
        <v/>
      </c>
      <c r="M195" s="343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321" t="n"/>
      <c r="D196" s="322" t="n"/>
      <c r="E196" s="247">
        <f>IF(AND(ISNUMBER(C196),ISNUMBER(D196)),C196*D196,"")</f>
        <v/>
      </c>
      <c r="F196" s="321" t="n"/>
      <c r="G196" s="322" t="n"/>
      <c r="H196" s="247">
        <f>IF(AND(ISNUMBER(F196),ISNUMBER(G196)),F196*G196,"")</f>
        <v/>
      </c>
      <c r="I196" s="341">
        <f>IF(COUNT(C196,F196)=0,"",N(C196)-N(F196))</f>
        <v/>
      </c>
      <c r="J196" s="342">
        <f>IF(COUNT(E196,H196)=0,"",N(H196)-N(E196))</f>
        <v/>
      </c>
      <c r="K196" s="246">
        <f>IF(AND(ISNUMBER(C196),ISNUMBER(D196),ISNUMBER(F196),ISNUMBER(G196),C196&gt;0,F196&gt;0),ROUND(MIN(C196,F196)*(G196-D196),8),"")</f>
        <v/>
      </c>
      <c r="L196" s="183">
        <f>IF(OR(NOT(ISNUMBER(K196)),COUNT(C196,F196,D196)&lt;3),"",IF(MIN(C196,F196)*D196&lt;=0,"",ROUND(K196/(MIN(C196,F196)*D196)*100,2)))</f>
        <v/>
      </c>
      <c r="M196" s="344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316" t="n"/>
      <c r="D197" s="317" t="n"/>
      <c r="E197" s="241">
        <f>IF(AND(ISNUMBER(C197),ISNUMBER(D197)),C197*D197,"")</f>
        <v/>
      </c>
      <c r="F197" s="316" t="n"/>
      <c r="G197" s="317" t="n"/>
      <c r="H197" s="241">
        <f>IF(AND(ISNUMBER(F197),ISNUMBER(G197)),F197*G197,"")</f>
        <v/>
      </c>
      <c r="I197" s="339">
        <f>IF(COUNT(C197,F197)=0,"",N(C197)-N(F197))</f>
        <v/>
      </c>
      <c r="J197" s="340">
        <f>IF(COUNT(E197,H197)=0,"",N(H197)-N(E197))</f>
        <v/>
      </c>
      <c r="K197" s="240">
        <f>IF(AND(ISNUMBER(C197),ISNUMBER(D197),ISNUMBER(F197),ISNUMBER(G197),C197&gt;0,F197&gt;0),ROUND(MIN(C197,F197)*(G197-D197),8),"")</f>
        <v/>
      </c>
      <c r="L197" s="177">
        <f>IF(OR(NOT(ISNUMBER(K197)),COUNT(C197,F197,D197)&lt;3),"",IF(MIN(C197,F197)*D197&lt;=0,"",ROUND(K197/(MIN(C197,F197)*D197)*100,2)))</f>
        <v/>
      </c>
      <c r="M197" s="343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321" t="n"/>
      <c r="D198" s="322" t="n"/>
      <c r="E198" s="247">
        <f>IF(AND(ISNUMBER(C198),ISNUMBER(D198)),C198*D198,"")</f>
        <v/>
      </c>
      <c r="F198" s="321" t="n"/>
      <c r="G198" s="322" t="n"/>
      <c r="H198" s="247">
        <f>IF(AND(ISNUMBER(F198),ISNUMBER(G198)),F198*G198,"")</f>
        <v/>
      </c>
      <c r="I198" s="341">
        <f>IF(COUNT(C198,F198)=0,"",N(C198)-N(F198))</f>
        <v/>
      </c>
      <c r="J198" s="342">
        <f>IF(COUNT(E198,H198)=0,"",N(H198)-N(E198))</f>
        <v/>
      </c>
      <c r="K198" s="246">
        <f>IF(AND(ISNUMBER(C198),ISNUMBER(D198),ISNUMBER(F198),ISNUMBER(G198),C198&gt;0,F198&gt;0),ROUND(MIN(C198,F198)*(G198-D198),8),"")</f>
        <v/>
      </c>
      <c r="L198" s="183">
        <f>IF(OR(NOT(ISNUMBER(K198)),COUNT(C198,F198,D198)&lt;3),"",IF(MIN(C198,F198)*D198&lt;=0,"",ROUND(K198/(MIN(C198,F198)*D198)*100,2)))</f>
        <v/>
      </c>
      <c r="M198" s="344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316" t="n"/>
      <c r="D199" s="317" t="n"/>
      <c r="E199" s="241">
        <f>IF(AND(ISNUMBER(C199),ISNUMBER(D199)),C199*D199,"")</f>
        <v/>
      </c>
      <c r="F199" s="316" t="n"/>
      <c r="G199" s="317" t="n"/>
      <c r="H199" s="241">
        <f>IF(AND(ISNUMBER(F199),ISNUMBER(G199)),F199*G199,"")</f>
        <v/>
      </c>
      <c r="I199" s="339">
        <f>IF(COUNT(C199,F199)=0,"",N(C199)-N(F199))</f>
        <v/>
      </c>
      <c r="J199" s="340">
        <f>IF(COUNT(E199,H199)=0,"",N(H199)-N(E199))</f>
        <v/>
      </c>
      <c r="K199" s="240">
        <f>IF(AND(ISNUMBER(C199),ISNUMBER(D199),ISNUMBER(F199),ISNUMBER(G199),C199&gt;0,F199&gt;0),ROUND(MIN(C199,F199)*(G199-D199),8),"")</f>
        <v/>
      </c>
      <c r="L199" s="177">
        <f>IF(OR(NOT(ISNUMBER(K199)),COUNT(C199,F199,D199)&lt;3),"",IF(MIN(C199,F199)*D199&lt;=0,"",ROUND(K199/(MIN(C199,F199)*D199)*100,2)))</f>
        <v/>
      </c>
      <c r="M199" s="343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321" t="n"/>
      <c r="D200" s="322" t="n"/>
      <c r="E200" s="247">
        <f>IF(AND(ISNUMBER(C200),ISNUMBER(D200)),C200*D200,"")</f>
        <v/>
      </c>
      <c r="F200" s="321" t="n"/>
      <c r="G200" s="322" t="n"/>
      <c r="H200" s="247">
        <f>IF(AND(ISNUMBER(F200),ISNUMBER(G200)),F200*G200,"")</f>
        <v/>
      </c>
      <c r="I200" s="341">
        <f>IF(COUNT(C200,F200)=0,"",N(C200)-N(F200))</f>
        <v/>
      </c>
      <c r="J200" s="342">
        <f>IF(COUNT(E200,H200)=0,"",N(H200)-N(E200))</f>
        <v/>
      </c>
      <c r="K200" s="246">
        <f>IF(AND(ISNUMBER(C200),ISNUMBER(D200),ISNUMBER(F200),ISNUMBER(G200),C200&gt;0,F200&gt;0),ROUND(MIN(C200,F200)*(G200-D200),8),"")</f>
        <v/>
      </c>
      <c r="L200" s="183">
        <f>IF(OR(NOT(ISNUMBER(K200)),COUNT(C200,F200,D200)&lt;3),"",IF(MIN(C200,F200)*D200&lt;=0,"",ROUND(K200/(MIN(C200,F200)*D200)*100,2)))</f>
        <v/>
      </c>
      <c r="M200" s="344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316" t="n"/>
      <c r="D201" s="317" t="n"/>
      <c r="E201" s="241">
        <f>IF(AND(ISNUMBER(C201),ISNUMBER(D201)),C201*D201,"")</f>
        <v/>
      </c>
      <c r="F201" s="316" t="n"/>
      <c r="G201" s="317" t="n"/>
      <c r="H201" s="241">
        <f>IF(AND(ISNUMBER(F201),ISNUMBER(G201)),F201*G201,"")</f>
        <v/>
      </c>
      <c r="I201" s="339">
        <f>IF(COUNT(C201,F201)=0,"",N(C201)-N(F201))</f>
        <v/>
      </c>
      <c r="J201" s="340">
        <f>IF(COUNT(E201,H201)=0,"",N(H201)-N(E201))</f>
        <v/>
      </c>
      <c r="K201" s="240">
        <f>IF(AND(ISNUMBER(C201),ISNUMBER(D201),ISNUMBER(F201),ISNUMBER(G201),C201&gt;0,F201&gt;0),ROUND(MIN(C201,F201)*(G201-D201),8),"")</f>
        <v/>
      </c>
      <c r="L201" s="177">
        <f>IF(OR(NOT(ISNUMBER(K201)),COUNT(C201,F201,D201)&lt;3),"",IF(MIN(C201,F201)*D201&lt;=0,"",ROUND(K201/(MIN(C201,F201)*D201)*100,2)))</f>
        <v/>
      </c>
      <c r="M201" s="343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321" t="n"/>
      <c r="D202" s="322" t="n"/>
      <c r="E202" s="247">
        <f>IF(AND(ISNUMBER(C202),ISNUMBER(D202)),C202*D202,"")</f>
        <v/>
      </c>
      <c r="F202" s="321" t="n"/>
      <c r="G202" s="322" t="n"/>
      <c r="H202" s="247">
        <f>IF(AND(ISNUMBER(F202),ISNUMBER(G202)),F202*G202,"")</f>
        <v/>
      </c>
      <c r="I202" s="341">
        <f>IF(COUNT(C202,F202)=0,"",N(C202)-N(F202))</f>
        <v/>
      </c>
      <c r="J202" s="342">
        <f>IF(COUNT(E202,H202)=0,"",N(H202)-N(E202))</f>
        <v/>
      </c>
      <c r="K202" s="246">
        <f>IF(AND(ISNUMBER(C202),ISNUMBER(D202),ISNUMBER(F202),ISNUMBER(G202),C202&gt;0,F202&gt;0),ROUND(MIN(C202,F202)*(G202-D202),8),"")</f>
        <v/>
      </c>
      <c r="L202" s="183">
        <f>IF(OR(NOT(ISNUMBER(K202)),COUNT(C202,F202,D202)&lt;3),"",IF(MIN(C202,F202)*D202&lt;=0,"",ROUND(K202/(MIN(C202,F202)*D202)*100,2)))</f>
        <v/>
      </c>
      <c r="M202" s="344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316" t="n"/>
      <c r="D203" s="317" t="n"/>
      <c r="E203" s="241">
        <f>IF(AND(ISNUMBER(C203),ISNUMBER(D203)),C203*D203,"")</f>
        <v/>
      </c>
      <c r="F203" s="316" t="n"/>
      <c r="G203" s="317" t="n"/>
      <c r="H203" s="241">
        <f>IF(AND(ISNUMBER(F203),ISNUMBER(G203)),F203*G203,"")</f>
        <v/>
      </c>
      <c r="I203" s="339">
        <f>IF(COUNT(C203,F203)=0,"",N(C203)-N(F203))</f>
        <v/>
      </c>
      <c r="J203" s="340">
        <f>IF(COUNT(E203,H203)=0,"",N(H203)-N(E203))</f>
        <v/>
      </c>
      <c r="K203" s="240">
        <f>IF(AND(ISNUMBER(C203),ISNUMBER(D203),ISNUMBER(F203),ISNUMBER(G203),C203&gt;0,F203&gt;0),ROUND(MIN(C203,F203)*(G203-D203),8),"")</f>
        <v/>
      </c>
      <c r="L203" s="177">
        <f>IF(OR(NOT(ISNUMBER(K203)),COUNT(C203,F203,D203)&lt;3),"",IF(MIN(C203,F203)*D203&lt;=0,"",ROUND(K203/(MIN(C203,F203)*D203)*100,2)))</f>
        <v/>
      </c>
      <c r="M203" s="343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321" t="n"/>
      <c r="D204" s="322" t="n"/>
      <c r="E204" s="247">
        <f>IF(AND(ISNUMBER(C204),ISNUMBER(D204)),C204*D204,"")</f>
        <v/>
      </c>
      <c r="F204" s="321" t="n"/>
      <c r="G204" s="322" t="n"/>
      <c r="H204" s="247">
        <f>IF(AND(ISNUMBER(F204),ISNUMBER(G204)),F204*G204,"")</f>
        <v/>
      </c>
      <c r="I204" s="341">
        <f>IF(COUNT(C204,F204)=0,"",N(C204)-N(F204))</f>
        <v/>
      </c>
      <c r="J204" s="342">
        <f>IF(COUNT(E204,H204)=0,"",N(H204)-N(E204))</f>
        <v/>
      </c>
      <c r="K204" s="246">
        <f>IF(AND(ISNUMBER(C204),ISNUMBER(D204),ISNUMBER(F204),ISNUMBER(G204),C204&gt;0,F204&gt;0),ROUND(MIN(C204,F204)*(G204-D204),8),"")</f>
        <v/>
      </c>
      <c r="L204" s="183">
        <f>IF(OR(NOT(ISNUMBER(K204)),COUNT(C204,F204,D204)&lt;3),"",IF(MIN(C204,F204)*D204&lt;=0,"",ROUND(K204/(MIN(C204,F204)*D204)*100,2)))</f>
        <v/>
      </c>
      <c r="M204" s="344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316" t="n"/>
      <c r="D205" s="317" t="n"/>
      <c r="E205" s="241">
        <f>IF(AND(ISNUMBER(C205),ISNUMBER(D205)),C205*D205,"")</f>
        <v/>
      </c>
      <c r="F205" s="316" t="n"/>
      <c r="G205" s="317" t="n"/>
      <c r="H205" s="241">
        <f>IF(AND(ISNUMBER(F205),ISNUMBER(G205)),F205*G205,"")</f>
        <v/>
      </c>
      <c r="I205" s="339">
        <f>IF(COUNT(C205,F205)=0,"",N(C205)-N(F205))</f>
        <v/>
      </c>
      <c r="J205" s="340">
        <f>IF(COUNT(E205,H205)=0,"",N(H205)-N(E205))</f>
        <v/>
      </c>
      <c r="K205" s="240">
        <f>IF(AND(ISNUMBER(C205),ISNUMBER(D205),ISNUMBER(F205),ISNUMBER(G205),C205&gt;0,F205&gt;0),ROUND(MIN(C205,F205)*(G205-D205),8),"")</f>
        <v/>
      </c>
      <c r="L205" s="177">
        <f>IF(OR(NOT(ISNUMBER(K205)),COUNT(C205,F205,D205)&lt;3),"",IF(MIN(C205,F205)*D205&lt;=0,"",ROUND(K205/(MIN(C205,F205)*D205)*100,2)))</f>
        <v/>
      </c>
      <c r="M205" s="343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321" t="n"/>
      <c r="D206" s="322" t="n"/>
      <c r="E206" s="247">
        <f>IF(AND(ISNUMBER(C206),ISNUMBER(D206)),C206*D206,"")</f>
        <v/>
      </c>
      <c r="F206" s="321" t="n"/>
      <c r="G206" s="322" t="n"/>
      <c r="H206" s="247">
        <f>IF(AND(ISNUMBER(F206),ISNUMBER(G206)),F206*G206,"")</f>
        <v/>
      </c>
      <c r="I206" s="341">
        <f>IF(COUNT(C206,F206)=0,"",N(C206)-N(F206))</f>
        <v/>
      </c>
      <c r="J206" s="342">
        <f>IF(COUNT(E206,H206)=0,"",N(H206)-N(E206))</f>
        <v/>
      </c>
      <c r="K206" s="246">
        <f>IF(AND(ISNUMBER(C206),ISNUMBER(D206),ISNUMBER(F206),ISNUMBER(G206),C206&gt;0,F206&gt;0),ROUND(MIN(C206,F206)*(G206-D206),8),"")</f>
        <v/>
      </c>
      <c r="L206" s="183">
        <f>IF(OR(NOT(ISNUMBER(K206)),COUNT(C206,F206,D206)&lt;3),"",IF(MIN(C206,F206)*D206&lt;=0,"",ROUND(K206/(MIN(C206,F206)*D206)*100,2)))</f>
        <v/>
      </c>
      <c r="M206" s="344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316" t="n"/>
      <c r="D207" s="317" t="n"/>
      <c r="E207" s="241">
        <f>IF(AND(ISNUMBER(C207),ISNUMBER(D207)),C207*D207,"")</f>
        <v/>
      </c>
      <c r="F207" s="316" t="n"/>
      <c r="G207" s="317" t="n"/>
      <c r="H207" s="241">
        <f>IF(AND(ISNUMBER(F207),ISNUMBER(G207)),F207*G207,"")</f>
        <v/>
      </c>
      <c r="I207" s="339">
        <f>IF(COUNT(C207,F207)=0,"",N(C207)-N(F207))</f>
        <v/>
      </c>
      <c r="J207" s="340">
        <f>IF(COUNT(E207,H207)=0,"",N(H207)-N(E207))</f>
        <v/>
      </c>
      <c r="K207" s="240">
        <f>IF(AND(ISNUMBER(C207),ISNUMBER(D207),ISNUMBER(F207),ISNUMBER(G207),C207&gt;0,F207&gt;0),ROUND(MIN(C207,F207)*(G207-D207),8),"")</f>
        <v/>
      </c>
      <c r="L207" s="177">
        <f>IF(OR(NOT(ISNUMBER(K207)),COUNT(C207,F207,D207)&lt;3),"",IF(MIN(C207,F207)*D207&lt;=0,"",ROUND(K207/(MIN(C207,F207)*D207)*100,2)))</f>
        <v/>
      </c>
      <c r="M207" s="343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321" t="n"/>
      <c r="D208" s="322" t="n"/>
      <c r="E208" s="247">
        <f>IF(AND(ISNUMBER(C208),ISNUMBER(D208)),C208*D208,"")</f>
        <v/>
      </c>
      <c r="F208" s="321" t="n"/>
      <c r="G208" s="322" t="n"/>
      <c r="H208" s="247">
        <f>IF(AND(ISNUMBER(F208),ISNUMBER(G208)),F208*G208,"")</f>
        <v/>
      </c>
      <c r="I208" s="341">
        <f>IF(COUNT(C208,F208)=0,"",N(C208)-N(F208))</f>
        <v/>
      </c>
      <c r="J208" s="342">
        <f>IF(COUNT(E208,H208)=0,"",N(H208)-N(E208))</f>
        <v/>
      </c>
      <c r="K208" s="246">
        <f>IF(AND(ISNUMBER(C208),ISNUMBER(D208),ISNUMBER(F208),ISNUMBER(G208),C208&gt;0,F208&gt;0),ROUND(MIN(C208,F208)*(G208-D208),8),"")</f>
        <v/>
      </c>
      <c r="L208" s="183">
        <f>IF(OR(NOT(ISNUMBER(K208)),COUNT(C208,F208,D208)&lt;3),"",IF(MIN(C208,F208)*D208&lt;=0,"",ROUND(K208/(MIN(C208,F208)*D208)*100,2)))</f>
        <v/>
      </c>
      <c r="M208" s="344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316" t="n"/>
      <c r="D209" s="317" t="n"/>
      <c r="E209" s="241">
        <f>IF(AND(ISNUMBER(C209),ISNUMBER(D209)),C209*D209,"")</f>
        <v/>
      </c>
      <c r="F209" s="316" t="n"/>
      <c r="G209" s="317" t="n"/>
      <c r="H209" s="241">
        <f>IF(AND(ISNUMBER(F209),ISNUMBER(G209)),F209*G209,"")</f>
        <v/>
      </c>
      <c r="I209" s="339">
        <f>IF(COUNT(C209,F209)=0,"",N(C209)-N(F209))</f>
        <v/>
      </c>
      <c r="J209" s="340">
        <f>IF(COUNT(E209,H209)=0,"",N(H209)-N(E209))</f>
        <v/>
      </c>
      <c r="K209" s="240">
        <f>IF(AND(ISNUMBER(C209),ISNUMBER(D209),ISNUMBER(F209),ISNUMBER(G209),C209&gt;0,F209&gt;0),ROUND(MIN(C209,F209)*(G209-D209),8),"")</f>
        <v/>
      </c>
      <c r="L209" s="177">
        <f>IF(OR(NOT(ISNUMBER(K209)),COUNT(C209,F209,D209)&lt;3),"",IF(MIN(C209,F209)*D209&lt;=0,"",ROUND(K209/(MIN(C209,F209)*D209)*100,2)))</f>
        <v/>
      </c>
      <c r="M209" s="343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321" t="n"/>
      <c r="D210" s="322" t="n"/>
      <c r="E210" s="247">
        <f>IF(AND(ISNUMBER(C210),ISNUMBER(D210)),C210*D210,"")</f>
        <v/>
      </c>
      <c r="F210" s="321" t="n"/>
      <c r="G210" s="322" t="n"/>
      <c r="H210" s="247">
        <f>IF(AND(ISNUMBER(F210),ISNUMBER(G210)),F210*G210,"")</f>
        <v/>
      </c>
      <c r="I210" s="341">
        <f>IF(COUNT(C210,F210)=0,"",N(C210)-N(F210))</f>
        <v/>
      </c>
      <c r="J210" s="342">
        <f>IF(COUNT(E210,H210)=0,"",N(H210)-N(E210))</f>
        <v/>
      </c>
      <c r="K210" s="246">
        <f>IF(AND(ISNUMBER(C210),ISNUMBER(D210),ISNUMBER(F210),ISNUMBER(G210),C210&gt;0,F210&gt;0),ROUND(MIN(C210,F210)*(G210-D210),8),"")</f>
        <v/>
      </c>
      <c r="L210" s="183">
        <f>IF(OR(NOT(ISNUMBER(K210)),COUNT(C210,F210,D210)&lt;3),"",IF(MIN(C210,F210)*D210&lt;=0,"",ROUND(K210/(MIN(C210,F210)*D210)*100,2)))</f>
        <v/>
      </c>
      <c r="M210" s="344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316" t="n"/>
      <c r="D211" s="317" t="n"/>
      <c r="E211" s="241">
        <f>IF(AND(ISNUMBER(C211),ISNUMBER(D211)),C211*D211,"")</f>
        <v/>
      </c>
      <c r="F211" s="316" t="n"/>
      <c r="G211" s="317" t="n"/>
      <c r="H211" s="241">
        <f>IF(AND(ISNUMBER(F211),ISNUMBER(G211)),F211*G211,"")</f>
        <v/>
      </c>
      <c r="I211" s="339">
        <f>IF(COUNT(C211,F211)=0,"",N(C211)-N(F211))</f>
        <v/>
      </c>
      <c r="J211" s="340">
        <f>IF(COUNT(E211,H211)=0,"",N(H211)-N(E211))</f>
        <v/>
      </c>
      <c r="K211" s="240">
        <f>IF(AND(ISNUMBER(C211),ISNUMBER(D211),ISNUMBER(F211),ISNUMBER(G211),C211&gt;0,F211&gt;0),ROUND(MIN(C211,F211)*(G211-D211),8),"")</f>
        <v/>
      </c>
      <c r="L211" s="177">
        <f>IF(OR(NOT(ISNUMBER(K211)),COUNT(C211,F211,D211)&lt;3),"",IF(MIN(C211,F211)*D211&lt;=0,"",ROUND(K211/(MIN(C211,F211)*D211)*100,2)))</f>
        <v/>
      </c>
      <c r="M211" s="343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321" t="n"/>
      <c r="D212" s="322" t="n"/>
      <c r="E212" s="247">
        <f>IF(AND(ISNUMBER(C212),ISNUMBER(D212)),C212*D212,"")</f>
        <v/>
      </c>
      <c r="F212" s="321" t="n"/>
      <c r="G212" s="322" t="n"/>
      <c r="H212" s="247">
        <f>IF(AND(ISNUMBER(F212),ISNUMBER(G212)),F212*G212,"")</f>
        <v/>
      </c>
      <c r="I212" s="341">
        <f>IF(COUNT(C212,F212)=0,"",N(C212)-N(F212))</f>
        <v/>
      </c>
      <c r="J212" s="342">
        <f>IF(COUNT(E212,H212)=0,"",N(H212)-N(E212))</f>
        <v/>
      </c>
      <c r="K212" s="246">
        <f>IF(AND(ISNUMBER(C212),ISNUMBER(D212),ISNUMBER(F212),ISNUMBER(G212),C212&gt;0,F212&gt;0),ROUND(MIN(C212,F212)*(G212-D212),8),"")</f>
        <v/>
      </c>
      <c r="L212" s="183">
        <f>IF(OR(NOT(ISNUMBER(K212)),COUNT(C212,F212,D212)&lt;3),"",IF(MIN(C212,F212)*D212&lt;=0,"",ROUND(K212/(MIN(C212,F212)*D212)*100,2)))</f>
        <v/>
      </c>
      <c r="M212" s="344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316" t="n"/>
      <c r="D213" s="317" t="n"/>
      <c r="E213" s="241">
        <f>IF(AND(ISNUMBER(C213),ISNUMBER(D213)),C213*D213,"")</f>
        <v/>
      </c>
      <c r="F213" s="316" t="n"/>
      <c r="G213" s="317" t="n"/>
      <c r="H213" s="241">
        <f>IF(AND(ISNUMBER(F213),ISNUMBER(G213)),F213*G213,"")</f>
        <v/>
      </c>
      <c r="I213" s="339">
        <f>IF(COUNT(C213,F213)=0,"",N(C213)-N(F213))</f>
        <v/>
      </c>
      <c r="J213" s="340">
        <f>IF(COUNT(E213,H213)=0,"",N(H213)-N(E213))</f>
        <v/>
      </c>
      <c r="K213" s="240">
        <f>IF(AND(ISNUMBER(C213),ISNUMBER(D213),ISNUMBER(F213),ISNUMBER(G213),C213&gt;0,F213&gt;0),ROUND(MIN(C213,F213)*(G213-D213),8),"")</f>
        <v/>
      </c>
      <c r="L213" s="177">
        <f>IF(OR(NOT(ISNUMBER(K213)),COUNT(C213,F213,D213)&lt;3),"",IF(MIN(C213,F213)*D213&lt;=0,"",ROUND(K213/(MIN(C213,F213)*D213)*100,2)))</f>
        <v/>
      </c>
      <c r="M213" s="343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321" t="n"/>
      <c r="D214" s="322" t="n"/>
      <c r="E214" s="247">
        <f>IF(AND(ISNUMBER(C214),ISNUMBER(D214)),C214*D214,"")</f>
        <v/>
      </c>
      <c r="F214" s="321" t="n"/>
      <c r="G214" s="322" t="n"/>
      <c r="H214" s="247">
        <f>IF(AND(ISNUMBER(F214),ISNUMBER(G214)),F214*G214,"")</f>
        <v/>
      </c>
      <c r="I214" s="341">
        <f>IF(COUNT(C214,F214)=0,"",N(C214)-N(F214))</f>
        <v/>
      </c>
      <c r="J214" s="342">
        <f>IF(COUNT(E214,H214)=0,"",N(H214)-N(E214))</f>
        <v/>
      </c>
      <c r="K214" s="246">
        <f>IF(AND(ISNUMBER(C214),ISNUMBER(D214),ISNUMBER(F214),ISNUMBER(G214),C214&gt;0,F214&gt;0),ROUND(MIN(C214,F214)*(G214-D214),8),"")</f>
        <v/>
      </c>
      <c r="L214" s="183">
        <f>IF(OR(NOT(ISNUMBER(K214)),COUNT(C214,F214,D214)&lt;3),"",IF(MIN(C214,F214)*D214&lt;=0,"",ROUND(K214/(MIN(C214,F214)*D214)*100,2)))</f>
        <v/>
      </c>
      <c r="M214" s="344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316" t="n"/>
      <c r="D215" s="317" t="n"/>
      <c r="E215" s="241">
        <f>IF(AND(ISNUMBER(C215),ISNUMBER(D215)),C215*D215,"")</f>
        <v/>
      </c>
      <c r="F215" s="316" t="n"/>
      <c r="G215" s="317" t="n"/>
      <c r="H215" s="241">
        <f>IF(AND(ISNUMBER(F215),ISNUMBER(G215)),F215*G215,"")</f>
        <v/>
      </c>
      <c r="I215" s="339">
        <f>IF(COUNT(C215,F215)=0,"",N(C215)-N(F215))</f>
        <v/>
      </c>
      <c r="J215" s="340">
        <f>IF(COUNT(E215,H215)=0,"",N(H215)-N(E215))</f>
        <v/>
      </c>
      <c r="K215" s="240">
        <f>IF(AND(ISNUMBER(C215),ISNUMBER(D215),ISNUMBER(F215),ISNUMBER(G215),C215&gt;0,F215&gt;0),ROUND(MIN(C215,F215)*(G215-D215),8),"")</f>
        <v/>
      </c>
      <c r="L215" s="177">
        <f>IF(OR(NOT(ISNUMBER(K215)),COUNT(C215,F215,D215)&lt;3),"",IF(MIN(C215,F215)*D215&lt;=0,"",ROUND(K215/(MIN(C215,F215)*D215)*100,2)))</f>
        <v/>
      </c>
      <c r="M215" s="343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321" t="n"/>
      <c r="D216" s="322" t="n"/>
      <c r="E216" s="247">
        <f>IF(AND(ISNUMBER(C216),ISNUMBER(D216)),C216*D216,"")</f>
        <v/>
      </c>
      <c r="F216" s="321" t="n"/>
      <c r="G216" s="322" t="n"/>
      <c r="H216" s="247">
        <f>IF(AND(ISNUMBER(F216),ISNUMBER(G216)),F216*G216,"")</f>
        <v/>
      </c>
      <c r="I216" s="341">
        <f>IF(COUNT(C216,F216)=0,"",N(C216)-N(F216))</f>
        <v/>
      </c>
      <c r="J216" s="342">
        <f>IF(COUNT(E216,H216)=0,"",N(H216)-N(E216))</f>
        <v/>
      </c>
      <c r="K216" s="246">
        <f>IF(AND(ISNUMBER(C216),ISNUMBER(D216),ISNUMBER(F216),ISNUMBER(G216),C216&gt;0,F216&gt;0),ROUND(MIN(C216,F216)*(G216-D216),8),"")</f>
        <v/>
      </c>
      <c r="L216" s="183">
        <f>IF(OR(NOT(ISNUMBER(K216)),COUNT(C216,F216,D216)&lt;3),"",IF(MIN(C216,F216)*D216&lt;=0,"",ROUND(K216/(MIN(C216,F216)*D216)*100,2)))</f>
        <v/>
      </c>
      <c r="M216" s="344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316" t="n"/>
      <c r="D217" s="317" t="n"/>
      <c r="E217" s="241">
        <f>IF(AND(ISNUMBER(C217),ISNUMBER(D217)),C217*D217,"")</f>
        <v/>
      </c>
      <c r="F217" s="316" t="n"/>
      <c r="G217" s="317" t="n"/>
      <c r="H217" s="241">
        <f>IF(AND(ISNUMBER(F217),ISNUMBER(G217)),F217*G217,"")</f>
        <v/>
      </c>
      <c r="I217" s="339">
        <f>IF(COUNT(C217,F217)=0,"",N(C217)-N(F217))</f>
        <v/>
      </c>
      <c r="J217" s="340">
        <f>IF(COUNT(E217,H217)=0,"",N(H217)-N(E217))</f>
        <v/>
      </c>
      <c r="K217" s="240">
        <f>IF(AND(ISNUMBER(C217),ISNUMBER(D217),ISNUMBER(F217),ISNUMBER(G217),C217&gt;0,F217&gt;0),ROUND(MIN(C217,F217)*(G217-D217),8),"")</f>
        <v/>
      </c>
      <c r="L217" s="177">
        <f>IF(OR(NOT(ISNUMBER(K217)),COUNT(C217,F217,D217)&lt;3),"",IF(MIN(C217,F217)*D217&lt;=0,"",ROUND(K217/(MIN(C217,F217)*D217)*100,2)))</f>
        <v/>
      </c>
      <c r="M217" s="343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321" t="n"/>
      <c r="D218" s="322" t="n"/>
      <c r="E218" s="247">
        <f>IF(AND(ISNUMBER(C218),ISNUMBER(D218)),C218*D218,"")</f>
        <v/>
      </c>
      <c r="F218" s="321" t="n"/>
      <c r="G218" s="322" t="n"/>
      <c r="H218" s="247">
        <f>IF(AND(ISNUMBER(F218),ISNUMBER(G218)),F218*G218,"")</f>
        <v/>
      </c>
      <c r="I218" s="341">
        <f>IF(COUNT(C218,F218)=0,"",N(C218)-N(F218))</f>
        <v/>
      </c>
      <c r="J218" s="342">
        <f>IF(COUNT(E218,H218)=0,"",N(H218)-N(E218))</f>
        <v/>
      </c>
      <c r="K218" s="246">
        <f>IF(AND(ISNUMBER(C218),ISNUMBER(D218),ISNUMBER(F218),ISNUMBER(G218),C218&gt;0,F218&gt;0),ROUND(MIN(C218,F218)*(G218-D218),8),"")</f>
        <v/>
      </c>
      <c r="L218" s="183">
        <f>IF(OR(NOT(ISNUMBER(K218)),COUNT(C218,F218,D218)&lt;3),"",IF(MIN(C218,F218)*D218&lt;=0,"",ROUND(K218/(MIN(C218,F218)*D218)*100,2)))</f>
        <v/>
      </c>
      <c r="M218" s="344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316" t="n"/>
      <c r="D219" s="317" t="n"/>
      <c r="E219" s="241">
        <f>IF(AND(ISNUMBER(C219),ISNUMBER(D219)),C219*D219,"")</f>
        <v/>
      </c>
      <c r="F219" s="316" t="n"/>
      <c r="G219" s="317" t="n"/>
      <c r="H219" s="241">
        <f>IF(AND(ISNUMBER(F219),ISNUMBER(G219)),F219*G219,"")</f>
        <v/>
      </c>
      <c r="I219" s="339">
        <f>IF(COUNT(C219,F219)=0,"",N(C219)-N(F219))</f>
        <v/>
      </c>
      <c r="J219" s="340">
        <f>IF(COUNT(E219,H219)=0,"",N(H219)-N(E219))</f>
        <v/>
      </c>
      <c r="K219" s="240">
        <f>IF(AND(ISNUMBER(C219),ISNUMBER(D219),ISNUMBER(F219),ISNUMBER(G219),C219&gt;0,F219&gt;0),ROUND(MIN(C219,F219)*(G219-D219),8),"")</f>
        <v/>
      </c>
      <c r="L219" s="177">
        <f>IF(OR(NOT(ISNUMBER(K219)),COUNT(C219,F219,D219)&lt;3),"",IF(MIN(C219,F219)*D219&lt;=0,"",ROUND(K219/(MIN(C219,F219)*D219)*100,2)))</f>
        <v/>
      </c>
      <c r="M219" s="343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321" t="n"/>
      <c r="D220" s="322" t="n"/>
      <c r="E220" s="247">
        <f>IF(AND(ISNUMBER(C220),ISNUMBER(D220)),C220*D220,"")</f>
        <v/>
      </c>
      <c r="F220" s="321" t="n"/>
      <c r="G220" s="322" t="n"/>
      <c r="H220" s="247">
        <f>IF(AND(ISNUMBER(F220),ISNUMBER(G220)),F220*G220,"")</f>
        <v/>
      </c>
      <c r="I220" s="341">
        <f>IF(COUNT(C220,F220)=0,"",N(C220)-N(F220))</f>
        <v/>
      </c>
      <c r="J220" s="342">
        <f>IF(COUNT(E220,H220)=0,"",N(H220)-N(E220))</f>
        <v/>
      </c>
      <c r="K220" s="246">
        <f>IF(AND(ISNUMBER(C220),ISNUMBER(D220),ISNUMBER(F220),ISNUMBER(G220),C220&gt;0,F220&gt;0),ROUND(MIN(C220,F220)*(G220-D220),8),"")</f>
        <v/>
      </c>
      <c r="L220" s="183">
        <f>IF(OR(NOT(ISNUMBER(K220)),COUNT(C220,F220,D220)&lt;3),"",IF(MIN(C220,F220)*D220&lt;=0,"",ROUND(K220/(MIN(C220,F220)*D220)*100,2)))</f>
        <v/>
      </c>
      <c r="M220" s="344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316" t="n"/>
      <c r="D221" s="317" t="n"/>
      <c r="E221" s="241">
        <f>IF(AND(ISNUMBER(C221),ISNUMBER(D221)),C221*D221,"")</f>
        <v/>
      </c>
      <c r="F221" s="316" t="n"/>
      <c r="G221" s="317" t="n"/>
      <c r="H221" s="241">
        <f>IF(AND(ISNUMBER(F221),ISNUMBER(G221)),F221*G221,"")</f>
        <v/>
      </c>
      <c r="I221" s="339">
        <f>IF(COUNT(C221,F221)=0,"",N(C221)-N(F221))</f>
        <v/>
      </c>
      <c r="J221" s="340">
        <f>IF(COUNT(E221,H221)=0,"",N(H221)-N(E221))</f>
        <v/>
      </c>
      <c r="K221" s="240">
        <f>IF(AND(ISNUMBER(C221),ISNUMBER(D221),ISNUMBER(F221),ISNUMBER(G221),C221&gt;0,F221&gt;0),ROUND(MIN(C221,F221)*(G221-D221),8),"")</f>
        <v/>
      </c>
      <c r="L221" s="177">
        <f>IF(OR(NOT(ISNUMBER(K221)),COUNT(C221,F221,D221)&lt;3),"",IF(MIN(C221,F221)*D221&lt;=0,"",ROUND(K221/(MIN(C221,F221)*D221)*100,2)))</f>
        <v/>
      </c>
      <c r="M221" s="343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321" t="n"/>
      <c r="D222" s="322" t="n"/>
      <c r="E222" s="247">
        <f>IF(AND(ISNUMBER(C222),ISNUMBER(D222)),C222*D222,"")</f>
        <v/>
      </c>
      <c r="F222" s="321" t="n"/>
      <c r="G222" s="322" t="n"/>
      <c r="H222" s="247">
        <f>IF(AND(ISNUMBER(F222),ISNUMBER(G222)),F222*G222,"")</f>
        <v/>
      </c>
      <c r="I222" s="341">
        <f>IF(COUNT(C222,F222)=0,"",N(C222)-N(F222))</f>
        <v/>
      </c>
      <c r="J222" s="342">
        <f>IF(COUNT(E222,H222)=0,"",N(H222)-N(E222))</f>
        <v/>
      </c>
      <c r="K222" s="246">
        <f>IF(AND(ISNUMBER(C222),ISNUMBER(D222),ISNUMBER(F222),ISNUMBER(G222),C222&gt;0,F222&gt;0),ROUND(MIN(C222,F222)*(G222-D222),8),"")</f>
        <v/>
      </c>
      <c r="L222" s="183">
        <f>IF(OR(NOT(ISNUMBER(K222)),COUNT(C222,F222,D222)&lt;3),"",IF(MIN(C222,F222)*D222&lt;=0,"",ROUND(K222/(MIN(C222,F222)*D222)*100,2)))</f>
        <v/>
      </c>
      <c r="M222" s="344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316" t="n"/>
      <c r="D223" s="317" t="n"/>
      <c r="E223" s="241">
        <f>IF(AND(ISNUMBER(C223),ISNUMBER(D223)),C223*D223,"")</f>
        <v/>
      </c>
      <c r="F223" s="316" t="n"/>
      <c r="G223" s="317" t="n"/>
      <c r="H223" s="241">
        <f>IF(AND(ISNUMBER(F223),ISNUMBER(G223)),F223*G223,"")</f>
        <v/>
      </c>
      <c r="I223" s="339">
        <f>IF(COUNT(C223,F223)=0,"",N(C223)-N(F223))</f>
        <v/>
      </c>
      <c r="J223" s="340">
        <f>IF(COUNT(E223,H223)=0,"",N(H223)-N(E223))</f>
        <v/>
      </c>
      <c r="K223" s="240">
        <f>IF(AND(ISNUMBER(C223),ISNUMBER(D223),ISNUMBER(F223),ISNUMBER(G223),C223&gt;0,F223&gt;0),ROUND(MIN(C223,F223)*(G223-D223),8),"")</f>
        <v/>
      </c>
      <c r="L223" s="177">
        <f>IF(OR(NOT(ISNUMBER(K223)),COUNT(C223,F223,D223)&lt;3),"",IF(MIN(C223,F223)*D223&lt;=0,"",ROUND(K223/(MIN(C223,F223)*D223)*100,2)))</f>
        <v/>
      </c>
      <c r="M223" s="343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321" t="n"/>
      <c r="D224" s="322" t="n"/>
      <c r="E224" s="247">
        <f>IF(AND(ISNUMBER(C224),ISNUMBER(D224)),C224*D224,"")</f>
        <v/>
      </c>
      <c r="F224" s="321" t="n"/>
      <c r="G224" s="322" t="n"/>
      <c r="H224" s="247">
        <f>IF(AND(ISNUMBER(F224),ISNUMBER(G224)),F224*G224,"")</f>
        <v/>
      </c>
      <c r="I224" s="341">
        <f>IF(COUNT(C224,F224)=0,"",N(C224)-N(F224))</f>
        <v/>
      </c>
      <c r="J224" s="342">
        <f>IF(COUNT(E224,H224)=0,"",N(H224)-N(E224))</f>
        <v/>
      </c>
      <c r="K224" s="246">
        <f>IF(AND(ISNUMBER(C224),ISNUMBER(D224),ISNUMBER(F224),ISNUMBER(G224),C224&gt;0,F224&gt;0),ROUND(MIN(C224,F224)*(G224-D224),8),"")</f>
        <v/>
      </c>
      <c r="L224" s="183">
        <f>IF(OR(NOT(ISNUMBER(K224)),COUNT(C224,F224,D224)&lt;3),"",IF(MIN(C224,F224)*D224&lt;=0,"",ROUND(K224/(MIN(C224,F224)*D224)*100,2)))</f>
        <v/>
      </c>
      <c r="M224" s="344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316" t="n"/>
      <c r="D225" s="317" t="n"/>
      <c r="E225" s="241">
        <f>IF(AND(ISNUMBER(C225),ISNUMBER(D225)),C225*D225,"")</f>
        <v/>
      </c>
      <c r="F225" s="316" t="n"/>
      <c r="G225" s="317" t="n"/>
      <c r="H225" s="241">
        <f>IF(AND(ISNUMBER(F225),ISNUMBER(G225)),F225*G225,"")</f>
        <v/>
      </c>
      <c r="I225" s="339">
        <f>IF(COUNT(C225,F225)=0,"",N(C225)-N(F225))</f>
        <v/>
      </c>
      <c r="J225" s="340">
        <f>IF(COUNT(E225,H225)=0,"",N(H225)-N(E225))</f>
        <v/>
      </c>
      <c r="K225" s="240">
        <f>IF(AND(ISNUMBER(C225),ISNUMBER(D225),ISNUMBER(F225),ISNUMBER(G225),C225&gt;0,F225&gt;0),ROUND(MIN(C225,F225)*(G225-D225),8),"")</f>
        <v/>
      </c>
      <c r="L225" s="177">
        <f>IF(OR(NOT(ISNUMBER(K225)),COUNT(C225,F225,D225)&lt;3),"",IF(MIN(C225,F225)*D225&lt;=0,"",ROUND(K225/(MIN(C225,F225)*D225)*100,2)))</f>
        <v/>
      </c>
      <c r="M225" s="343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321" t="n"/>
      <c r="D226" s="322" t="n"/>
      <c r="E226" s="247">
        <f>IF(AND(ISNUMBER(C226),ISNUMBER(D226)),C226*D226,"")</f>
        <v/>
      </c>
      <c r="F226" s="321" t="n"/>
      <c r="G226" s="322" t="n"/>
      <c r="H226" s="247">
        <f>IF(AND(ISNUMBER(F226),ISNUMBER(G226)),F226*G226,"")</f>
        <v/>
      </c>
      <c r="I226" s="341">
        <f>IF(COUNT(C226,F226)=0,"",N(C226)-N(F226))</f>
        <v/>
      </c>
      <c r="J226" s="342">
        <f>IF(COUNT(E226,H226)=0,"",N(H226)-N(E226))</f>
        <v/>
      </c>
      <c r="K226" s="246">
        <f>IF(AND(ISNUMBER(C226),ISNUMBER(D226),ISNUMBER(F226),ISNUMBER(G226),C226&gt;0,F226&gt;0),ROUND(MIN(C226,F226)*(G226-D226),8),"")</f>
        <v/>
      </c>
      <c r="L226" s="183">
        <f>IF(OR(NOT(ISNUMBER(K226)),COUNT(C226,F226,D226)&lt;3),"",IF(MIN(C226,F226)*D226&lt;=0,"",ROUND(K226/(MIN(C226,F226)*D226)*100,2)))</f>
        <v/>
      </c>
      <c r="M226" s="344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316" t="n"/>
      <c r="D227" s="317" t="n"/>
      <c r="E227" s="241">
        <f>IF(AND(ISNUMBER(C227),ISNUMBER(D227)),C227*D227,"")</f>
        <v/>
      </c>
      <c r="F227" s="316" t="n"/>
      <c r="G227" s="317" t="n"/>
      <c r="H227" s="241">
        <f>IF(AND(ISNUMBER(F227),ISNUMBER(G227)),F227*G227,"")</f>
        <v/>
      </c>
      <c r="I227" s="339">
        <f>IF(COUNT(C227,F227)=0,"",N(C227)-N(F227))</f>
        <v/>
      </c>
      <c r="J227" s="340">
        <f>IF(COUNT(E227,H227)=0,"",N(H227)-N(E227))</f>
        <v/>
      </c>
      <c r="K227" s="240">
        <f>IF(AND(ISNUMBER(C227),ISNUMBER(D227),ISNUMBER(F227),ISNUMBER(G227),C227&gt;0,F227&gt;0),ROUND(MIN(C227,F227)*(G227-D227),8),"")</f>
        <v/>
      </c>
      <c r="L227" s="177">
        <f>IF(OR(NOT(ISNUMBER(K227)),COUNT(C227,F227,D227)&lt;3),"",IF(MIN(C227,F227)*D227&lt;=0,"",ROUND(K227/(MIN(C227,F227)*D227)*100,2)))</f>
        <v/>
      </c>
      <c r="M227" s="343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321" t="n"/>
      <c r="D228" s="322" t="n"/>
      <c r="E228" s="247">
        <f>IF(AND(ISNUMBER(C228),ISNUMBER(D228)),C228*D228,"")</f>
        <v/>
      </c>
      <c r="F228" s="321" t="n"/>
      <c r="G228" s="322" t="n"/>
      <c r="H228" s="247">
        <f>IF(AND(ISNUMBER(F228),ISNUMBER(G228)),F228*G228,"")</f>
        <v/>
      </c>
      <c r="I228" s="341">
        <f>IF(COUNT(C228,F228)=0,"",N(C228)-N(F228))</f>
        <v/>
      </c>
      <c r="J228" s="342">
        <f>IF(COUNT(E228,H228)=0,"",N(H228)-N(E228))</f>
        <v/>
      </c>
      <c r="K228" s="246">
        <f>IF(AND(ISNUMBER(C228),ISNUMBER(D228),ISNUMBER(F228),ISNUMBER(G228),C228&gt;0,F228&gt;0),ROUND(MIN(C228,F228)*(G228-D228),8),"")</f>
        <v/>
      </c>
      <c r="L228" s="183">
        <f>IF(OR(NOT(ISNUMBER(K228)),COUNT(C228,F228,D228)&lt;3),"",IF(MIN(C228,F228)*D228&lt;=0,"",ROUND(K228/(MIN(C228,F228)*D228)*100,2)))</f>
        <v/>
      </c>
      <c r="M228" s="344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316" t="n"/>
      <c r="D229" s="317" t="n"/>
      <c r="E229" s="241">
        <f>IF(AND(ISNUMBER(C229),ISNUMBER(D229)),C229*D229,"")</f>
        <v/>
      </c>
      <c r="F229" s="316" t="n"/>
      <c r="G229" s="317" t="n"/>
      <c r="H229" s="241">
        <f>IF(AND(ISNUMBER(F229),ISNUMBER(G229)),F229*G229,"")</f>
        <v/>
      </c>
      <c r="I229" s="339">
        <f>IF(COUNT(C229,F229)=0,"",N(C229)-N(F229))</f>
        <v/>
      </c>
      <c r="J229" s="340">
        <f>IF(COUNT(E229,H229)=0,"",N(H229)-N(E229))</f>
        <v/>
      </c>
      <c r="K229" s="240">
        <f>IF(AND(ISNUMBER(C229),ISNUMBER(D229),ISNUMBER(F229),ISNUMBER(G229),C229&gt;0,F229&gt;0),ROUND(MIN(C229,F229)*(G229-D229),8),"")</f>
        <v/>
      </c>
      <c r="L229" s="177">
        <f>IF(OR(NOT(ISNUMBER(K229)),COUNT(C229,F229,D229)&lt;3),"",IF(MIN(C229,F229)*D229&lt;=0,"",ROUND(K229/(MIN(C229,F229)*D229)*100,2)))</f>
        <v/>
      </c>
      <c r="M229" s="343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321" t="n"/>
      <c r="D230" s="322" t="n"/>
      <c r="E230" s="247">
        <f>IF(AND(ISNUMBER(C230),ISNUMBER(D230)),C230*D230,"")</f>
        <v/>
      </c>
      <c r="F230" s="321" t="n"/>
      <c r="G230" s="322" t="n"/>
      <c r="H230" s="247">
        <f>IF(AND(ISNUMBER(F230),ISNUMBER(G230)),F230*G230,"")</f>
        <v/>
      </c>
      <c r="I230" s="341">
        <f>IF(COUNT(C230,F230)=0,"",N(C230)-N(F230))</f>
        <v/>
      </c>
      <c r="J230" s="342">
        <f>IF(COUNT(E230,H230)=0,"",N(H230)-N(E230))</f>
        <v/>
      </c>
      <c r="K230" s="246">
        <f>IF(AND(ISNUMBER(C230),ISNUMBER(D230),ISNUMBER(F230),ISNUMBER(G230),C230&gt;0,F230&gt;0),ROUND(MIN(C230,F230)*(G230-D230),8),"")</f>
        <v/>
      </c>
      <c r="L230" s="183">
        <f>IF(OR(NOT(ISNUMBER(K230)),COUNT(C230,F230,D230)&lt;3),"",IF(MIN(C230,F230)*D230&lt;=0,"",ROUND(K230/(MIN(C230,F230)*D230)*100,2)))</f>
        <v/>
      </c>
      <c r="M230" s="344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316" t="n"/>
      <c r="D231" s="317" t="n"/>
      <c r="E231" s="241">
        <f>IF(AND(ISNUMBER(C231),ISNUMBER(D231)),C231*D231,"")</f>
        <v/>
      </c>
      <c r="F231" s="316" t="n"/>
      <c r="G231" s="317" t="n"/>
      <c r="H231" s="241">
        <f>IF(AND(ISNUMBER(F231),ISNUMBER(G231)),F231*G231,"")</f>
        <v/>
      </c>
      <c r="I231" s="339">
        <f>IF(COUNT(C231,F231)=0,"",N(C231)-N(F231))</f>
        <v/>
      </c>
      <c r="J231" s="340">
        <f>IF(COUNT(E231,H231)=0,"",N(H231)-N(E231))</f>
        <v/>
      </c>
      <c r="K231" s="240">
        <f>IF(AND(ISNUMBER(C231),ISNUMBER(D231),ISNUMBER(F231),ISNUMBER(G231),C231&gt;0,F231&gt;0),ROUND(MIN(C231,F231)*(G231-D231),8),"")</f>
        <v/>
      </c>
      <c r="L231" s="177">
        <f>IF(OR(NOT(ISNUMBER(K231)),COUNT(C231,F231,D231)&lt;3),"",IF(MIN(C231,F231)*D231&lt;=0,"",ROUND(K231/(MIN(C231,F231)*D231)*100,2)))</f>
        <v/>
      </c>
      <c r="M231" s="343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321" t="n"/>
      <c r="D232" s="322" t="n"/>
      <c r="E232" s="247">
        <f>IF(AND(ISNUMBER(C232),ISNUMBER(D232)),C232*D232,"")</f>
        <v/>
      </c>
      <c r="F232" s="321" t="n"/>
      <c r="G232" s="322" t="n"/>
      <c r="H232" s="247">
        <f>IF(AND(ISNUMBER(F232),ISNUMBER(G232)),F232*G232,"")</f>
        <v/>
      </c>
      <c r="I232" s="341">
        <f>IF(COUNT(C232,F232)=0,"",N(C232)-N(F232))</f>
        <v/>
      </c>
      <c r="J232" s="342">
        <f>IF(COUNT(E232,H232)=0,"",N(H232)-N(E232))</f>
        <v/>
      </c>
      <c r="K232" s="246">
        <f>IF(AND(ISNUMBER(C232),ISNUMBER(D232),ISNUMBER(F232),ISNUMBER(G232),C232&gt;0,F232&gt;0),ROUND(MIN(C232,F232)*(G232-D232),8),"")</f>
        <v/>
      </c>
      <c r="L232" s="183">
        <f>IF(OR(NOT(ISNUMBER(K232)),COUNT(C232,F232,D232)&lt;3),"",IF(MIN(C232,F232)*D232&lt;=0,"",ROUND(K232/(MIN(C232,F232)*D232)*100,2)))</f>
        <v/>
      </c>
      <c r="M232" s="344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316" t="n"/>
      <c r="D233" s="317" t="n"/>
      <c r="E233" s="241">
        <f>IF(AND(ISNUMBER(C233),ISNUMBER(D233)),C233*D233,"")</f>
        <v/>
      </c>
      <c r="F233" s="316" t="n"/>
      <c r="G233" s="317" t="n"/>
      <c r="H233" s="241">
        <f>IF(AND(ISNUMBER(F233),ISNUMBER(G233)),F233*G233,"")</f>
        <v/>
      </c>
      <c r="I233" s="339">
        <f>IF(COUNT(C233,F233)=0,"",N(C233)-N(F233))</f>
        <v/>
      </c>
      <c r="J233" s="340">
        <f>IF(COUNT(E233,H233)=0,"",N(H233)-N(E233))</f>
        <v/>
      </c>
      <c r="K233" s="240">
        <f>IF(AND(ISNUMBER(C233),ISNUMBER(D233),ISNUMBER(F233),ISNUMBER(G233),C233&gt;0,F233&gt;0),ROUND(MIN(C233,F233)*(G233-D233),8),"")</f>
        <v/>
      </c>
      <c r="L233" s="177">
        <f>IF(OR(NOT(ISNUMBER(K233)),COUNT(C233,F233,D233)&lt;3),"",IF(MIN(C233,F233)*D233&lt;=0,"",ROUND(K233/(MIN(C233,F233)*D233)*100,2)))</f>
        <v/>
      </c>
      <c r="M233" s="343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321" t="n"/>
      <c r="D234" s="322" t="n"/>
      <c r="E234" s="247">
        <f>IF(AND(ISNUMBER(C234),ISNUMBER(D234)),C234*D234,"")</f>
        <v/>
      </c>
      <c r="F234" s="321" t="n"/>
      <c r="G234" s="322" t="n"/>
      <c r="H234" s="247">
        <f>IF(AND(ISNUMBER(F234),ISNUMBER(G234)),F234*G234,"")</f>
        <v/>
      </c>
      <c r="I234" s="341">
        <f>IF(COUNT(C234,F234)=0,"",N(C234)-N(F234))</f>
        <v/>
      </c>
      <c r="J234" s="342">
        <f>IF(COUNT(E234,H234)=0,"",N(H234)-N(E234))</f>
        <v/>
      </c>
      <c r="K234" s="246">
        <f>IF(AND(ISNUMBER(C234),ISNUMBER(D234),ISNUMBER(F234),ISNUMBER(G234),C234&gt;0,F234&gt;0),ROUND(MIN(C234,F234)*(G234-D234),8),"")</f>
        <v/>
      </c>
      <c r="L234" s="183">
        <f>IF(OR(NOT(ISNUMBER(K234)),COUNT(C234,F234,D234)&lt;3),"",IF(MIN(C234,F234)*D234&lt;=0,"",ROUND(K234/(MIN(C234,F234)*D234)*100,2)))</f>
        <v/>
      </c>
      <c r="M234" s="344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316" t="n"/>
      <c r="D235" s="317" t="n"/>
      <c r="E235" s="241">
        <f>IF(AND(ISNUMBER(C235),ISNUMBER(D235)),C235*D235,"")</f>
        <v/>
      </c>
      <c r="F235" s="316" t="n"/>
      <c r="G235" s="317" t="n"/>
      <c r="H235" s="241">
        <f>IF(AND(ISNUMBER(F235),ISNUMBER(G235)),F235*G235,"")</f>
        <v/>
      </c>
      <c r="I235" s="339">
        <f>IF(COUNT(C235,F235)=0,"",N(C235)-N(F235))</f>
        <v/>
      </c>
      <c r="J235" s="340">
        <f>IF(COUNT(E235,H235)=0,"",N(H235)-N(E235))</f>
        <v/>
      </c>
      <c r="K235" s="240">
        <f>IF(AND(ISNUMBER(C235),ISNUMBER(D235),ISNUMBER(F235),ISNUMBER(G235),C235&gt;0,F235&gt;0),ROUND(MIN(C235,F235)*(G235-D235),8),"")</f>
        <v/>
      </c>
      <c r="L235" s="177">
        <f>IF(OR(NOT(ISNUMBER(K235)),COUNT(C235,F235,D235)&lt;3),"",IF(MIN(C235,F235)*D235&lt;=0,"",ROUND(K235/(MIN(C235,F235)*D235)*100,2)))</f>
        <v/>
      </c>
      <c r="M235" s="343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321" t="n"/>
      <c r="D236" s="322" t="n"/>
      <c r="E236" s="247">
        <f>IF(AND(ISNUMBER(C236),ISNUMBER(D236)),C236*D236,"")</f>
        <v/>
      </c>
      <c r="F236" s="321" t="n"/>
      <c r="G236" s="322" t="n"/>
      <c r="H236" s="247">
        <f>IF(AND(ISNUMBER(F236),ISNUMBER(G236)),F236*G236,"")</f>
        <v/>
      </c>
      <c r="I236" s="341">
        <f>IF(COUNT(C236,F236)=0,"",N(C236)-N(F236))</f>
        <v/>
      </c>
      <c r="J236" s="342">
        <f>IF(COUNT(E236,H236)=0,"",N(H236)-N(E236))</f>
        <v/>
      </c>
      <c r="K236" s="246">
        <f>IF(AND(ISNUMBER(C236),ISNUMBER(D236),ISNUMBER(F236),ISNUMBER(G236),C236&gt;0,F236&gt;0),ROUND(MIN(C236,F236)*(G236-D236),8),"")</f>
        <v/>
      </c>
      <c r="L236" s="183">
        <f>IF(OR(NOT(ISNUMBER(K236)),COUNT(C236,F236,D236)&lt;3),"",IF(MIN(C236,F236)*D236&lt;=0,"",ROUND(K236/(MIN(C236,F236)*D236)*100,2)))</f>
        <v/>
      </c>
      <c r="M236" s="344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316" t="n"/>
      <c r="D237" s="317" t="n"/>
      <c r="E237" s="241">
        <f>IF(AND(ISNUMBER(C237),ISNUMBER(D237)),C237*D237,"")</f>
        <v/>
      </c>
      <c r="F237" s="316" t="n"/>
      <c r="G237" s="317" t="n"/>
      <c r="H237" s="241">
        <f>IF(AND(ISNUMBER(F237),ISNUMBER(G237)),F237*G237,"")</f>
        <v/>
      </c>
      <c r="I237" s="339">
        <f>IF(COUNT(C237,F237)=0,"",N(C237)-N(F237))</f>
        <v/>
      </c>
      <c r="J237" s="340">
        <f>IF(COUNT(E237,H237)=0,"",N(H237)-N(E237))</f>
        <v/>
      </c>
      <c r="K237" s="240">
        <f>IF(AND(ISNUMBER(C237),ISNUMBER(D237),ISNUMBER(F237),ISNUMBER(G237),C237&gt;0,F237&gt;0),ROUND(MIN(C237,F237)*(G237-D237),8),"")</f>
        <v/>
      </c>
      <c r="L237" s="177">
        <f>IF(OR(NOT(ISNUMBER(K237)),COUNT(C237,F237,D237)&lt;3),"",IF(MIN(C237,F237)*D237&lt;=0,"",ROUND(K237/(MIN(C237,F237)*D237)*100,2)))</f>
        <v/>
      </c>
      <c r="M237" s="343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321" t="n"/>
      <c r="D238" s="322" t="n"/>
      <c r="E238" s="247">
        <f>IF(AND(ISNUMBER(C238),ISNUMBER(D238)),C238*D238,"")</f>
        <v/>
      </c>
      <c r="F238" s="321" t="n"/>
      <c r="G238" s="322" t="n"/>
      <c r="H238" s="247">
        <f>IF(AND(ISNUMBER(F238),ISNUMBER(G238)),F238*G238,"")</f>
        <v/>
      </c>
      <c r="I238" s="341">
        <f>IF(COUNT(C238,F238)=0,"",N(C238)-N(F238))</f>
        <v/>
      </c>
      <c r="J238" s="342">
        <f>IF(COUNT(E238,H238)=0,"",N(H238)-N(E238))</f>
        <v/>
      </c>
      <c r="K238" s="246">
        <f>IF(AND(ISNUMBER(C238),ISNUMBER(D238),ISNUMBER(F238),ISNUMBER(G238),C238&gt;0,F238&gt;0),ROUND(MIN(C238,F238)*(G238-D238),8),"")</f>
        <v/>
      </c>
      <c r="L238" s="183">
        <f>IF(OR(NOT(ISNUMBER(K238)),COUNT(C238,F238,D238)&lt;3),"",IF(MIN(C238,F238)*D238&lt;=0,"",ROUND(K238/(MIN(C238,F238)*D238)*100,2)))</f>
        <v/>
      </c>
      <c r="M238" s="344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316" t="n"/>
      <c r="D239" s="317" t="n"/>
      <c r="E239" s="241">
        <f>IF(AND(ISNUMBER(C239),ISNUMBER(D239)),C239*D239,"")</f>
        <v/>
      </c>
      <c r="F239" s="316" t="n"/>
      <c r="G239" s="317" t="n"/>
      <c r="H239" s="241">
        <f>IF(AND(ISNUMBER(F239),ISNUMBER(G239)),F239*G239,"")</f>
        <v/>
      </c>
      <c r="I239" s="339">
        <f>IF(COUNT(C239,F239)=0,"",N(C239)-N(F239))</f>
        <v/>
      </c>
      <c r="J239" s="340">
        <f>IF(COUNT(E239,H239)=0,"",N(H239)-N(E239))</f>
        <v/>
      </c>
      <c r="K239" s="240">
        <f>IF(AND(ISNUMBER(C239),ISNUMBER(D239),ISNUMBER(F239),ISNUMBER(G239),C239&gt;0,F239&gt;0),ROUND(MIN(C239,F239)*(G239-D239),8),"")</f>
        <v/>
      </c>
      <c r="L239" s="177">
        <f>IF(OR(NOT(ISNUMBER(K239)),COUNT(C239,F239,D239)&lt;3),"",IF(MIN(C239,F239)*D239&lt;=0,"",ROUND(K239/(MIN(C239,F239)*D239)*100,2)))</f>
        <v/>
      </c>
      <c r="M239" s="343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321" t="n"/>
      <c r="D240" s="322" t="n"/>
      <c r="E240" s="247">
        <f>IF(AND(ISNUMBER(C240),ISNUMBER(D240)),C240*D240,"")</f>
        <v/>
      </c>
      <c r="F240" s="321" t="n"/>
      <c r="G240" s="322" t="n"/>
      <c r="H240" s="247">
        <f>IF(AND(ISNUMBER(F240),ISNUMBER(G240)),F240*G240,"")</f>
        <v/>
      </c>
      <c r="I240" s="341">
        <f>IF(COUNT(C240,F240)=0,"",N(C240)-N(F240))</f>
        <v/>
      </c>
      <c r="J240" s="342">
        <f>IF(COUNT(E240,H240)=0,"",N(H240)-N(E240))</f>
        <v/>
      </c>
      <c r="K240" s="246">
        <f>IF(AND(ISNUMBER(C240),ISNUMBER(D240),ISNUMBER(F240),ISNUMBER(G240),C240&gt;0,F240&gt;0),ROUND(MIN(C240,F240)*(G240-D240),8),"")</f>
        <v/>
      </c>
      <c r="L240" s="183">
        <f>IF(OR(NOT(ISNUMBER(K240)),COUNT(C240,F240,D240)&lt;3),"",IF(MIN(C240,F240)*D240&lt;=0,"",ROUND(K240/(MIN(C240,F240)*D240)*100,2)))</f>
        <v/>
      </c>
      <c r="M240" s="344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316" t="n"/>
      <c r="D241" s="317" t="n"/>
      <c r="E241" s="241">
        <f>IF(AND(ISNUMBER(C241),ISNUMBER(D241)),C241*D241,"")</f>
        <v/>
      </c>
      <c r="F241" s="316" t="n"/>
      <c r="G241" s="317" t="n"/>
      <c r="H241" s="241">
        <f>IF(AND(ISNUMBER(F241),ISNUMBER(G241)),F241*G241,"")</f>
        <v/>
      </c>
      <c r="I241" s="339">
        <f>IF(COUNT(C241,F241)=0,"",N(C241)-N(F241))</f>
        <v/>
      </c>
      <c r="J241" s="340">
        <f>IF(COUNT(E241,H241)=0,"",N(H241)-N(E241))</f>
        <v/>
      </c>
      <c r="K241" s="240">
        <f>IF(AND(ISNUMBER(C241),ISNUMBER(D241),ISNUMBER(F241),ISNUMBER(G241),C241&gt;0,F241&gt;0),ROUND(MIN(C241,F241)*(G241-D241),8),"")</f>
        <v/>
      </c>
      <c r="L241" s="177">
        <f>IF(OR(NOT(ISNUMBER(K241)),COUNT(C241,F241,D241)&lt;3),"",IF(MIN(C241,F241)*D241&lt;=0,"",ROUND(K241/(MIN(C241,F241)*D241)*100,2)))</f>
        <v/>
      </c>
      <c r="M241" s="343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321" t="n"/>
      <c r="D242" s="322" t="n"/>
      <c r="E242" s="247">
        <f>IF(AND(ISNUMBER(C242),ISNUMBER(D242)),C242*D242,"")</f>
        <v/>
      </c>
      <c r="F242" s="321" t="n"/>
      <c r="G242" s="322" t="n"/>
      <c r="H242" s="247">
        <f>IF(AND(ISNUMBER(F242),ISNUMBER(G242)),F242*G242,"")</f>
        <v/>
      </c>
      <c r="I242" s="341">
        <f>IF(COUNT(C242,F242)=0,"",N(C242)-N(F242))</f>
        <v/>
      </c>
      <c r="J242" s="342">
        <f>IF(COUNT(E242,H242)=0,"",N(H242)-N(E242))</f>
        <v/>
      </c>
      <c r="K242" s="246">
        <f>IF(AND(ISNUMBER(C242),ISNUMBER(D242),ISNUMBER(F242),ISNUMBER(G242),C242&gt;0,F242&gt;0),ROUND(MIN(C242,F242)*(G242-D242),8),"")</f>
        <v/>
      </c>
      <c r="L242" s="183">
        <f>IF(OR(NOT(ISNUMBER(K242)),COUNT(C242,F242,D242)&lt;3),"",IF(MIN(C242,F242)*D242&lt;=0,"",ROUND(K242/(MIN(C242,F242)*D242)*100,2)))</f>
        <v/>
      </c>
      <c r="M242" s="344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316" t="n"/>
      <c r="D243" s="317" t="n"/>
      <c r="E243" s="241">
        <f>IF(AND(ISNUMBER(C243),ISNUMBER(D243)),C243*D243,"")</f>
        <v/>
      </c>
      <c r="F243" s="316" t="n"/>
      <c r="G243" s="317" t="n"/>
      <c r="H243" s="241">
        <f>IF(AND(ISNUMBER(F243),ISNUMBER(G243)),F243*G243,"")</f>
        <v/>
      </c>
      <c r="I243" s="339">
        <f>IF(COUNT(C243,F243)=0,"",N(C243)-N(F243))</f>
        <v/>
      </c>
      <c r="J243" s="340">
        <f>IF(COUNT(E243,H243)=0,"",N(H243)-N(E243))</f>
        <v/>
      </c>
      <c r="K243" s="240">
        <f>IF(AND(ISNUMBER(C243),ISNUMBER(D243),ISNUMBER(F243),ISNUMBER(G243),C243&gt;0,F243&gt;0),ROUND(MIN(C243,F243)*(G243-D243),8),"")</f>
        <v/>
      </c>
      <c r="L243" s="177">
        <f>IF(OR(NOT(ISNUMBER(K243)),COUNT(C243,F243,D243)&lt;3),"",IF(MIN(C243,F243)*D243&lt;=0,"",ROUND(K243/(MIN(C243,F243)*D243)*100,2)))</f>
        <v/>
      </c>
      <c r="M243" s="343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321" t="n"/>
      <c r="D244" s="322" t="n"/>
      <c r="E244" s="247">
        <f>IF(AND(ISNUMBER(C244),ISNUMBER(D244)),C244*D244,"")</f>
        <v/>
      </c>
      <c r="F244" s="321" t="n"/>
      <c r="G244" s="322" t="n"/>
      <c r="H244" s="247">
        <f>IF(AND(ISNUMBER(F244),ISNUMBER(G244)),F244*G244,"")</f>
        <v/>
      </c>
      <c r="I244" s="341">
        <f>IF(COUNT(C244,F244)=0,"",N(C244)-N(F244))</f>
        <v/>
      </c>
      <c r="J244" s="342">
        <f>IF(COUNT(E244,H244)=0,"",N(H244)-N(E244))</f>
        <v/>
      </c>
      <c r="K244" s="246">
        <f>IF(AND(ISNUMBER(C244),ISNUMBER(D244),ISNUMBER(F244),ISNUMBER(G244),C244&gt;0,F244&gt;0),ROUND(MIN(C244,F244)*(G244-D244),8),"")</f>
        <v/>
      </c>
      <c r="L244" s="183">
        <f>IF(OR(NOT(ISNUMBER(K244)),COUNT(C244,F244,D244)&lt;3),"",IF(MIN(C244,F244)*D244&lt;=0,"",ROUND(K244/(MIN(C244,F244)*D244)*100,2)))</f>
        <v/>
      </c>
      <c r="M244" s="344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316" t="n"/>
      <c r="D245" s="317" t="n"/>
      <c r="E245" s="241">
        <f>IF(AND(ISNUMBER(C245),ISNUMBER(D245)),C245*D245,"")</f>
        <v/>
      </c>
      <c r="F245" s="316" t="n"/>
      <c r="G245" s="317" t="n"/>
      <c r="H245" s="241">
        <f>IF(AND(ISNUMBER(F245),ISNUMBER(G245)),F245*G245,"")</f>
        <v/>
      </c>
      <c r="I245" s="339">
        <f>IF(COUNT(C245,F245)=0,"",N(C245)-N(F245))</f>
        <v/>
      </c>
      <c r="J245" s="340">
        <f>IF(COUNT(E245,H245)=0,"",N(H245)-N(E245))</f>
        <v/>
      </c>
      <c r="K245" s="240">
        <f>IF(AND(ISNUMBER(C245),ISNUMBER(D245),ISNUMBER(F245),ISNUMBER(G245),C245&gt;0,F245&gt;0),ROUND(MIN(C245,F245)*(G245-D245),8),"")</f>
        <v/>
      </c>
      <c r="L245" s="177">
        <f>IF(OR(NOT(ISNUMBER(K245)),COUNT(C245,F245,D245)&lt;3),"",IF(MIN(C245,F245)*D245&lt;=0,"",ROUND(K245/(MIN(C245,F245)*D245)*100,2)))</f>
        <v/>
      </c>
      <c r="M245" s="343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321" t="n"/>
      <c r="D246" s="322" t="n"/>
      <c r="E246" s="247">
        <f>IF(AND(ISNUMBER(C246),ISNUMBER(D246)),C246*D246,"")</f>
        <v/>
      </c>
      <c r="F246" s="321" t="n"/>
      <c r="G246" s="322" t="n"/>
      <c r="H246" s="247">
        <f>IF(AND(ISNUMBER(F246),ISNUMBER(G246)),F246*G246,"")</f>
        <v/>
      </c>
      <c r="I246" s="341">
        <f>IF(COUNT(C246,F246)=0,"",N(C246)-N(F246))</f>
        <v/>
      </c>
      <c r="J246" s="342">
        <f>IF(COUNT(E246,H246)=0,"",N(H246)-N(E246))</f>
        <v/>
      </c>
      <c r="K246" s="246">
        <f>IF(AND(ISNUMBER(C246),ISNUMBER(D246),ISNUMBER(F246),ISNUMBER(G246),C246&gt;0,F246&gt;0),ROUND(MIN(C246,F246)*(G246-D246),8),"")</f>
        <v/>
      </c>
      <c r="L246" s="183">
        <f>IF(OR(NOT(ISNUMBER(K246)),COUNT(C246,F246,D246)&lt;3),"",IF(MIN(C246,F246)*D246&lt;=0,"",ROUND(K246/(MIN(C246,F246)*D246)*100,2)))</f>
        <v/>
      </c>
      <c r="M246" s="344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316" t="n"/>
      <c r="D247" s="317" t="n"/>
      <c r="E247" s="241">
        <f>IF(AND(ISNUMBER(C247),ISNUMBER(D247)),C247*D247,"")</f>
        <v/>
      </c>
      <c r="F247" s="316" t="n"/>
      <c r="G247" s="317" t="n"/>
      <c r="H247" s="241">
        <f>IF(AND(ISNUMBER(F247),ISNUMBER(G247)),F247*G247,"")</f>
        <v/>
      </c>
      <c r="I247" s="339">
        <f>IF(COUNT(C247,F247)=0,"",N(C247)-N(F247))</f>
        <v/>
      </c>
      <c r="J247" s="340">
        <f>IF(COUNT(E247,H247)=0,"",N(H247)-N(E247))</f>
        <v/>
      </c>
      <c r="K247" s="240">
        <f>IF(AND(ISNUMBER(C247),ISNUMBER(D247),ISNUMBER(F247),ISNUMBER(G247),C247&gt;0,F247&gt;0),ROUND(MIN(C247,F247)*(G247-D247),8),"")</f>
        <v/>
      </c>
      <c r="L247" s="177">
        <f>IF(OR(NOT(ISNUMBER(K247)),COUNT(C247,F247,D247)&lt;3),"",IF(MIN(C247,F247)*D247&lt;=0,"",ROUND(K247/(MIN(C247,F247)*D247)*100,2)))</f>
        <v/>
      </c>
      <c r="M247" s="343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321" t="n"/>
      <c r="D248" s="322" t="n"/>
      <c r="E248" s="247">
        <f>IF(AND(ISNUMBER(C248),ISNUMBER(D248)),C248*D248,"")</f>
        <v/>
      </c>
      <c r="F248" s="321" t="n"/>
      <c r="G248" s="322" t="n"/>
      <c r="H248" s="247">
        <f>IF(AND(ISNUMBER(F248),ISNUMBER(G248)),F248*G248,"")</f>
        <v/>
      </c>
      <c r="I248" s="341">
        <f>IF(COUNT(C248,F248)=0,"",N(C248)-N(F248))</f>
        <v/>
      </c>
      <c r="J248" s="342">
        <f>IF(COUNT(E248,H248)=0,"",N(H248)-N(E248))</f>
        <v/>
      </c>
      <c r="K248" s="246">
        <f>IF(AND(ISNUMBER(C248),ISNUMBER(D248),ISNUMBER(F248),ISNUMBER(G248),C248&gt;0,F248&gt;0),ROUND(MIN(C248,F248)*(G248-D248),8),"")</f>
        <v/>
      </c>
      <c r="L248" s="183">
        <f>IF(OR(NOT(ISNUMBER(K248)),COUNT(C248,F248,D248)&lt;3),"",IF(MIN(C248,F248)*D248&lt;=0,"",ROUND(K248/(MIN(C248,F248)*D248)*100,2)))</f>
        <v/>
      </c>
      <c r="M248" s="344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316" t="n"/>
      <c r="D249" s="317" t="n"/>
      <c r="E249" s="241">
        <f>IF(AND(ISNUMBER(C249),ISNUMBER(D249)),C249*D249,"")</f>
        <v/>
      </c>
      <c r="F249" s="316" t="n"/>
      <c r="G249" s="317" t="n"/>
      <c r="H249" s="241">
        <f>IF(AND(ISNUMBER(F249),ISNUMBER(G249)),F249*G249,"")</f>
        <v/>
      </c>
      <c r="I249" s="339">
        <f>IF(COUNT(C249,F249)=0,"",N(C249)-N(F249))</f>
        <v/>
      </c>
      <c r="J249" s="340">
        <f>IF(COUNT(E249,H249)=0,"",N(H249)-N(E249))</f>
        <v/>
      </c>
      <c r="K249" s="240">
        <f>IF(AND(ISNUMBER(C249),ISNUMBER(D249),ISNUMBER(F249),ISNUMBER(G249),C249&gt;0,F249&gt;0),ROUND(MIN(C249,F249)*(G249-D249),8),"")</f>
        <v/>
      </c>
      <c r="L249" s="177">
        <f>IF(OR(NOT(ISNUMBER(K249)),COUNT(C249,F249,D249)&lt;3),"",IF(MIN(C249,F249)*D249&lt;=0,"",ROUND(K249/(MIN(C249,F249)*D249)*100,2)))</f>
        <v/>
      </c>
      <c r="M249" s="343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321" t="n"/>
      <c r="D250" s="322" t="n"/>
      <c r="E250" s="247">
        <f>IF(AND(ISNUMBER(C250),ISNUMBER(D250)),C250*D250,"")</f>
        <v/>
      </c>
      <c r="F250" s="321" t="n"/>
      <c r="G250" s="322" t="n"/>
      <c r="H250" s="247">
        <f>IF(AND(ISNUMBER(F250),ISNUMBER(G250)),F250*G250,"")</f>
        <v/>
      </c>
      <c r="I250" s="341">
        <f>IF(COUNT(C250,F250)=0,"",N(C250)-N(F250))</f>
        <v/>
      </c>
      <c r="J250" s="342">
        <f>IF(COUNT(E250,H250)=0,"",N(H250)-N(E250))</f>
        <v/>
      </c>
      <c r="K250" s="246">
        <f>IF(AND(ISNUMBER(C250),ISNUMBER(D250),ISNUMBER(F250),ISNUMBER(G250),C250&gt;0,F250&gt;0),ROUND(MIN(C250,F250)*(G250-D250),8),"")</f>
        <v/>
      </c>
      <c r="L250" s="183">
        <f>IF(OR(NOT(ISNUMBER(K250)),COUNT(C250,F250,D250)&lt;3),"",IF(MIN(C250,F250)*D250&lt;=0,"",ROUND(K250/(MIN(C250,F250)*D250)*100,2)))</f>
        <v/>
      </c>
      <c r="M250" s="344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316" t="n"/>
      <c r="D251" s="317" t="n"/>
      <c r="E251" s="241">
        <f>IF(AND(ISNUMBER(C251),ISNUMBER(D251)),C251*D251,"")</f>
        <v/>
      </c>
      <c r="F251" s="316" t="n"/>
      <c r="G251" s="317" t="n"/>
      <c r="H251" s="241">
        <f>IF(AND(ISNUMBER(F251),ISNUMBER(G251)),F251*G251,"")</f>
        <v/>
      </c>
      <c r="I251" s="339">
        <f>IF(COUNT(C251,F251)=0,"",N(C251)-N(F251))</f>
        <v/>
      </c>
      <c r="J251" s="340">
        <f>IF(COUNT(E251,H251)=0,"",N(H251)-N(E251))</f>
        <v/>
      </c>
      <c r="K251" s="240">
        <f>IF(AND(ISNUMBER(C251),ISNUMBER(D251),ISNUMBER(F251),ISNUMBER(G251),C251&gt;0,F251&gt;0),ROUND(MIN(C251,F251)*(G251-D251),8),"")</f>
        <v/>
      </c>
      <c r="L251" s="177">
        <f>IF(OR(NOT(ISNUMBER(K251)),COUNT(C251,F251,D251)&lt;3),"",IF(MIN(C251,F251)*D251&lt;=0,"",ROUND(K251/(MIN(C251,F251)*D251)*100,2)))</f>
        <v/>
      </c>
      <c r="M251" s="343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321" t="n"/>
      <c r="D252" s="322" t="n"/>
      <c r="E252" s="247">
        <f>IF(AND(ISNUMBER(C252),ISNUMBER(D252)),C252*D252,"")</f>
        <v/>
      </c>
      <c r="F252" s="321" t="n"/>
      <c r="G252" s="322" t="n"/>
      <c r="H252" s="247">
        <f>IF(AND(ISNUMBER(F252),ISNUMBER(G252)),F252*G252,"")</f>
        <v/>
      </c>
      <c r="I252" s="341">
        <f>IF(COUNT(C252,F252)=0,"",N(C252)-N(F252))</f>
        <v/>
      </c>
      <c r="J252" s="342">
        <f>IF(COUNT(E252,H252)=0,"",N(H252)-N(E252))</f>
        <v/>
      </c>
      <c r="K252" s="246">
        <f>IF(AND(ISNUMBER(C252),ISNUMBER(D252),ISNUMBER(F252),ISNUMBER(G252),C252&gt;0,F252&gt;0),ROUND(MIN(C252,F252)*(G252-D252),8),"")</f>
        <v/>
      </c>
      <c r="L252" s="183">
        <f>IF(OR(NOT(ISNUMBER(K252)),COUNT(C252,F252,D252)&lt;3),"",IF(MIN(C252,F252)*D252&lt;=0,"",ROUND(K252/(MIN(C252,F252)*D252)*100,2)))</f>
        <v/>
      </c>
      <c r="M252" s="344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316" t="n"/>
      <c r="D253" s="317" t="n"/>
      <c r="E253" s="241">
        <f>IF(AND(ISNUMBER(C253),ISNUMBER(D253)),C253*D253,"")</f>
        <v/>
      </c>
      <c r="F253" s="316" t="n"/>
      <c r="G253" s="317" t="n"/>
      <c r="H253" s="241">
        <f>IF(AND(ISNUMBER(F253),ISNUMBER(G253)),F253*G253,"")</f>
        <v/>
      </c>
      <c r="I253" s="339">
        <f>IF(COUNT(C253,F253)=0,"",N(C253)-N(F253))</f>
        <v/>
      </c>
      <c r="J253" s="340">
        <f>IF(COUNT(E253,H253)=0,"",N(H253)-N(E253))</f>
        <v/>
      </c>
      <c r="K253" s="240">
        <f>IF(AND(ISNUMBER(C253),ISNUMBER(D253),ISNUMBER(F253),ISNUMBER(G253),C253&gt;0,F253&gt;0),ROUND(MIN(C253,F253)*(G253-D253),8),"")</f>
        <v/>
      </c>
      <c r="L253" s="177">
        <f>IF(OR(NOT(ISNUMBER(K253)),COUNT(C253,F253,D253)&lt;3),"",IF(MIN(C253,F253)*D253&lt;=0,"",ROUND(K253/(MIN(C253,F253)*D253)*100,2)))</f>
        <v/>
      </c>
      <c r="M253" s="343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321" t="n"/>
      <c r="D254" s="322" t="n"/>
      <c r="E254" s="247">
        <f>IF(AND(ISNUMBER(C254),ISNUMBER(D254)),C254*D254,"")</f>
        <v/>
      </c>
      <c r="F254" s="321" t="n"/>
      <c r="G254" s="322" t="n"/>
      <c r="H254" s="247">
        <f>IF(AND(ISNUMBER(F254),ISNUMBER(G254)),F254*G254,"")</f>
        <v/>
      </c>
      <c r="I254" s="341">
        <f>IF(COUNT(C254,F254)=0,"",N(C254)-N(F254))</f>
        <v/>
      </c>
      <c r="J254" s="342">
        <f>IF(COUNT(E254,H254)=0,"",N(H254)-N(E254))</f>
        <v/>
      </c>
      <c r="K254" s="246">
        <f>IF(AND(ISNUMBER(C254),ISNUMBER(D254),ISNUMBER(F254),ISNUMBER(G254),C254&gt;0,F254&gt;0),ROUND(MIN(C254,F254)*(G254-D254),8),"")</f>
        <v/>
      </c>
      <c r="L254" s="183">
        <f>IF(OR(NOT(ISNUMBER(K254)),COUNT(C254,F254,D254)&lt;3),"",IF(MIN(C254,F254)*D254&lt;=0,"",ROUND(K254/(MIN(C254,F254)*D254)*100,2)))</f>
        <v/>
      </c>
      <c r="M254" s="344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316" t="n"/>
      <c r="D255" s="317" t="n"/>
      <c r="E255" s="241">
        <f>IF(AND(ISNUMBER(C255),ISNUMBER(D255)),C255*D255,"")</f>
        <v/>
      </c>
      <c r="F255" s="316" t="n"/>
      <c r="G255" s="317" t="n"/>
      <c r="H255" s="241">
        <f>IF(AND(ISNUMBER(F255),ISNUMBER(G255)),F255*G255,"")</f>
        <v/>
      </c>
      <c r="I255" s="339">
        <f>IF(COUNT(C255,F255)=0,"",N(C255)-N(F255))</f>
        <v/>
      </c>
      <c r="J255" s="340">
        <f>IF(COUNT(E255,H255)=0,"",N(H255)-N(E255))</f>
        <v/>
      </c>
      <c r="K255" s="240">
        <f>IF(AND(ISNUMBER(C255),ISNUMBER(D255),ISNUMBER(F255),ISNUMBER(G255),C255&gt;0,F255&gt;0),ROUND(MIN(C255,F255)*(G255-D255),8),"")</f>
        <v/>
      </c>
      <c r="L255" s="177">
        <f>IF(OR(NOT(ISNUMBER(K255)),COUNT(C255,F255,D255)&lt;3),"",IF(MIN(C255,F255)*D255&lt;=0,"",ROUND(K255/(MIN(C255,F255)*D255)*100,2)))</f>
        <v/>
      </c>
      <c r="M255" s="343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321" t="n"/>
      <c r="D256" s="322" t="n"/>
      <c r="E256" s="247">
        <f>IF(AND(ISNUMBER(C256),ISNUMBER(D256)),C256*D256,"")</f>
        <v/>
      </c>
      <c r="F256" s="321" t="n"/>
      <c r="G256" s="322" t="n"/>
      <c r="H256" s="247">
        <f>IF(AND(ISNUMBER(F256),ISNUMBER(G256)),F256*G256,"")</f>
        <v/>
      </c>
      <c r="I256" s="341">
        <f>IF(COUNT(C256,F256)=0,"",N(C256)-N(F256))</f>
        <v/>
      </c>
      <c r="J256" s="342">
        <f>IF(COUNT(E256,H256)=0,"",N(H256)-N(E256))</f>
        <v/>
      </c>
      <c r="K256" s="246">
        <f>IF(AND(ISNUMBER(C256),ISNUMBER(D256),ISNUMBER(F256),ISNUMBER(G256),C256&gt;0,F256&gt;0),ROUND(MIN(C256,F256)*(G256-D256),8),"")</f>
        <v/>
      </c>
      <c r="L256" s="183">
        <f>IF(OR(NOT(ISNUMBER(K256)),COUNT(C256,F256,D256)&lt;3),"",IF(MIN(C256,F256)*D256&lt;=0,"",ROUND(K256/(MIN(C256,F256)*D256)*100,2)))</f>
        <v/>
      </c>
      <c r="M256" s="344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316" t="n"/>
      <c r="D257" s="317" t="n"/>
      <c r="E257" s="241">
        <f>IF(AND(ISNUMBER(C257),ISNUMBER(D257)),C257*D257,"")</f>
        <v/>
      </c>
      <c r="F257" s="316" t="n"/>
      <c r="G257" s="317" t="n"/>
      <c r="H257" s="241">
        <f>IF(AND(ISNUMBER(F257),ISNUMBER(G257)),F257*G257,"")</f>
        <v/>
      </c>
      <c r="I257" s="339">
        <f>IF(COUNT(C257,F257)=0,"",N(C257)-N(F257))</f>
        <v/>
      </c>
      <c r="J257" s="340">
        <f>IF(COUNT(E257,H257)=0,"",N(H257)-N(E257))</f>
        <v/>
      </c>
      <c r="K257" s="240">
        <f>IF(AND(ISNUMBER(C257),ISNUMBER(D257),ISNUMBER(F257),ISNUMBER(G257),C257&gt;0,F257&gt;0),ROUND(MIN(C257,F257)*(G257-D257),8),"")</f>
        <v/>
      </c>
      <c r="L257" s="177">
        <f>IF(OR(NOT(ISNUMBER(K257)),COUNT(C257,F257,D257)&lt;3),"",IF(MIN(C257,F257)*D257&lt;=0,"",ROUND(K257/(MIN(C257,F257)*D257)*100,2)))</f>
        <v/>
      </c>
      <c r="M257" s="343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321" t="n"/>
      <c r="D258" s="322" t="n"/>
      <c r="E258" s="247">
        <f>IF(AND(ISNUMBER(C258),ISNUMBER(D258)),C258*D258,"")</f>
        <v/>
      </c>
      <c r="F258" s="321" t="n"/>
      <c r="G258" s="322" t="n"/>
      <c r="H258" s="247">
        <f>IF(AND(ISNUMBER(F258),ISNUMBER(G258)),F258*G258,"")</f>
        <v/>
      </c>
      <c r="I258" s="341">
        <f>IF(COUNT(C258,F258)=0,"",N(C258)-N(F258))</f>
        <v/>
      </c>
      <c r="J258" s="342">
        <f>IF(COUNT(E258,H258)=0,"",N(H258)-N(E258))</f>
        <v/>
      </c>
      <c r="K258" s="246">
        <f>IF(AND(ISNUMBER(C258),ISNUMBER(D258),ISNUMBER(F258),ISNUMBER(G258),C258&gt;0,F258&gt;0),ROUND(MIN(C258,F258)*(G258-D258),8),"")</f>
        <v/>
      </c>
      <c r="L258" s="183">
        <f>IF(OR(NOT(ISNUMBER(K258)),COUNT(C258,F258,D258)&lt;3),"",IF(MIN(C258,F258)*D258&lt;=0,"",ROUND(K258/(MIN(C258,F258)*D258)*100,2)))</f>
        <v/>
      </c>
      <c r="M258" s="344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316" t="n"/>
      <c r="D259" s="317" t="n"/>
      <c r="E259" s="241">
        <f>IF(AND(ISNUMBER(C259),ISNUMBER(D259)),C259*D259,"")</f>
        <v/>
      </c>
      <c r="F259" s="316" t="n"/>
      <c r="G259" s="317" t="n"/>
      <c r="H259" s="241">
        <f>IF(AND(ISNUMBER(F259),ISNUMBER(G259)),F259*G259,"")</f>
        <v/>
      </c>
      <c r="I259" s="339">
        <f>IF(COUNT(C259,F259)=0,"",N(C259)-N(F259))</f>
        <v/>
      </c>
      <c r="J259" s="340">
        <f>IF(COUNT(E259,H259)=0,"",N(H259)-N(E259))</f>
        <v/>
      </c>
      <c r="K259" s="240">
        <f>IF(AND(ISNUMBER(C259),ISNUMBER(D259),ISNUMBER(F259),ISNUMBER(G259),C259&gt;0,F259&gt;0),ROUND(MIN(C259,F259)*(G259-D259),8),"")</f>
        <v/>
      </c>
      <c r="L259" s="177">
        <f>IF(OR(NOT(ISNUMBER(K259)),COUNT(C259,F259,D259)&lt;3),"",IF(MIN(C259,F259)*D259&lt;=0,"",ROUND(K259/(MIN(C259,F259)*D259)*100,2)))</f>
        <v/>
      </c>
      <c r="M259" s="343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321" t="n"/>
      <c r="D260" s="322" t="n"/>
      <c r="E260" s="247">
        <f>IF(AND(ISNUMBER(C260),ISNUMBER(D260)),C260*D260,"")</f>
        <v/>
      </c>
      <c r="F260" s="321" t="n"/>
      <c r="G260" s="322" t="n"/>
      <c r="H260" s="247">
        <f>IF(AND(ISNUMBER(F260),ISNUMBER(G260)),F260*G260,"")</f>
        <v/>
      </c>
      <c r="I260" s="341">
        <f>IF(COUNT(C260,F260)=0,"",N(C260)-N(F260))</f>
        <v/>
      </c>
      <c r="J260" s="342">
        <f>IF(COUNT(E260,H260)=0,"",N(H260)-N(E260))</f>
        <v/>
      </c>
      <c r="K260" s="246">
        <f>IF(AND(ISNUMBER(C260),ISNUMBER(D260),ISNUMBER(F260),ISNUMBER(G260),C260&gt;0,F260&gt;0),ROUND(MIN(C260,F260)*(G260-D260),8),"")</f>
        <v/>
      </c>
      <c r="L260" s="183">
        <f>IF(OR(NOT(ISNUMBER(K260)),COUNT(C260,F260,D260)&lt;3),"",IF(MIN(C260,F260)*D260&lt;=0,"",ROUND(K260/(MIN(C260,F260)*D260)*100,2)))</f>
        <v/>
      </c>
      <c r="M260" s="344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316" t="n"/>
      <c r="D261" s="317" t="n"/>
      <c r="E261" s="241">
        <f>IF(AND(ISNUMBER(C261),ISNUMBER(D261)),C261*D261,"")</f>
        <v/>
      </c>
      <c r="F261" s="316" t="n"/>
      <c r="G261" s="317" t="n"/>
      <c r="H261" s="241">
        <f>IF(AND(ISNUMBER(F261),ISNUMBER(G261)),F261*G261,"")</f>
        <v/>
      </c>
      <c r="I261" s="339">
        <f>IF(COUNT(C261,F261)=0,"",N(C261)-N(F261))</f>
        <v/>
      </c>
      <c r="J261" s="340">
        <f>IF(COUNT(E261,H261)=0,"",N(H261)-N(E261))</f>
        <v/>
      </c>
      <c r="K261" s="240">
        <f>IF(AND(ISNUMBER(C261),ISNUMBER(D261),ISNUMBER(F261),ISNUMBER(G261),C261&gt;0,F261&gt;0),ROUND(MIN(C261,F261)*(G261-D261),8),"")</f>
        <v/>
      </c>
      <c r="L261" s="177">
        <f>IF(OR(NOT(ISNUMBER(K261)),COUNT(C261,F261,D261)&lt;3),"",IF(MIN(C261,F261)*D261&lt;=0,"",ROUND(K261/(MIN(C261,F261)*D261)*100,2)))</f>
        <v/>
      </c>
      <c r="M261" s="343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321" t="n"/>
      <c r="D262" s="322" t="n"/>
      <c r="E262" s="247">
        <f>IF(AND(ISNUMBER(C262),ISNUMBER(D262)),C262*D262,"")</f>
        <v/>
      </c>
      <c r="F262" s="321" t="n"/>
      <c r="G262" s="322" t="n"/>
      <c r="H262" s="247">
        <f>IF(AND(ISNUMBER(F262),ISNUMBER(G262)),F262*G262,"")</f>
        <v/>
      </c>
      <c r="I262" s="341">
        <f>IF(COUNT(C262,F262)=0,"",N(C262)-N(F262))</f>
        <v/>
      </c>
      <c r="J262" s="342">
        <f>IF(COUNT(E262,H262)=0,"",N(H262)-N(E262))</f>
        <v/>
      </c>
      <c r="K262" s="246">
        <f>IF(AND(ISNUMBER(C262),ISNUMBER(D262),ISNUMBER(F262),ISNUMBER(G262),C262&gt;0,F262&gt;0),ROUND(MIN(C262,F262)*(G262-D262),8),"")</f>
        <v/>
      </c>
      <c r="L262" s="183">
        <f>IF(OR(NOT(ISNUMBER(K262)),COUNT(C262,F262,D262)&lt;3),"",IF(MIN(C262,F262)*D262&lt;=0,"",ROUND(K262/(MIN(C262,F262)*D262)*100,2)))</f>
        <v/>
      </c>
      <c r="M262" s="344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316" t="n"/>
      <c r="D263" s="317" t="n"/>
      <c r="E263" s="241">
        <f>IF(AND(ISNUMBER(C263),ISNUMBER(D263)),C263*D263,"")</f>
        <v/>
      </c>
      <c r="F263" s="316" t="n"/>
      <c r="G263" s="317" t="n"/>
      <c r="H263" s="241">
        <f>IF(AND(ISNUMBER(F263),ISNUMBER(G263)),F263*G263,"")</f>
        <v/>
      </c>
      <c r="I263" s="339">
        <f>IF(COUNT(C263,F263)=0,"",N(C263)-N(F263))</f>
        <v/>
      </c>
      <c r="J263" s="340">
        <f>IF(COUNT(E263,H263)=0,"",N(H263)-N(E263))</f>
        <v/>
      </c>
      <c r="K263" s="240">
        <f>IF(AND(ISNUMBER(C263),ISNUMBER(D263),ISNUMBER(F263),ISNUMBER(G263),C263&gt;0,F263&gt;0),ROUND(MIN(C263,F263)*(G263-D263),8),"")</f>
        <v/>
      </c>
      <c r="L263" s="177">
        <f>IF(OR(NOT(ISNUMBER(K263)),COUNT(C263,F263,D263)&lt;3),"",IF(MIN(C263,F263)*D263&lt;=0,"",ROUND(K263/(MIN(C263,F263)*D263)*100,2)))</f>
        <v/>
      </c>
      <c r="M263" s="343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321" t="n"/>
      <c r="D264" s="322" t="n"/>
      <c r="E264" s="247">
        <f>IF(AND(ISNUMBER(C264),ISNUMBER(D264)),C264*D264,"")</f>
        <v/>
      </c>
      <c r="F264" s="321" t="n"/>
      <c r="G264" s="322" t="n"/>
      <c r="H264" s="247">
        <f>IF(AND(ISNUMBER(F264),ISNUMBER(G264)),F264*G264,"")</f>
        <v/>
      </c>
      <c r="I264" s="341">
        <f>IF(COUNT(C264,F264)=0,"",N(C264)-N(F264))</f>
        <v/>
      </c>
      <c r="J264" s="342">
        <f>IF(COUNT(E264,H264)=0,"",N(H264)-N(E264))</f>
        <v/>
      </c>
      <c r="K264" s="246">
        <f>IF(AND(ISNUMBER(C264),ISNUMBER(D264),ISNUMBER(F264),ISNUMBER(G264),C264&gt;0,F264&gt;0),ROUND(MIN(C264,F264)*(G264-D264),8),"")</f>
        <v/>
      </c>
      <c r="L264" s="183">
        <f>IF(OR(NOT(ISNUMBER(K264)),COUNT(C264,F264,D264)&lt;3),"",IF(MIN(C264,F264)*D264&lt;=0,"",ROUND(K264/(MIN(C264,F264)*D264)*100,2)))</f>
        <v/>
      </c>
      <c r="M264" s="344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316" t="n"/>
      <c r="D265" s="317" t="n"/>
      <c r="E265" s="241">
        <f>IF(AND(ISNUMBER(C265),ISNUMBER(D265)),C265*D265,"")</f>
        <v/>
      </c>
      <c r="F265" s="316" t="n"/>
      <c r="G265" s="317" t="n"/>
      <c r="H265" s="241">
        <f>IF(AND(ISNUMBER(F265),ISNUMBER(G265)),F265*G265,"")</f>
        <v/>
      </c>
      <c r="I265" s="339">
        <f>IF(COUNT(C265,F265)=0,"",N(C265)-N(F265))</f>
        <v/>
      </c>
      <c r="J265" s="340">
        <f>IF(COUNT(E265,H265)=0,"",N(H265)-N(E265))</f>
        <v/>
      </c>
      <c r="K265" s="240">
        <f>IF(AND(ISNUMBER(C265),ISNUMBER(D265),ISNUMBER(F265),ISNUMBER(G265),C265&gt;0,F265&gt;0),ROUND(MIN(C265,F265)*(G265-D265),8),"")</f>
        <v/>
      </c>
      <c r="L265" s="177">
        <f>IF(OR(NOT(ISNUMBER(K265)),COUNT(C265,F265,D265)&lt;3),"",IF(MIN(C265,F265)*D265&lt;=0,"",ROUND(K265/(MIN(C265,F265)*D265)*100,2)))</f>
        <v/>
      </c>
      <c r="M265" s="343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321" t="n"/>
      <c r="D266" s="322" t="n"/>
      <c r="E266" s="247">
        <f>IF(AND(ISNUMBER(C266),ISNUMBER(D266)),C266*D266,"")</f>
        <v/>
      </c>
      <c r="F266" s="321" t="n"/>
      <c r="G266" s="322" t="n"/>
      <c r="H266" s="247">
        <f>IF(AND(ISNUMBER(F266),ISNUMBER(G266)),F266*G266,"")</f>
        <v/>
      </c>
      <c r="I266" s="341">
        <f>IF(COUNT(C266,F266)=0,"",N(C266)-N(F266))</f>
        <v/>
      </c>
      <c r="J266" s="342">
        <f>IF(COUNT(E266,H266)=0,"",N(H266)-N(E266))</f>
        <v/>
      </c>
      <c r="K266" s="246">
        <f>IF(AND(ISNUMBER(C266),ISNUMBER(D266),ISNUMBER(F266),ISNUMBER(G266),C266&gt;0,F266&gt;0),ROUND(MIN(C266,F266)*(G266-D266),8),"")</f>
        <v/>
      </c>
      <c r="L266" s="183">
        <f>IF(OR(NOT(ISNUMBER(K266)),COUNT(C266,F266,D266)&lt;3),"",IF(MIN(C266,F266)*D266&lt;=0,"",ROUND(K266/(MIN(C266,F266)*D266)*100,2)))</f>
        <v/>
      </c>
      <c r="M266" s="344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316" t="n"/>
      <c r="D267" s="317" t="n"/>
      <c r="E267" s="241">
        <f>IF(AND(ISNUMBER(C267),ISNUMBER(D267)),C267*D267,"")</f>
        <v/>
      </c>
      <c r="F267" s="316" t="n"/>
      <c r="G267" s="317" t="n"/>
      <c r="H267" s="241">
        <f>IF(AND(ISNUMBER(F267),ISNUMBER(G267)),F267*G267,"")</f>
        <v/>
      </c>
      <c r="I267" s="339">
        <f>IF(COUNT(C267,F267)=0,"",N(C267)-N(F267))</f>
        <v/>
      </c>
      <c r="J267" s="340">
        <f>IF(COUNT(E267,H267)=0,"",N(H267)-N(E267))</f>
        <v/>
      </c>
      <c r="K267" s="240">
        <f>IF(AND(ISNUMBER(C267),ISNUMBER(D267),ISNUMBER(F267),ISNUMBER(G267),C267&gt;0,F267&gt;0),ROUND(MIN(C267,F267)*(G267-D267),8),"")</f>
        <v/>
      </c>
      <c r="L267" s="177">
        <f>IF(OR(NOT(ISNUMBER(K267)),COUNT(C267,F267,D267)&lt;3),"",IF(MIN(C267,F267)*D267&lt;=0,"",ROUND(K267/(MIN(C267,F267)*D267)*100,2)))</f>
        <v/>
      </c>
      <c r="M267" s="343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321" t="n"/>
      <c r="D268" s="322" t="n"/>
      <c r="E268" s="247">
        <f>IF(AND(ISNUMBER(C268),ISNUMBER(D268)),C268*D268,"")</f>
        <v/>
      </c>
      <c r="F268" s="321" t="n"/>
      <c r="G268" s="322" t="n"/>
      <c r="H268" s="247">
        <f>IF(AND(ISNUMBER(F268),ISNUMBER(G268)),F268*G268,"")</f>
        <v/>
      </c>
      <c r="I268" s="341">
        <f>IF(COUNT(C268,F268)=0,"",N(C268)-N(F268))</f>
        <v/>
      </c>
      <c r="J268" s="342">
        <f>IF(COUNT(E268,H268)=0,"",N(H268)-N(E268))</f>
        <v/>
      </c>
      <c r="K268" s="246">
        <f>IF(AND(ISNUMBER(C268),ISNUMBER(D268),ISNUMBER(F268),ISNUMBER(G268),C268&gt;0,F268&gt;0),ROUND(MIN(C268,F268)*(G268-D268),8),"")</f>
        <v/>
      </c>
      <c r="L268" s="183">
        <f>IF(OR(NOT(ISNUMBER(K268)),COUNT(C268,F268,D268)&lt;3),"",IF(MIN(C268,F268)*D268&lt;=0,"",ROUND(K268/(MIN(C268,F268)*D268)*100,2)))</f>
        <v/>
      </c>
      <c r="M268" s="344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316" t="n"/>
      <c r="D269" s="317" t="n"/>
      <c r="E269" s="241">
        <f>IF(AND(ISNUMBER(C269),ISNUMBER(D269)),C269*D269,"")</f>
        <v/>
      </c>
      <c r="F269" s="316" t="n"/>
      <c r="G269" s="317" t="n"/>
      <c r="H269" s="241">
        <f>IF(AND(ISNUMBER(F269),ISNUMBER(G269)),F269*G269,"")</f>
        <v/>
      </c>
      <c r="I269" s="339">
        <f>IF(COUNT(C269,F269)=0,"",N(C269)-N(F269))</f>
        <v/>
      </c>
      <c r="J269" s="340">
        <f>IF(COUNT(E269,H269)=0,"",N(H269)-N(E269))</f>
        <v/>
      </c>
      <c r="K269" s="240">
        <f>IF(AND(ISNUMBER(C269),ISNUMBER(D269),ISNUMBER(F269),ISNUMBER(G269),C269&gt;0,F269&gt;0),ROUND(MIN(C269,F269)*(G269-D269),8),"")</f>
        <v/>
      </c>
      <c r="L269" s="177">
        <f>IF(OR(NOT(ISNUMBER(K269)),COUNT(C269,F269,D269)&lt;3),"",IF(MIN(C269,F269)*D269&lt;=0,"",ROUND(K269/(MIN(C269,F269)*D269)*100,2)))</f>
        <v/>
      </c>
      <c r="M269" s="343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321" t="n"/>
      <c r="D270" s="322" t="n"/>
      <c r="E270" s="247">
        <f>IF(AND(ISNUMBER(C270),ISNUMBER(D270)),C270*D270,"")</f>
        <v/>
      </c>
      <c r="F270" s="321" t="n"/>
      <c r="G270" s="322" t="n"/>
      <c r="H270" s="247">
        <f>IF(AND(ISNUMBER(F270),ISNUMBER(G270)),F270*G270,"")</f>
        <v/>
      </c>
      <c r="I270" s="341">
        <f>IF(COUNT(C270,F270)=0,"",N(C270)-N(F270))</f>
        <v/>
      </c>
      <c r="J270" s="342">
        <f>IF(COUNT(E270,H270)=0,"",N(H270)-N(E270))</f>
        <v/>
      </c>
      <c r="K270" s="246">
        <f>IF(AND(ISNUMBER(C270),ISNUMBER(D270),ISNUMBER(F270),ISNUMBER(G270),C270&gt;0,F270&gt;0),ROUND(MIN(C270,F270)*(G270-D270),8),"")</f>
        <v/>
      </c>
      <c r="L270" s="183">
        <f>IF(OR(NOT(ISNUMBER(K270)),COUNT(C270,F270,D270)&lt;3),"",IF(MIN(C270,F270)*D270&lt;=0,"",ROUND(K270/(MIN(C270,F270)*D270)*100,2)))</f>
        <v/>
      </c>
      <c r="M270" s="344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316" t="n"/>
      <c r="D271" s="317" t="n"/>
      <c r="E271" s="241">
        <f>IF(AND(ISNUMBER(C271),ISNUMBER(D271)),C271*D271,"")</f>
        <v/>
      </c>
      <c r="F271" s="316" t="n"/>
      <c r="G271" s="317" t="n"/>
      <c r="H271" s="241">
        <f>IF(AND(ISNUMBER(F271),ISNUMBER(G271)),F271*G271,"")</f>
        <v/>
      </c>
      <c r="I271" s="339">
        <f>IF(COUNT(C271,F271)=0,"",N(C271)-N(F271))</f>
        <v/>
      </c>
      <c r="J271" s="340">
        <f>IF(COUNT(E271,H271)=0,"",N(H271)-N(E271))</f>
        <v/>
      </c>
      <c r="K271" s="240">
        <f>IF(AND(ISNUMBER(C271),ISNUMBER(D271),ISNUMBER(F271),ISNUMBER(G271),C271&gt;0,F271&gt;0),ROUND(MIN(C271,F271)*(G271-D271),8),"")</f>
        <v/>
      </c>
      <c r="L271" s="177">
        <f>IF(OR(NOT(ISNUMBER(K271)),COUNT(C271,F271,D271)&lt;3),"",IF(MIN(C271,F271)*D271&lt;=0,"",ROUND(K271/(MIN(C271,F271)*D271)*100,2)))</f>
        <v/>
      </c>
      <c r="M271" s="343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321" t="n"/>
      <c r="D272" s="322" t="n"/>
      <c r="E272" s="247">
        <f>IF(AND(ISNUMBER(C272),ISNUMBER(D272)),C272*D272,"")</f>
        <v/>
      </c>
      <c r="F272" s="321" t="n"/>
      <c r="G272" s="322" t="n"/>
      <c r="H272" s="247">
        <f>IF(AND(ISNUMBER(F272),ISNUMBER(G272)),F272*G272,"")</f>
        <v/>
      </c>
      <c r="I272" s="341">
        <f>IF(COUNT(C272,F272)=0,"",N(C272)-N(F272))</f>
        <v/>
      </c>
      <c r="J272" s="342">
        <f>IF(COUNT(E272,H272)=0,"",N(H272)-N(E272))</f>
        <v/>
      </c>
      <c r="K272" s="246">
        <f>IF(AND(ISNUMBER(C272),ISNUMBER(D272),ISNUMBER(F272),ISNUMBER(G272),C272&gt;0,F272&gt;0),ROUND(MIN(C272,F272)*(G272-D272),8),"")</f>
        <v/>
      </c>
      <c r="L272" s="183">
        <f>IF(OR(NOT(ISNUMBER(K272)),COUNT(C272,F272,D272)&lt;3),"",IF(MIN(C272,F272)*D272&lt;=0,"",ROUND(K272/(MIN(C272,F272)*D272)*100,2)))</f>
        <v/>
      </c>
      <c r="M272" s="344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316" t="n"/>
      <c r="D273" s="317" t="n"/>
      <c r="E273" s="241">
        <f>IF(AND(ISNUMBER(C273),ISNUMBER(D273)),C273*D273,"")</f>
        <v/>
      </c>
      <c r="F273" s="316" t="n"/>
      <c r="G273" s="317" t="n"/>
      <c r="H273" s="241">
        <f>IF(AND(ISNUMBER(F273),ISNUMBER(G273)),F273*G273,"")</f>
        <v/>
      </c>
      <c r="I273" s="339">
        <f>IF(COUNT(C273,F273)=0,"",N(C273)-N(F273))</f>
        <v/>
      </c>
      <c r="J273" s="340">
        <f>IF(COUNT(E273,H273)=0,"",N(H273)-N(E273))</f>
        <v/>
      </c>
      <c r="K273" s="240">
        <f>IF(AND(ISNUMBER(C273),ISNUMBER(D273),ISNUMBER(F273),ISNUMBER(G273),C273&gt;0,F273&gt;0),ROUND(MIN(C273,F273)*(G273-D273),8),"")</f>
        <v/>
      </c>
      <c r="L273" s="177">
        <f>IF(OR(NOT(ISNUMBER(K273)),COUNT(C273,F273,D273)&lt;3),"",IF(MIN(C273,F273)*D273&lt;=0,"",ROUND(K273/(MIN(C273,F273)*D273)*100,2)))</f>
        <v/>
      </c>
      <c r="M273" s="343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321" t="n"/>
      <c r="D274" s="322" t="n"/>
      <c r="E274" s="247">
        <f>IF(AND(ISNUMBER(C274),ISNUMBER(D274)),C274*D274,"")</f>
        <v/>
      </c>
      <c r="F274" s="321" t="n"/>
      <c r="G274" s="322" t="n"/>
      <c r="H274" s="247">
        <f>IF(AND(ISNUMBER(F274),ISNUMBER(G274)),F274*G274,"")</f>
        <v/>
      </c>
      <c r="I274" s="341">
        <f>IF(COUNT(C274,F274)=0,"",N(C274)-N(F274))</f>
        <v/>
      </c>
      <c r="J274" s="342">
        <f>IF(COUNT(E274,H274)=0,"",N(H274)-N(E274))</f>
        <v/>
      </c>
      <c r="K274" s="246">
        <f>IF(AND(ISNUMBER(C274),ISNUMBER(D274),ISNUMBER(F274),ISNUMBER(G274),C274&gt;0,F274&gt;0),ROUND(MIN(C274,F274)*(G274-D274),8),"")</f>
        <v/>
      </c>
      <c r="L274" s="183">
        <f>IF(OR(NOT(ISNUMBER(K274)),COUNT(C274,F274,D274)&lt;3),"",IF(MIN(C274,F274)*D274&lt;=0,"",ROUND(K274/(MIN(C274,F274)*D274)*100,2)))</f>
        <v/>
      </c>
      <c r="M274" s="344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316" t="n"/>
      <c r="D275" s="317" t="n"/>
      <c r="E275" s="241">
        <f>IF(AND(ISNUMBER(C275),ISNUMBER(D275)),C275*D275,"")</f>
        <v/>
      </c>
      <c r="F275" s="316" t="n"/>
      <c r="G275" s="317" t="n"/>
      <c r="H275" s="241">
        <f>IF(AND(ISNUMBER(F275),ISNUMBER(G275)),F275*G275,"")</f>
        <v/>
      </c>
      <c r="I275" s="339">
        <f>IF(COUNT(C275,F275)=0,"",N(C275)-N(F275))</f>
        <v/>
      </c>
      <c r="J275" s="340">
        <f>IF(COUNT(E275,H275)=0,"",N(H275)-N(E275))</f>
        <v/>
      </c>
      <c r="K275" s="240">
        <f>IF(AND(ISNUMBER(C275),ISNUMBER(D275),ISNUMBER(F275),ISNUMBER(G275),C275&gt;0,F275&gt;0),ROUND(MIN(C275,F275)*(G275-D275),8),"")</f>
        <v/>
      </c>
      <c r="L275" s="177">
        <f>IF(OR(NOT(ISNUMBER(K275)),COUNT(C275,F275,D275)&lt;3),"",IF(MIN(C275,F275)*D275&lt;=0,"",ROUND(K275/(MIN(C275,F275)*D275)*100,2)))</f>
        <v/>
      </c>
      <c r="M275" s="343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321" t="n"/>
      <c r="D276" s="322" t="n"/>
      <c r="E276" s="247">
        <f>IF(AND(ISNUMBER(C276),ISNUMBER(D276)),C276*D276,"")</f>
        <v/>
      </c>
      <c r="F276" s="321" t="n"/>
      <c r="G276" s="322" t="n"/>
      <c r="H276" s="247">
        <f>IF(AND(ISNUMBER(F276),ISNUMBER(G276)),F276*G276,"")</f>
        <v/>
      </c>
      <c r="I276" s="341">
        <f>IF(COUNT(C276,F276)=0,"",N(C276)-N(F276))</f>
        <v/>
      </c>
      <c r="J276" s="342">
        <f>IF(COUNT(E276,H276)=0,"",N(H276)-N(E276))</f>
        <v/>
      </c>
      <c r="K276" s="246">
        <f>IF(AND(ISNUMBER(C276),ISNUMBER(D276),ISNUMBER(F276),ISNUMBER(G276),C276&gt;0,F276&gt;0),ROUND(MIN(C276,F276)*(G276-D276),8),"")</f>
        <v/>
      </c>
      <c r="L276" s="183">
        <f>IF(OR(NOT(ISNUMBER(K276)),COUNT(C276,F276,D276)&lt;3),"",IF(MIN(C276,F276)*D276&lt;=0,"",ROUND(K276/(MIN(C276,F276)*D276)*100,2)))</f>
        <v/>
      </c>
      <c r="M276" s="344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316" t="n"/>
      <c r="D277" s="317" t="n"/>
      <c r="E277" s="241">
        <f>IF(AND(ISNUMBER(C277),ISNUMBER(D277)),C277*D277,"")</f>
        <v/>
      </c>
      <c r="F277" s="316" t="n"/>
      <c r="G277" s="317" t="n"/>
      <c r="H277" s="241">
        <f>IF(AND(ISNUMBER(F277),ISNUMBER(G277)),F277*G277,"")</f>
        <v/>
      </c>
      <c r="I277" s="339">
        <f>IF(COUNT(C277,F277)=0,"",N(C277)-N(F277))</f>
        <v/>
      </c>
      <c r="J277" s="340">
        <f>IF(COUNT(E277,H277)=0,"",N(H277)-N(E277))</f>
        <v/>
      </c>
      <c r="K277" s="240">
        <f>IF(AND(ISNUMBER(C277),ISNUMBER(D277),ISNUMBER(F277),ISNUMBER(G277),C277&gt;0,F277&gt;0),ROUND(MIN(C277,F277)*(G277-D277),8),"")</f>
        <v/>
      </c>
      <c r="L277" s="177">
        <f>IF(OR(NOT(ISNUMBER(K277)),COUNT(C277,F277,D277)&lt;3),"",IF(MIN(C277,F277)*D277&lt;=0,"",ROUND(K277/(MIN(C277,F277)*D277)*100,2)))</f>
        <v/>
      </c>
      <c r="M277" s="343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321" t="n"/>
      <c r="D278" s="322" t="n"/>
      <c r="E278" s="247">
        <f>IF(AND(ISNUMBER(C278),ISNUMBER(D278)),C278*D278,"")</f>
        <v/>
      </c>
      <c r="F278" s="321" t="n"/>
      <c r="G278" s="322" t="n"/>
      <c r="H278" s="247">
        <f>IF(AND(ISNUMBER(F278),ISNUMBER(G278)),F278*G278,"")</f>
        <v/>
      </c>
      <c r="I278" s="341">
        <f>IF(COUNT(C278,F278)=0,"",N(C278)-N(F278))</f>
        <v/>
      </c>
      <c r="J278" s="342">
        <f>IF(COUNT(E278,H278)=0,"",N(H278)-N(E278))</f>
        <v/>
      </c>
      <c r="K278" s="246">
        <f>IF(AND(ISNUMBER(C278),ISNUMBER(D278),ISNUMBER(F278),ISNUMBER(G278),C278&gt;0,F278&gt;0),ROUND(MIN(C278,F278)*(G278-D278),8),"")</f>
        <v/>
      </c>
      <c r="L278" s="183">
        <f>IF(OR(NOT(ISNUMBER(K278)),COUNT(C278,F278,D278)&lt;3),"",IF(MIN(C278,F278)*D278&lt;=0,"",ROUND(K278/(MIN(C278,F278)*D278)*100,2)))</f>
        <v/>
      </c>
      <c r="M278" s="344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316" t="n"/>
      <c r="D279" s="317" t="n"/>
      <c r="E279" s="241">
        <f>IF(AND(ISNUMBER(C279),ISNUMBER(D279)),C279*D279,"")</f>
        <v/>
      </c>
      <c r="F279" s="316" t="n"/>
      <c r="G279" s="317" t="n"/>
      <c r="H279" s="241">
        <f>IF(AND(ISNUMBER(F279),ISNUMBER(G279)),F279*G279,"")</f>
        <v/>
      </c>
      <c r="I279" s="339">
        <f>IF(COUNT(C279,F279)=0,"",N(C279)-N(F279))</f>
        <v/>
      </c>
      <c r="J279" s="340">
        <f>IF(COUNT(E279,H279)=0,"",N(H279)-N(E279))</f>
        <v/>
      </c>
      <c r="K279" s="240">
        <f>IF(AND(ISNUMBER(C279),ISNUMBER(D279),ISNUMBER(F279),ISNUMBER(G279),C279&gt;0,F279&gt;0),ROUND(MIN(C279,F279)*(G279-D279),8),"")</f>
        <v/>
      </c>
      <c r="L279" s="177">
        <f>IF(OR(NOT(ISNUMBER(K279)),COUNT(C279,F279,D279)&lt;3),"",IF(MIN(C279,F279)*D279&lt;=0,"",ROUND(K279/(MIN(C279,F279)*D279)*100,2)))</f>
        <v/>
      </c>
      <c r="M279" s="343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321" t="n"/>
      <c r="D280" s="322" t="n"/>
      <c r="E280" s="247">
        <f>IF(AND(ISNUMBER(C280),ISNUMBER(D280)),C280*D280,"")</f>
        <v/>
      </c>
      <c r="F280" s="321" t="n"/>
      <c r="G280" s="322" t="n"/>
      <c r="H280" s="247">
        <f>IF(AND(ISNUMBER(F280),ISNUMBER(G280)),F280*G280,"")</f>
        <v/>
      </c>
      <c r="I280" s="341">
        <f>IF(COUNT(C280,F280)=0,"",N(C280)-N(F280))</f>
        <v/>
      </c>
      <c r="J280" s="342">
        <f>IF(COUNT(E280,H280)=0,"",N(H280)-N(E280))</f>
        <v/>
      </c>
      <c r="K280" s="246">
        <f>IF(AND(ISNUMBER(C280),ISNUMBER(D280),ISNUMBER(F280),ISNUMBER(G280),C280&gt;0,F280&gt;0),ROUND(MIN(C280,F280)*(G280-D280),8),"")</f>
        <v/>
      </c>
      <c r="L280" s="183">
        <f>IF(OR(NOT(ISNUMBER(K280)),COUNT(C280,F280,D280)&lt;3),"",IF(MIN(C280,F280)*D280&lt;=0,"",ROUND(K280/(MIN(C280,F280)*D280)*100,2)))</f>
        <v/>
      </c>
      <c r="M280" s="344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316" t="n"/>
      <c r="D281" s="317" t="n"/>
      <c r="E281" s="241">
        <f>IF(AND(ISNUMBER(C281),ISNUMBER(D281)),C281*D281,"")</f>
        <v/>
      </c>
      <c r="F281" s="316" t="n"/>
      <c r="G281" s="317" t="n"/>
      <c r="H281" s="241">
        <f>IF(AND(ISNUMBER(F281),ISNUMBER(G281)),F281*G281,"")</f>
        <v/>
      </c>
      <c r="I281" s="339">
        <f>IF(COUNT(C281,F281)=0,"",N(C281)-N(F281))</f>
        <v/>
      </c>
      <c r="J281" s="340">
        <f>IF(COUNT(E281,H281)=0,"",N(H281)-N(E281))</f>
        <v/>
      </c>
      <c r="K281" s="240">
        <f>IF(AND(ISNUMBER(C281),ISNUMBER(D281),ISNUMBER(F281),ISNUMBER(G281),C281&gt;0,F281&gt;0),ROUND(MIN(C281,F281)*(G281-D281),8),"")</f>
        <v/>
      </c>
      <c r="L281" s="177">
        <f>IF(OR(NOT(ISNUMBER(K281)),COUNT(C281,F281,D281)&lt;3),"",IF(MIN(C281,F281)*D281&lt;=0,"",ROUND(K281/(MIN(C281,F281)*D281)*100,2)))</f>
        <v/>
      </c>
      <c r="M281" s="343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321" t="n"/>
      <c r="D282" s="322" t="n"/>
      <c r="E282" s="247">
        <f>IF(AND(ISNUMBER(C282),ISNUMBER(D282)),C282*D282,"")</f>
        <v/>
      </c>
      <c r="F282" s="321" t="n"/>
      <c r="G282" s="322" t="n"/>
      <c r="H282" s="247">
        <f>IF(AND(ISNUMBER(F282),ISNUMBER(G282)),F282*G282,"")</f>
        <v/>
      </c>
      <c r="I282" s="341">
        <f>IF(COUNT(C282,F282)=0,"",N(C282)-N(F282))</f>
        <v/>
      </c>
      <c r="J282" s="342">
        <f>IF(COUNT(E282,H282)=0,"",N(H282)-N(E282))</f>
        <v/>
      </c>
      <c r="K282" s="246">
        <f>IF(AND(ISNUMBER(C282),ISNUMBER(D282),ISNUMBER(F282),ISNUMBER(G282),C282&gt;0,F282&gt;0),ROUND(MIN(C282,F282)*(G282-D282),8),"")</f>
        <v/>
      </c>
      <c r="L282" s="183">
        <f>IF(OR(NOT(ISNUMBER(K282)),COUNT(C282,F282,D282)&lt;3),"",IF(MIN(C282,F282)*D282&lt;=0,"",ROUND(K282/(MIN(C282,F282)*D282)*100,2)))</f>
        <v/>
      </c>
      <c r="M282" s="344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316" t="n"/>
      <c r="D283" s="317" t="n"/>
      <c r="E283" s="241">
        <f>IF(AND(ISNUMBER(C283),ISNUMBER(D283)),C283*D283,"")</f>
        <v/>
      </c>
      <c r="F283" s="316" t="n"/>
      <c r="G283" s="317" t="n"/>
      <c r="H283" s="241">
        <f>IF(AND(ISNUMBER(F283),ISNUMBER(G283)),F283*G283,"")</f>
        <v/>
      </c>
      <c r="I283" s="339">
        <f>IF(COUNT(C283,F283)=0,"",N(C283)-N(F283))</f>
        <v/>
      </c>
      <c r="J283" s="340">
        <f>IF(COUNT(E283,H283)=0,"",N(H283)-N(E283))</f>
        <v/>
      </c>
      <c r="K283" s="240">
        <f>IF(AND(ISNUMBER(C283),ISNUMBER(D283),ISNUMBER(F283),ISNUMBER(G283),C283&gt;0,F283&gt;0),ROUND(MIN(C283,F283)*(G283-D283),8),"")</f>
        <v/>
      </c>
      <c r="L283" s="177">
        <f>IF(OR(NOT(ISNUMBER(K283)),COUNT(C283,F283,D283)&lt;3),"",IF(MIN(C283,F283)*D283&lt;=0,"",ROUND(K283/(MIN(C283,F283)*D283)*100,2)))</f>
        <v/>
      </c>
      <c r="M283" s="343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321" t="n"/>
      <c r="D284" s="322" t="n"/>
      <c r="E284" s="247">
        <f>IF(AND(ISNUMBER(C284),ISNUMBER(D284)),C284*D284,"")</f>
        <v/>
      </c>
      <c r="F284" s="321" t="n"/>
      <c r="G284" s="322" t="n"/>
      <c r="H284" s="247">
        <f>IF(AND(ISNUMBER(F284),ISNUMBER(G284)),F284*G284,"")</f>
        <v/>
      </c>
      <c r="I284" s="341">
        <f>IF(COUNT(C284,F284)=0,"",N(C284)-N(F284))</f>
        <v/>
      </c>
      <c r="J284" s="342">
        <f>IF(COUNT(E284,H284)=0,"",N(H284)-N(E284))</f>
        <v/>
      </c>
      <c r="K284" s="246">
        <f>IF(AND(ISNUMBER(C284),ISNUMBER(D284),ISNUMBER(F284),ISNUMBER(G284),C284&gt;0,F284&gt;0),ROUND(MIN(C284,F284)*(G284-D284),8),"")</f>
        <v/>
      </c>
      <c r="L284" s="183">
        <f>IF(OR(NOT(ISNUMBER(K284)),COUNT(C284,F284,D284)&lt;3),"",IF(MIN(C284,F284)*D284&lt;=0,"",ROUND(K284/(MIN(C284,F284)*D284)*100,2)))</f>
        <v/>
      </c>
      <c r="M284" s="344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316" t="n"/>
      <c r="D285" s="317" t="n"/>
      <c r="E285" s="241">
        <f>IF(AND(ISNUMBER(C285),ISNUMBER(D285)),C285*D285,"")</f>
        <v/>
      </c>
      <c r="F285" s="316" t="n"/>
      <c r="G285" s="317" t="n"/>
      <c r="H285" s="241">
        <f>IF(AND(ISNUMBER(F285),ISNUMBER(G285)),F285*G285,"")</f>
        <v/>
      </c>
      <c r="I285" s="339">
        <f>IF(COUNT(C285,F285)=0,"",N(C285)-N(F285))</f>
        <v/>
      </c>
      <c r="J285" s="340">
        <f>IF(COUNT(E285,H285)=0,"",N(H285)-N(E285))</f>
        <v/>
      </c>
      <c r="K285" s="240">
        <f>IF(AND(ISNUMBER(C285),ISNUMBER(D285),ISNUMBER(F285),ISNUMBER(G285),C285&gt;0,F285&gt;0),ROUND(MIN(C285,F285)*(G285-D285),8),"")</f>
        <v/>
      </c>
      <c r="L285" s="177">
        <f>IF(OR(NOT(ISNUMBER(K285)),COUNT(C285,F285,D285)&lt;3),"",IF(MIN(C285,F285)*D285&lt;=0,"",ROUND(K285/(MIN(C285,F285)*D285)*100,2)))</f>
        <v/>
      </c>
      <c r="M285" s="343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321" t="n"/>
      <c r="D286" s="322" t="n"/>
      <c r="E286" s="247">
        <f>IF(AND(ISNUMBER(C286),ISNUMBER(D286)),C286*D286,"")</f>
        <v/>
      </c>
      <c r="F286" s="321" t="n"/>
      <c r="G286" s="322" t="n"/>
      <c r="H286" s="247">
        <f>IF(AND(ISNUMBER(F286),ISNUMBER(G286)),F286*G286,"")</f>
        <v/>
      </c>
      <c r="I286" s="341">
        <f>IF(COUNT(C286,F286)=0,"",N(C286)-N(F286))</f>
        <v/>
      </c>
      <c r="J286" s="342">
        <f>IF(COUNT(E286,H286)=0,"",N(H286)-N(E286))</f>
        <v/>
      </c>
      <c r="K286" s="246">
        <f>IF(AND(ISNUMBER(C286),ISNUMBER(D286),ISNUMBER(F286),ISNUMBER(G286),C286&gt;0,F286&gt;0),ROUND(MIN(C286,F286)*(G286-D286),8),"")</f>
        <v/>
      </c>
      <c r="L286" s="183">
        <f>IF(OR(NOT(ISNUMBER(K286)),COUNT(C286,F286,D286)&lt;3),"",IF(MIN(C286,F286)*D286&lt;=0,"",ROUND(K286/(MIN(C286,F286)*D286)*100,2)))</f>
        <v/>
      </c>
      <c r="M286" s="344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316" t="n"/>
      <c r="D287" s="317" t="n"/>
      <c r="E287" s="241">
        <f>IF(AND(ISNUMBER(C287),ISNUMBER(D287)),C287*D287,"")</f>
        <v/>
      </c>
      <c r="F287" s="316" t="n"/>
      <c r="G287" s="317" t="n"/>
      <c r="H287" s="241">
        <f>IF(AND(ISNUMBER(F287),ISNUMBER(G287)),F287*G287,"")</f>
        <v/>
      </c>
      <c r="I287" s="339">
        <f>IF(COUNT(C287,F287)=0,"",N(C287)-N(F287))</f>
        <v/>
      </c>
      <c r="J287" s="340">
        <f>IF(COUNT(E287,H287)=0,"",N(H287)-N(E287))</f>
        <v/>
      </c>
      <c r="K287" s="240">
        <f>IF(AND(ISNUMBER(C287),ISNUMBER(D287),ISNUMBER(F287),ISNUMBER(G287),C287&gt;0,F287&gt;0),ROUND(MIN(C287,F287)*(G287-D287),8),"")</f>
        <v/>
      </c>
      <c r="L287" s="177">
        <f>IF(OR(NOT(ISNUMBER(K287)),COUNT(C287,F287,D287)&lt;3),"",IF(MIN(C287,F287)*D287&lt;=0,"",ROUND(K287/(MIN(C287,F287)*D287)*100,2)))</f>
        <v/>
      </c>
      <c r="M287" s="343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321" t="n"/>
      <c r="D288" s="322" t="n"/>
      <c r="E288" s="247">
        <f>IF(AND(ISNUMBER(C288),ISNUMBER(D288)),C288*D288,"")</f>
        <v/>
      </c>
      <c r="F288" s="321" t="n"/>
      <c r="G288" s="322" t="n"/>
      <c r="H288" s="247">
        <f>IF(AND(ISNUMBER(F288),ISNUMBER(G288)),F288*G288,"")</f>
        <v/>
      </c>
      <c r="I288" s="341">
        <f>IF(COUNT(C288,F288)=0,"",N(C288)-N(F288))</f>
        <v/>
      </c>
      <c r="J288" s="342">
        <f>IF(COUNT(E288,H288)=0,"",N(H288)-N(E288))</f>
        <v/>
      </c>
      <c r="K288" s="246">
        <f>IF(AND(ISNUMBER(C288),ISNUMBER(D288),ISNUMBER(F288),ISNUMBER(G288),C288&gt;0,F288&gt;0),ROUND(MIN(C288,F288)*(G288-D288),8),"")</f>
        <v/>
      </c>
      <c r="L288" s="183">
        <f>IF(OR(NOT(ISNUMBER(K288)),COUNT(C288,F288,D288)&lt;3),"",IF(MIN(C288,F288)*D288&lt;=0,"",ROUND(K288/(MIN(C288,F288)*D288)*100,2)))</f>
        <v/>
      </c>
      <c r="M288" s="344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316" t="n"/>
      <c r="D289" s="317" t="n"/>
      <c r="E289" s="241">
        <f>IF(AND(ISNUMBER(C289),ISNUMBER(D289)),C289*D289,"")</f>
        <v/>
      </c>
      <c r="F289" s="316" t="n"/>
      <c r="G289" s="317" t="n"/>
      <c r="H289" s="241">
        <f>IF(AND(ISNUMBER(F289),ISNUMBER(G289)),F289*G289,"")</f>
        <v/>
      </c>
      <c r="I289" s="339">
        <f>IF(COUNT(C289,F289)=0,"",N(C289)-N(F289))</f>
        <v/>
      </c>
      <c r="J289" s="340">
        <f>IF(COUNT(E289,H289)=0,"",N(H289)-N(E289))</f>
        <v/>
      </c>
      <c r="K289" s="240">
        <f>IF(AND(ISNUMBER(C289),ISNUMBER(D289),ISNUMBER(F289),ISNUMBER(G289),C289&gt;0,F289&gt;0),ROUND(MIN(C289,F289)*(G289-D289),8),"")</f>
        <v/>
      </c>
      <c r="L289" s="177">
        <f>IF(OR(NOT(ISNUMBER(K289)),COUNT(C289,F289,D289)&lt;3),"",IF(MIN(C289,F289)*D289&lt;=0,"",ROUND(K289/(MIN(C289,F289)*D289)*100,2)))</f>
        <v/>
      </c>
      <c r="M289" s="343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321" t="n"/>
      <c r="D290" s="322" t="n"/>
      <c r="E290" s="247">
        <f>IF(AND(ISNUMBER(C290),ISNUMBER(D290)),C290*D290,"")</f>
        <v/>
      </c>
      <c r="F290" s="321" t="n"/>
      <c r="G290" s="322" t="n"/>
      <c r="H290" s="247">
        <f>IF(AND(ISNUMBER(F290),ISNUMBER(G290)),F290*G290,"")</f>
        <v/>
      </c>
      <c r="I290" s="341">
        <f>IF(COUNT(C290,F290)=0,"",N(C290)-N(F290))</f>
        <v/>
      </c>
      <c r="J290" s="342">
        <f>IF(COUNT(E290,H290)=0,"",N(H290)-N(E290))</f>
        <v/>
      </c>
      <c r="K290" s="246">
        <f>IF(AND(ISNUMBER(C290),ISNUMBER(D290),ISNUMBER(F290),ISNUMBER(G290),C290&gt;0,F290&gt;0),ROUND(MIN(C290,F290)*(G290-D290),8),"")</f>
        <v/>
      </c>
      <c r="L290" s="183">
        <f>IF(OR(NOT(ISNUMBER(K290)),COUNT(C290,F290,D290)&lt;3),"",IF(MIN(C290,F290)*D290&lt;=0,"",ROUND(K290/(MIN(C290,F290)*D290)*100,2)))</f>
        <v/>
      </c>
      <c r="M290" s="344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316" t="n"/>
      <c r="D291" s="317" t="n"/>
      <c r="E291" s="241">
        <f>IF(AND(ISNUMBER(C291),ISNUMBER(D291)),C291*D291,"")</f>
        <v/>
      </c>
      <c r="F291" s="316" t="n"/>
      <c r="G291" s="317" t="n"/>
      <c r="H291" s="241">
        <f>IF(AND(ISNUMBER(F291),ISNUMBER(G291)),F291*G291,"")</f>
        <v/>
      </c>
      <c r="I291" s="339">
        <f>IF(COUNT(C291,F291)=0,"",N(C291)-N(F291))</f>
        <v/>
      </c>
      <c r="J291" s="340">
        <f>IF(COUNT(E291,H291)=0,"",N(H291)-N(E291))</f>
        <v/>
      </c>
      <c r="K291" s="240">
        <f>IF(AND(ISNUMBER(C291),ISNUMBER(D291),ISNUMBER(F291),ISNUMBER(G291),C291&gt;0,F291&gt;0),ROUND(MIN(C291,F291)*(G291-D291),8),"")</f>
        <v/>
      </c>
      <c r="L291" s="177">
        <f>IF(OR(NOT(ISNUMBER(K291)),COUNT(C291,F291,D291)&lt;3),"",IF(MIN(C291,F291)*D291&lt;=0,"",ROUND(K291/(MIN(C291,F291)*D291)*100,2)))</f>
        <v/>
      </c>
      <c r="M291" s="343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321" t="n"/>
      <c r="D292" s="322" t="n"/>
      <c r="E292" s="247">
        <f>IF(AND(ISNUMBER(C292),ISNUMBER(D292)),C292*D292,"")</f>
        <v/>
      </c>
      <c r="F292" s="321" t="n"/>
      <c r="G292" s="322" t="n"/>
      <c r="H292" s="247">
        <f>IF(AND(ISNUMBER(F292),ISNUMBER(G292)),F292*G292,"")</f>
        <v/>
      </c>
      <c r="I292" s="341">
        <f>IF(COUNT(C292,F292)=0,"",N(C292)-N(F292))</f>
        <v/>
      </c>
      <c r="J292" s="342">
        <f>IF(COUNT(E292,H292)=0,"",N(H292)-N(E292))</f>
        <v/>
      </c>
      <c r="K292" s="246">
        <f>IF(AND(ISNUMBER(C292),ISNUMBER(D292),ISNUMBER(F292),ISNUMBER(G292),C292&gt;0,F292&gt;0),ROUND(MIN(C292,F292)*(G292-D292),8),"")</f>
        <v/>
      </c>
      <c r="L292" s="183">
        <f>IF(OR(NOT(ISNUMBER(K292)),COUNT(C292,F292,D292)&lt;3),"",IF(MIN(C292,F292)*D292&lt;=0,"",ROUND(K292/(MIN(C292,F292)*D292)*100,2)))</f>
        <v/>
      </c>
      <c r="M292" s="344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316" t="n"/>
      <c r="D293" s="317" t="n"/>
      <c r="E293" s="241">
        <f>IF(AND(ISNUMBER(C293),ISNUMBER(D293)),C293*D293,"")</f>
        <v/>
      </c>
      <c r="F293" s="316" t="n"/>
      <c r="G293" s="317" t="n"/>
      <c r="H293" s="241">
        <f>IF(AND(ISNUMBER(F293),ISNUMBER(G293)),F293*G293,"")</f>
        <v/>
      </c>
      <c r="I293" s="339">
        <f>IF(COUNT(C293,F293)=0,"",N(C293)-N(F293))</f>
        <v/>
      </c>
      <c r="J293" s="340">
        <f>IF(COUNT(E293,H293)=0,"",N(H293)-N(E293))</f>
        <v/>
      </c>
      <c r="K293" s="240">
        <f>IF(AND(ISNUMBER(C293),ISNUMBER(D293),ISNUMBER(F293),ISNUMBER(G293),C293&gt;0,F293&gt;0),ROUND(MIN(C293,F293)*(G293-D293),8),"")</f>
        <v/>
      </c>
      <c r="L293" s="177">
        <f>IF(OR(NOT(ISNUMBER(K293)),COUNT(C293,F293,D293)&lt;3),"",IF(MIN(C293,F293)*D293&lt;=0,"",ROUND(K293/(MIN(C293,F293)*D293)*100,2)))</f>
        <v/>
      </c>
      <c r="M293" s="343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321" t="n"/>
      <c r="D294" s="322" t="n"/>
      <c r="E294" s="247">
        <f>IF(AND(ISNUMBER(C294),ISNUMBER(D294)),C294*D294,"")</f>
        <v/>
      </c>
      <c r="F294" s="321" t="n"/>
      <c r="G294" s="322" t="n"/>
      <c r="H294" s="247">
        <f>IF(AND(ISNUMBER(F294),ISNUMBER(G294)),F294*G294,"")</f>
        <v/>
      </c>
      <c r="I294" s="341">
        <f>IF(COUNT(C294,F294)=0,"",N(C294)-N(F294))</f>
        <v/>
      </c>
      <c r="J294" s="342">
        <f>IF(COUNT(E294,H294)=0,"",N(H294)-N(E294))</f>
        <v/>
      </c>
      <c r="K294" s="246">
        <f>IF(AND(ISNUMBER(C294),ISNUMBER(D294),ISNUMBER(F294),ISNUMBER(G294),C294&gt;0,F294&gt;0),ROUND(MIN(C294,F294)*(G294-D294),8),"")</f>
        <v/>
      </c>
      <c r="L294" s="183">
        <f>IF(OR(NOT(ISNUMBER(K294)),COUNT(C294,F294,D294)&lt;3),"",IF(MIN(C294,F294)*D294&lt;=0,"",ROUND(K294/(MIN(C294,F294)*D294)*100,2)))</f>
        <v/>
      </c>
      <c r="M294" s="344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316" t="n"/>
      <c r="D295" s="317" t="n"/>
      <c r="E295" s="241">
        <f>IF(AND(ISNUMBER(C295),ISNUMBER(D295)),C295*D295,"")</f>
        <v/>
      </c>
      <c r="F295" s="316" t="n"/>
      <c r="G295" s="317" t="n"/>
      <c r="H295" s="241">
        <f>IF(AND(ISNUMBER(F295),ISNUMBER(G295)),F295*G295,"")</f>
        <v/>
      </c>
      <c r="I295" s="339">
        <f>IF(COUNT(C295,F295)=0,"",N(C295)-N(F295))</f>
        <v/>
      </c>
      <c r="J295" s="340">
        <f>IF(COUNT(E295,H295)=0,"",N(H295)-N(E295))</f>
        <v/>
      </c>
      <c r="K295" s="240">
        <f>IF(AND(ISNUMBER(C295),ISNUMBER(D295),ISNUMBER(F295),ISNUMBER(G295),C295&gt;0,F295&gt;0),ROUND(MIN(C295,F295)*(G295-D295),8),"")</f>
        <v/>
      </c>
      <c r="L295" s="177">
        <f>IF(OR(NOT(ISNUMBER(K295)),COUNT(C295,F295,D295)&lt;3),"",IF(MIN(C295,F295)*D295&lt;=0,"",ROUND(K295/(MIN(C295,F295)*D295)*100,2)))</f>
        <v/>
      </c>
      <c r="M295" s="343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321" t="n"/>
      <c r="D296" s="322" t="n"/>
      <c r="E296" s="247">
        <f>IF(AND(ISNUMBER(C296),ISNUMBER(D296)),C296*D296,"")</f>
        <v/>
      </c>
      <c r="F296" s="321" t="n"/>
      <c r="G296" s="322" t="n"/>
      <c r="H296" s="247">
        <f>IF(AND(ISNUMBER(F296),ISNUMBER(G296)),F296*G296,"")</f>
        <v/>
      </c>
      <c r="I296" s="341">
        <f>IF(COUNT(C296,F296)=0,"",N(C296)-N(F296))</f>
        <v/>
      </c>
      <c r="J296" s="342">
        <f>IF(COUNT(E296,H296)=0,"",N(H296)-N(E296))</f>
        <v/>
      </c>
      <c r="K296" s="246">
        <f>IF(AND(ISNUMBER(C296),ISNUMBER(D296),ISNUMBER(F296),ISNUMBER(G296),C296&gt;0,F296&gt;0),ROUND(MIN(C296,F296)*(G296-D296),8),"")</f>
        <v/>
      </c>
      <c r="L296" s="183">
        <f>IF(OR(NOT(ISNUMBER(K296)),COUNT(C296,F296,D296)&lt;3),"",IF(MIN(C296,F296)*D296&lt;=0,"",ROUND(K296/(MIN(C296,F296)*D296)*100,2)))</f>
        <v/>
      </c>
      <c r="M296" s="344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316" t="n"/>
      <c r="D297" s="317" t="n"/>
      <c r="E297" s="241">
        <f>IF(AND(ISNUMBER(C297),ISNUMBER(D297)),C297*D297,"")</f>
        <v/>
      </c>
      <c r="F297" s="316" t="n"/>
      <c r="G297" s="317" t="n"/>
      <c r="H297" s="241">
        <f>IF(AND(ISNUMBER(F297),ISNUMBER(G297)),F297*G297,"")</f>
        <v/>
      </c>
      <c r="I297" s="339">
        <f>IF(COUNT(C297,F297)=0,"",N(C297)-N(F297))</f>
        <v/>
      </c>
      <c r="J297" s="340">
        <f>IF(COUNT(E297,H297)=0,"",N(H297)-N(E297))</f>
        <v/>
      </c>
      <c r="K297" s="240">
        <f>IF(AND(ISNUMBER(C297),ISNUMBER(D297),ISNUMBER(F297),ISNUMBER(G297),C297&gt;0,F297&gt;0),ROUND(MIN(C297,F297)*(G297-D297),8),"")</f>
        <v/>
      </c>
      <c r="L297" s="177">
        <f>IF(OR(NOT(ISNUMBER(K297)),COUNT(C297,F297,D297)&lt;3),"",IF(MIN(C297,F297)*D297&lt;=0,"",ROUND(K297/(MIN(C297,F297)*D297)*100,2)))</f>
        <v/>
      </c>
      <c r="M297" s="343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321" t="n"/>
      <c r="D298" s="322" t="n"/>
      <c r="E298" s="247">
        <f>IF(AND(ISNUMBER(C298),ISNUMBER(D298)),C298*D298,"")</f>
        <v/>
      </c>
      <c r="F298" s="321" t="n"/>
      <c r="G298" s="322" t="n"/>
      <c r="H298" s="247">
        <f>IF(AND(ISNUMBER(F298),ISNUMBER(G298)),F298*G298,"")</f>
        <v/>
      </c>
      <c r="I298" s="341">
        <f>IF(COUNT(C298,F298)=0,"",N(C298)-N(F298))</f>
        <v/>
      </c>
      <c r="J298" s="342">
        <f>IF(COUNT(E298,H298)=0,"",N(H298)-N(E298))</f>
        <v/>
      </c>
      <c r="K298" s="246">
        <f>IF(AND(ISNUMBER(C298),ISNUMBER(D298),ISNUMBER(F298),ISNUMBER(G298),C298&gt;0,F298&gt;0),ROUND(MIN(C298,F298)*(G298-D298),8),"")</f>
        <v/>
      </c>
      <c r="L298" s="183">
        <f>IF(OR(NOT(ISNUMBER(K298)),COUNT(C298,F298,D298)&lt;3),"",IF(MIN(C298,F298)*D298&lt;=0,"",ROUND(K298/(MIN(C298,F298)*D298)*100,2)))</f>
        <v/>
      </c>
      <c r="M298" s="344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316" t="n"/>
      <c r="D299" s="317" t="n"/>
      <c r="E299" s="241">
        <f>IF(AND(ISNUMBER(C299),ISNUMBER(D299)),C299*D299,"")</f>
        <v/>
      </c>
      <c r="F299" s="316" t="n"/>
      <c r="G299" s="317" t="n"/>
      <c r="H299" s="241">
        <f>IF(AND(ISNUMBER(F299),ISNUMBER(G299)),F299*G299,"")</f>
        <v/>
      </c>
      <c r="I299" s="339">
        <f>IF(COUNT(C299,F299)=0,"",N(C299)-N(F299))</f>
        <v/>
      </c>
      <c r="J299" s="340">
        <f>IF(COUNT(E299,H299)=0,"",N(H299)-N(E299))</f>
        <v/>
      </c>
      <c r="K299" s="240">
        <f>IF(AND(ISNUMBER(C299),ISNUMBER(D299),ISNUMBER(F299),ISNUMBER(G299),C299&gt;0,F299&gt;0),ROUND(MIN(C299,F299)*(G299-D299),8),"")</f>
        <v/>
      </c>
      <c r="L299" s="177">
        <f>IF(OR(NOT(ISNUMBER(K299)),COUNT(C299,F299,D299)&lt;3),"",IF(MIN(C299,F299)*D299&lt;=0,"",ROUND(K299/(MIN(C299,F299)*D299)*100,2)))</f>
        <v/>
      </c>
      <c r="M299" s="343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321" t="n"/>
      <c r="D300" s="322" t="n"/>
      <c r="E300" s="247">
        <f>IF(AND(ISNUMBER(C300),ISNUMBER(D300)),C300*D300,"")</f>
        <v/>
      </c>
      <c r="F300" s="321" t="n"/>
      <c r="G300" s="322" t="n"/>
      <c r="H300" s="247">
        <f>IF(AND(ISNUMBER(F300),ISNUMBER(G300)),F300*G300,"")</f>
        <v/>
      </c>
      <c r="I300" s="341">
        <f>IF(COUNT(C300,F300)=0,"",N(C300)-N(F300))</f>
        <v/>
      </c>
      <c r="J300" s="342">
        <f>IF(COUNT(E300,H300)=0,"",N(H300)-N(E300))</f>
        <v/>
      </c>
      <c r="K300" s="246">
        <f>IF(AND(ISNUMBER(C300),ISNUMBER(D300),ISNUMBER(F300),ISNUMBER(G300),C300&gt;0,F300&gt;0),ROUND(MIN(C300,F300)*(G300-D300),8),"")</f>
        <v/>
      </c>
      <c r="L300" s="183">
        <f>IF(OR(NOT(ISNUMBER(K300)),COUNT(C300,F300,D300)&lt;3),"",IF(MIN(C300,F300)*D300&lt;=0,"",ROUND(K300/(MIN(C300,F300)*D300)*100,2)))</f>
        <v/>
      </c>
      <c r="M300" s="344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6">
      <formula>MOD(ROW(),2)=1</formula>
    </cfRule>
    <cfRule type="expression" priority="2" dxfId="7">
      <formula>MOD(ROW(),2)=0</formula>
    </cfRule>
  </conditionalFormatting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2026-10-11T16:05:31Z</dcterms:modified>
</cp:coreProperties>
</file>