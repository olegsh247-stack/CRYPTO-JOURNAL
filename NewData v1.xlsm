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БАЛАНС" sheetId="10" state="visible" r:id="rId10"/>
    <sheet xmlns:r="http://schemas.openxmlformats.org/officeDocument/2006/relationships" name="Справочники" sheetId="11" state="hidden" r:id="rId11"/>
    <sheet xmlns:r="http://schemas.openxmlformats.org/officeDocument/2006/relationships" name="История" sheetId="12" state="hidden" r:id="rId12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Print_Area" localSheetId="9">'БАЛАНС'!$B$1:$E$300</definedName>
    <definedName name="_xlnm._FilterDatabase" localSheetId="11" hidden="1">'История'!$B$4:$M$300</definedName>
    <definedName name="_xlnm.Print_Area" localSheetId="11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6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  <font>
      <name val="Calibri"/>
      <b val="1"/>
      <i val="1"/>
      <color rgb="00244E62"/>
      <sz val="11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51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165" fontId="15" fillId="4" borderId="21" applyAlignment="1" pivotButton="0" quotePrefix="0" xfId="0">
      <alignment horizontal="center" vertical="center"/>
    </xf>
    <xf numFmtId="165" fontId="15" fillId="4" borderId="20" applyAlignment="1" pivotButton="0" quotePrefix="0" xfId="0">
      <alignment horizontal="center" vertical="center"/>
    </xf>
    <xf numFmtId="165" fontId="15" fillId="7" borderId="21" applyAlignment="1" pivotButton="0" quotePrefix="0" xfId="0">
      <alignment horizontal="center" vertical="center"/>
    </xf>
    <xf numFmtId="165" fontId="15" fillId="7" borderId="20" applyAlignment="1" pivotButton="0" quotePrefix="0" xfId="0">
      <alignment horizontal="center" vertical="center"/>
    </xf>
    <xf numFmtId="165" fontId="15" fillId="4" borderId="1" applyAlignment="1" pivotButton="0" quotePrefix="0" xfId="0">
      <alignment horizontal="center" vertical="center"/>
    </xf>
    <xf numFmtId="165" fontId="15" fillId="7" borderId="1" applyAlignment="1" pivotButton="0" quotePrefix="0" xfId="0">
      <alignment horizontal="center" vertical="center"/>
    </xf>
    <xf numFmtId="0" fontId="8" fillId="13" borderId="18" applyAlignment="1" pivotButton="0" quotePrefix="0" xfId="0">
      <alignment horizontal="center" vertical="center"/>
    </xf>
    <xf numFmtId="0" fontId="8" fillId="16" borderId="19" applyAlignment="1" pivotButton="0" quotePrefix="0" xfId="0">
      <alignment horizontal="center" vertical="center"/>
    </xf>
    <xf numFmtId="0" fontId="8" fillId="10" borderId="17" applyAlignment="1" pivotButton="0" quotePrefix="0" xfId="0">
      <alignment horizontal="center" vertical="center"/>
    </xf>
    <xf numFmtId="0" fontId="8" fillId="14" borderId="17" applyAlignment="1" pivotButton="0" quotePrefix="0" xfId="0">
      <alignment horizontal="center" vertical="center"/>
    </xf>
    <xf numFmtId="0" fontId="8" fillId="17" borderId="19" applyAlignment="1" pivotButton="0" quotePrefix="0" xfId="0">
      <alignment horizontal="center" vertical="center"/>
    </xf>
    <xf numFmtId="0" fontId="8" fillId="17" borderId="17" applyAlignment="1" pivotButton="0" quotePrefix="0" xfId="0">
      <alignment horizontal="center" vertical="center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7.5" customWidth="1" min="2" max="2"/>
    <col width="12.7" customWidth="1" min="3" max="3"/>
    <col width="18.7" customWidth="1" min="4" max="4"/>
    <col width="16.4" customWidth="1" min="5" max="5"/>
    <col width="24.2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5.6" customWidth="1" min="5" max="5"/>
    <col width="17.1" customWidth="1" min="6" max="6"/>
    <col width="16.1" customWidth="1" min="7" max="7"/>
    <col width="18.2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20.3" customWidth="1" min="13" max="13"/>
    <col width="20.3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17.1" customWidth="1" min="3" max="3"/>
    <col width="19.2" customWidth="1" min="4" max="4"/>
    <col width="18.2" customWidth="1" min="5" max="5"/>
    <col width="16.1" customWidth="1" min="6" max="6"/>
    <col width="19.2" customWidth="1" min="7" max="7"/>
    <col width="18.2" customWidth="1" min="8" max="8"/>
    <col width="18.1" customWidth="1" min="9" max="9"/>
    <col width="20.3" customWidth="1" min="10" max="10"/>
    <col width="18.2" customWidth="1" min="11" max="11"/>
    <col width="9.800000000000001" customWidth="1" min="12" max="12"/>
    <col width="21.4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339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340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341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342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339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340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341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342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339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340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341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342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339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340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341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342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339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340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341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342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339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340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341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342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339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340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341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342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339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340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341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342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339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340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341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342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339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340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341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342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339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340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341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342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339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340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341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342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339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340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341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342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339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340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341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342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339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340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341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342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339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340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341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342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339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340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341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342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339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340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341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342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339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340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341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342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339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340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341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342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339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340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341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342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339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340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341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342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339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340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341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342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339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340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341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342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339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340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341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342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339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340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341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342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339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340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341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342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339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340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341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342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339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340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341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342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339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340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341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342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339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340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341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342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339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340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341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342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339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340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341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342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339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340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341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342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339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340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341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342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339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340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341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342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339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340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341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342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339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340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341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342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339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340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341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342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339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340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341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342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339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340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341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342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339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340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341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342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339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340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341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342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339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340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341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342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339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340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341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342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339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340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341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342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339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340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341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342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339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340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341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342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339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340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341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342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339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340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341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342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339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340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341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342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339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340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341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342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339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340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341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342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339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340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341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342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339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340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341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342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339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340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341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342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339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340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341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342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339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340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341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342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339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340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341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342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339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340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341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342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339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340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341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342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339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340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341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342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339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340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341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342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339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340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341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342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339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340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341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342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339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340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341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342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339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340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341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342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339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340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341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342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339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340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341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342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339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340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341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342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339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340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341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342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339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340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341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342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339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340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341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342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339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340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341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342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339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340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341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342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339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340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341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342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339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340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341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342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339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340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341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342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339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340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341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342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339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340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341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342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339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340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341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342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339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340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341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342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339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340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341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342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339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340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341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342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339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340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341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342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339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340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341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342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339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340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341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342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339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340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341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342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339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340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341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342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339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340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341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342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339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340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341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342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339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340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341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342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339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340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341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342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339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340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341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342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339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340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341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342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339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340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341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342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339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340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341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342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339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340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341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342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339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340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341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342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339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340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341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342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339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340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341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342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339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340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341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342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339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340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341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342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339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340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341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342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339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340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341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342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339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340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341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342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339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340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341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342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339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340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341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342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339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340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341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342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339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340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341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342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339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340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341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342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339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340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341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342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339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340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341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342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339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340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341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342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339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340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341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342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339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340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341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342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339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340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341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342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339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340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341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342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339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340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341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342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339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340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341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342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339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340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341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342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339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340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341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342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339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340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341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342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339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340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341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342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339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340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341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342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339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340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341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342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339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340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341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342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339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340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341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342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339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340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341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342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339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340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341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342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339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340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341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342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339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340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341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342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339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340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341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342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339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340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341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342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339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340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341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342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339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340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341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342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339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340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341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342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339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340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341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342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339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340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341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342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339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340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341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342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339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340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341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342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339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340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341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342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339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340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341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342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339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340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341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342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339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340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341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342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339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340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341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342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339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340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341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342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339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340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341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342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6.1" customWidth="1" min="6" max="6"/>
    <col width="20.3" customWidth="1" min="7" max="7"/>
    <col width="14" customWidth="1" min="8" max="8"/>
    <col width="16.1" customWidth="1" min="9" max="9"/>
    <col width="19.2" customWidth="1" min="10" max="10"/>
    <col width="18.2" customWidth="1" min="11" max="11"/>
    <col width="18.1" customWidth="1" min="12" max="12"/>
    <col width="19.2" customWidth="1" min="13" max="13"/>
    <col width="21.4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2.3" customWidth="1" min="2" max="2"/>
    <col width="18.2" customWidth="1" min="3" max="3"/>
    <col width="19.2" customWidth="1" min="4" max="4"/>
    <col width="19.2" customWidth="1" min="5" max="5"/>
    <col width="18.2" customWidth="1" min="6" max="6"/>
    <col width="18.2" customWidth="1" min="7" max="7"/>
    <col width="19.2" customWidth="1" min="8" max="8"/>
    <col width="20.3" customWidth="1" min="9" max="9"/>
    <col width="19.2" customWidth="1" min="10" max="10"/>
    <col width="16.1" customWidth="1" min="11" max="11"/>
    <col width="9" customWidth="1" min="12" max="12"/>
    <col width="20.3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339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340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341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342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339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340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341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342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339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340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341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342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339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340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341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342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339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340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341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342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339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340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341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342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339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340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341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342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339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340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341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342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339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340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341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342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339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340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341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342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339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340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341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342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339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340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341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342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339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340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341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342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339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340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341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342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339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340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341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342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339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340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341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342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339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340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341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342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339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340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341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342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339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340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341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342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339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340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341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342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339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340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341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342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339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340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341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342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339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340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341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342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339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340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341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342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339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340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341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342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339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340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341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342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339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340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341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342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339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340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341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342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339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340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341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342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339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340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341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342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339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340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341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342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339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340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341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342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339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340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341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342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339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340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341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342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339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340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341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342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339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340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341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342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339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340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341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342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339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340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341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342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339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340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341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342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339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340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341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342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339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340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341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342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339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340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341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342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339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340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341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342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339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340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341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342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339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340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341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342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339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340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341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342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339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340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341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342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339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340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341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342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339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340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341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342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339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340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341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342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339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340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341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342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339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340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341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342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339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340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341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342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339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340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341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342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339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340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341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342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339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340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341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342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339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340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341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342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339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340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341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342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339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340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341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342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339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340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341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342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339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340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341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342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339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340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341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342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339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340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341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342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339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340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341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342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339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340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341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342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339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340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341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342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339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340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341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342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339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340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341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342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339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340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341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342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339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340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341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342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339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340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341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342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339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340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341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342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339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340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341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342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339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340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341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342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339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340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341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342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339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340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341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342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339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340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341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342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339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340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341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342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339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340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341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342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339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340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341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342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339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340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341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342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339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340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341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342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339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340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341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342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339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340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341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342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339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340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341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342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339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340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341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342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339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340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341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342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339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340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341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342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339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340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341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342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339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340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341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342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339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340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341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342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339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340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341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342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339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340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341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342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339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340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341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342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339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340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341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342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339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340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341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342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339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340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341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342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339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340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341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342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339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340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341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342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339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340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341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342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339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340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341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342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339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340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341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342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339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340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341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342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339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340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341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342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339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340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341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342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339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340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341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342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339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340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341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342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339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340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341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342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339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340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341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342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339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340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341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342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339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340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341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342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339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340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341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342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339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340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341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342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339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340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341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342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339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340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341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342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339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340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341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342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339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340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341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342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339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340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341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342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339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340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341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342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339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340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341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342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339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340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341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342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339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340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341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342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339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340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341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342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339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340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341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342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339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340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341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342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339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340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341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342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339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340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341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342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339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340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341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342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339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340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341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342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339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340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341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342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339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340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341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342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339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340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341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342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339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340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341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342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339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340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341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342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339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340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341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342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339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340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341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342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339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340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341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342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339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340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341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342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339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340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341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342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339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340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341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342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339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340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341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342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339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340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341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342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339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340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341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342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339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340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341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342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339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340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341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342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339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340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341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342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339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340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341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342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339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340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341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342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9" customWidth="1" min="3" max="3"/>
    <col width="12.9" customWidth="1" min="4" max="4"/>
    <col width="9" customWidth="1" min="5" max="5"/>
    <col width="11.7" customWidth="1" min="6" max="6"/>
    <col width="11.7" customWidth="1" min="7" max="7"/>
    <col width="11.7" customWidth="1" min="8" max="8"/>
    <col width="11.7" customWidth="1" min="9" max="9"/>
    <col width="12.9" customWidth="1" min="10" max="10"/>
    <col width="12.9" customWidth="1" min="11" max="11"/>
    <col width="10.5" customWidth="1" min="12" max="12"/>
    <col width="9" customWidth="1" min="13" max="13"/>
    <col width="9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339">
        <f>IF(AND(L5="Закрыт",ISNUMBER(F5),ISNUMBER(H5)),ROUND(H5-F5,8),"")</f>
        <v/>
      </c>
      <c r="K5" s="340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341">
        <f>IF(AND(L6="Закрыт",ISNUMBER(F6),ISNUMBER(H6)),ROUND(H6-F6,8),"")</f>
        <v/>
      </c>
      <c r="K6" s="342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339">
        <f>IF(AND(L7="Закрыт",ISNUMBER(F7),ISNUMBER(H7)),ROUND(H7-F7,8),"")</f>
        <v/>
      </c>
      <c r="K7" s="340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341">
        <f>IF(AND(L8="Закрыт",ISNUMBER(F8),ISNUMBER(H8)),ROUND(H8-F8,8),"")</f>
        <v/>
      </c>
      <c r="K8" s="342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339">
        <f>IF(AND(L9="Закрыт",ISNUMBER(F9),ISNUMBER(H9)),ROUND(H9-F9,8),"")</f>
        <v/>
      </c>
      <c r="K9" s="340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341">
        <f>IF(AND(L10="Закрыт",ISNUMBER(F10),ISNUMBER(H10)),ROUND(H10-F10,8),"")</f>
        <v/>
      </c>
      <c r="K10" s="342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339">
        <f>IF(AND(L11="Закрыт",ISNUMBER(F11),ISNUMBER(H11)),ROUND(H11-F11,8),"")</f>
        <v/>
      </c>
      <c r="K11" s="340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341">
        <f>IF(AND(L12="Закрыт",ISNUMBER(F12),ISNUMBER(H12)),ROUND(H12-F12,8),"")</f>
        <v/>
      </c>
      <c r="K12" s="342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339">
        <f>IF(AND(L13="Закрыт",ISNUMBER(F13),ISNUMBER(H13)),ROUND(H13-F13,8),"")</f>
        <v/>
      </c>
      <c r="K13" s="340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341">
        <f>IF(AND(L14="Закрыт",ISNUMBER(F14),ISNUMBER(H14)),ROUND(H14-F14,8),"")</f>
        <v/>
      </c>
      <c r="K14" s="342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339">
        <f>IF(AND(L15="Закрыт",ISNUMBER(F15),ISNUMBER(H15)),ROUND(H15-F15,8),"")</f>
        <v/>
      </c>
      <c r="K15" s="340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341">
        <f>IF(AND(L16="Закрыт",ISNUMBER(F16),ISNUMBER(H16)),ROUND(H16-F16,8),"")</f>
        <v/>
      </c>
      <c r="K16" s="342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339">
        <f>IF(AND(L17="Закрыт",ISNUMBER(F17),ISNUMBER(H17)),ROUND(H17-F17,8),"")</f>
        <v/>
      </c>
      <c r="K17" s="340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341">
        <f>IF(AND(L18="Закрыт",ISNUMBER(F18),ISNUMBER(H18)),ROUND(H18-F18,8),"")</f>
        <v/>
      </c>
      <c r="K18" s="342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339">
        <f>IF(AND(L19="Закрыт",ISNUMBER(F19),ISNUMBER(H19)),ROUND(H19-F19,8),"")</f>
        <v/>
      </c>
      <c r="K19" s="340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341">
        <f>IF(AND(L20="Закрыт",ISNUMBER(F20),ISNUMBER(H20)),ROUND(H20-F20,8),"")</f>
        <v/>
      </c>
      <c r="K20" s="342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339">
        <f>IF(AND(L21="Закрыт",ISNUMBER(F21),ISNUMBER(H21)),ROUND(H21-F21,8),"")</f>
        <v/>
      </c>
      <c r="K21" s="340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341">
        <f>IF(AND(L22="Закрыт",ISNUMBER(F22),ISNUMBER(H22)),ROUND(H22-F22,8),"")</f>
        <v/>
      </c>
      <c r="K22" s="342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339">
        <f>IF(AND(L23="Закрыт",ISNUMBER(F23),ISNUMBER(H23)),ROUND(H23-F23,8),"")</f>
        <v/>
      </c>
      <c r="K23" s="340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341">
        <f>IF(AND(L24="Закрыт",ISNUMBER(F24),ISNUMBER(H24)),ROUND(H24-F24,8),"")</f>
        <v/>
      </c>
      <c r="K24" s="342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339">
        <f>IF(AND(L25="Закрыт",ISNUMBER(F25),ISNUMBER(H25)),ROUND(H25-F25,8),"")</f>
        <v/>
      </c>
      <c r="K25" s="340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341">
        <f>IF(AND(L26="Закрыт",ISNUMBER(F26),ISNUMBER(H26)),ROUND(H26-F26,8),"")</f>
        <v/>
      </c>
      <c r="K26" s="342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339">
        <f>IF(AND(L27="Закрыт",ISNUMBER(F27),ISNUMBER(H27)),ROUND(H27-F27,8),"")</f>
        <v/>
      </c>
      <c r="K27" s="340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341">
        <f>IF(AND(L28="Закрыт",ISNUMBER(F28),ISNUMBER(H28)),ROUND(H28-F28,8),"")</f>
        <v/>
      </c>
      <c r="K28" s="342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339">
        <f>IF(AND(L29="Закрыт",ISNUMBER(F29),ISNUMBER(H29)),ROUND(H29-F29,8),"")</f>
        <v/>
      </c>
      <c r="K29" s="340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341">
        <f>IF(AND(L30="Закрыт",ISNUMBER(F30),ISNUMBER(H30)),ROUND(H30-F30,8),"")</f>
        <v/>
      </c>
      <c r="K30" s="342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339">
        <f>IF(AND(L31="Закрыт",ISNUMBER(F31),ISNUMBER(H31)),ROUND(H31-F31,8),"")</f>
        <v/>
      </c>
      <c r="K31" s="340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341">
        <f>IF(AND(L32="Закрыт",ISNUMBER(F32),ISNUMBER(H32)),ROUND(H32-F32,8),"")</f>
        <v/>
      </c>
      <c r="K32" s="342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339">
        <f>IF(AND(L33="Закрыт",ISNUMBER(F33),ISNUMBER(H33)),ROUND(H33-F33,8),"")</f>
        <v/>
      </c>
      <c r="K33" s="340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341">
        <f>IF(AND(L34="Закрыт",ISNUMBER(F34),ISNUMBER(H34)),ROUND(H34-F34,8),"")</f>
        <v/>
      </c>
      <c r="K34" s="342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339">
        <f>IF(AND(L35="Закрыт",ISNUMBER(F35),ISNUMBER(H35)),ROUND(H35-F35,8),"")</f>
        <v/>
      </c>
      <c r="K35" s="340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341">
        <f>IF(AND(L36="Закрыт",ISNUMBER(F36),ISNUMBER(H36)),ROUND(H36-F36,8),"")</f>
        <v/>
      </c>
      <c r="K36" s="342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339">
        <f>IF(AND(L37="Закрыт",ISNUMBER(F37),ISNUMBER(H37)),ROUND(H37-F37,8),"")</f>
        <v/>
      </c>
      <c r="K37" s="340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341">
        <f>IF(AND(L38="Закрыт",ISNUMBER(F38),ISNUMBER(H38)),ROUND(H38-F38,8),"")</f>
        <v/>
      </c>
      <c r="K38" s="342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339">
        <f>IF(AND(L39="Закрыт",ISNUMBER(F39),ISNUMBER(H39)),ROUND(H39-F39,8),"")</f>
        <v/>
      </c>
      <c r="K39" s="340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341">
        <f>IF(AND(L40="Закрыт",ISNUMBER(F40),ISNUMBER(H40)),ROUND(H40-F40,8),"")</f>
        <v/>
      </c>
      <c r="K40" s="342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339">
        <f>IF(AND(L41="Закрыт",ISNUMBER(F41),ISNUMBER(H41)),ROUND(H41-F41,8),"")</f>
        <v/>
      </c>
      <c r="K41" s="340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341">
        <f>IF(AND(L42="Закрыт",ISNUMBER(F42),ISNUMBER(H42)),ROUND(H42-F42,8),"")</f>
        <v/>
      </c>
      <c r="K42" s="342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339">
        <f>IF(AND(L43="Закрыт",ISNUMBER(F43),ISNUMBER(H43)),ROUND(H43-F43,8),"")</f>
        <v/>
      </c>
      <c r="K43" s="340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341">
        <f>IF(AND(L44="Закрыт",ISNUMBER(F44),ISNUMBER(H44)),ROUND(H44-F44,8),"")</f>
        <v/>
      </c>
      <c r="K44" s="342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339">
        <f>IF(AND(L45="Закрыт",ISNUMBER(F45),ISNUMBER(H45)),ROUND(H45-F45,8),"")</f>
        <v/>
      </c>
      <c r="K45" s="340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341">
        <f>IF(AND(L46="Закрыт",ISNUMBER(F46),ISNUMBER(H46)),ROUND(H46-F46,8),"")</f>
        <v/>
      </c>
      <c r="K46" s="342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339">
        <f>IF(AND(L47="Закрыт",ISNUMBER(F47),ISNUMBER(H47)),ROUND(H47-F47,8),"")</f>
        <v/>
      </c>
      <c r="K47" s="340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341">
        <f>IF(AND(L48="Закрыт",ISNUMBER(F48),ISNUMBER(H48)),ROUND(H48-F48,8),"")</f>
        <v/>
      </c>
      <c r="K48" s="342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339">
        <f>IF(AND(L49="Закрыт",ISNUMBER(F49),ISNUMBER(H49)),ROUND(H49-F49,8),"")</f>
        <v/>
      </c>
      <c r="K49" s="340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341">
        <f>IF(AND(L50="Закрыт",ISNUMBER(F50),ISNUMBER(H50)),ROUND(H50-F50,8),"")</f>
        <v/>
      </c>
      <c r="K50" s="342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339">
        <f>IF(AND(L51="Закрыт",ISNUMBER(F51),ISNUMBER(H51)),ROUND(H51-F51,8),"")</f>
        <v/>
      </c>
      <c r="K51" s="340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341">
        <f>IF(AND(L52="Закрыт",ISNUMBER(F52),ISNUMBER(H52)),ROUND(H52-F52,8),"")</f>
        <v/>
      </c>
      <c r="K52" s="342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339">
        <f>IF(AND(L53="Закрыт",ISNUMBER(F53),ISNUMBER(H53)),ROUND(H53-F53,8),"")</f>
        <v/>
      </c>
      <c r="K53" s="340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341">
        <f>IF(AND(L54="Закрыт",ISNUMBER(F54),ISNUMBER(H54)),ROUND(H54-F54,8),"")</f>
        <v/>
      </c>
      <c r="K54" s="342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339">
        <f>IF(AND(L55="Закрыт",ISNUMBER(F55),ISNUMBER(H55)),ROUND(H55-F55,8),"")</f>
        <v/>
      </c>
      <c r="K55" s="340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341">
        <f>IF(AND(L56="Закрыт",ISNUMBER(F56),ISNUMBER(H56)),ROUND(H56-F56,8),"")</f>
        <v/>
      </c>
      <c r="K56" s="342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339">
        <f>IF(AND(L57="Закрыт",ISNUMBER(F57),ISNUMBER(H57)),ROUND(H57-F57,8),"")</f>
        <v/>
      </c>
      <c r="K57" s="340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341">
        <f>IF(AND(L58="Закрыт",ISNUMBER(F58),ISNUMBER(H58)),ROUND(H58-F58,8),"")</f>
        <v/>
      </c>
      <c r="K58" s="342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339">
        <f>IF(AND(L59="Закрыт",ISNUMBER(F59),ISNUMBER(H59)),ROUND(H59-F59,8),"")</f>
        <v/>
      </c>
      <c r="K59" s="340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341">
        <f>IF(AND(L60="Закрыт",ISNUMBER(F60),ISNUMBER(H60)),ROUND(H60-F60,8),"")</f>
        <v/>
      </c>
      <c r="K60" s="342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339">
        <f>IF(AND(L61="Закрыт",ISNUMBER(F61),ISNUMBER(H61)),ROUND(H61-F61,8),"")</f>
        <v/>
      </c>
      <c r="K61" s="340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341">
        <f>IF(AND(L62="Закрыт",ISNUMBER(F62),ISNUMBER(H62)),ROUND(H62-F62,8),"")</f>
        <v/>
      </c>
      <c r="K62" s="342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339">
        <f>IF(AND(L63="Закрыт",ISNUMBER(F63),ISNUMBER(H63)),ROUND(H63-F63,8),"")</f>
        <v/>
      </c>
      <c r="K63" s="340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341">
        <f>IF(AND(L64="Закрыт",ISNUMBER(F64),ISNUMBER(H64)),ROUND(H64-F64,8),"")</f>
        <v/>
      </c>
      <c r="K64" s="342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339">
        <f>IF(AND(L65="Закрыт",ISNUMBER(F65),ISNUMBER(H65)),ROUND(H65-F65,8),"")</f>
        <v/>
      </c>
      <c r="K65" s="340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341">
        <f>IF(AND(L66="Закрыт",ISNUMBER(F66),ISNUMBER(H66)),ROUND(H66-F66,8),"")</f>
        <v/>
      </c>
      <c r="K66" s="342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339">
        <f>IF(AND(L67="Закрыт",ISNUMBER(F67),ISNUMBER(H67)),ROUND(H67-F67,8),"")</f>
        <v/>
      </c>
      <c r="K67" s="340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341">
        <f>IF(AND(L68="Закрыт",ISNUMBER(F68),ISNUMBER(H68)),ROUND(H68-F68,8),"")</f>
        <v/>
      </c>
      <c r="K68" s="342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339">
        <f>IF(AND(L69="Закрыт",ISNUMBER(F69),ISNUMBER(H69)),ROUND(H69-F69,8),"")</f>
        <v/>
      </c>
      <c r="K69" s="340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341">
        <f>IF(AND(L70="Закрыт",ISNUMBER(F70),ISNUMBER(H70)),ROUND(H70-F70,8),"")</f>
        <v/>
      </c>
      <c r="K70" s="342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339">
        <f>IF(AND(L71="Закрыт",ISNUMBER(F71),ISNUMBER(H71)),ROUND(H71-F71,8),"")</f>
        <v/>
      </c>
      <c r="K71" s="340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341">
        <f>IF(AND(L72="Закрыт",ISNUMBER(F72),ISNUMBER(H72)),ROUND(H72-F72,8),"")</f>
        <v/>
      </c>
      <c r="K72" s="342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339">
        <f>IF(AND(L73="Закрыт",ISNUMBER(F73),ISNUMBER(H73)),ROUND(H73-F73,8),"")</f>
        <v/>
      </c>
      <c r="K73" s="340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341">
        <f>IF(AND(L74="Закрыт",ISNUMBER(F74),ISNUMBER(H74)),ROUND(H74-F74,8),"")</f>
        <v/>
      </c>
      <c r="K74" s="342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339">
        <f>IF(AND(L75="Закрыт",ISNUMBER(F75),ISNUMBER(H75)),ROUND(H75-F75,8),"")</f>
        <v/>
      </c>
      <c r="K75" s="340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341">
        <f>IF(AND(L76="Закрыт",ISNUMBER(F76),ISNUMBER(H76)),ROUND(H76-F76,8),"")</f>
        <v/>
      </c>
      <c r="K76" s="342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339">
        <f>IF(AND(L77="Закрыт",ISNUMBER(F77),ISNUMBER(H77)),ROUND(H77-F77,8),"")</f>
        <v/>
      </c>
      <c r="K77" s="340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341">
        <f>IF(AND(L78="Закрыт",ISNUMBER(F78),ISNUMBER(H78)),ROUND(H78-F78,8),"")</f>
        <v/>
      </c>
      <c r="K78" s="342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339">
        <f>IF(AND(L79="Закрыт",ISNUMBER(F79),ISNUMBER(H79)),ROUND(H79-F79,8),"")</f>
        <v/>
      </c>
      <c r="K79" s="340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341">
        <f>IF(AND(L80="Закрыт",ISNUMBER(F80),ISNUMBER(H80)),ROUND(H80-F80,8),"")</f>
        <v/>
      </c>
      <c r="K80" s="342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339">
        <f>IF(AND(L81="Закрыт",ISNUMBER(F81),ISNUMBER(H81)),ROUND(H81-F81,8),"")</f>
        <v/>
      </c>
      <c r="K81" s="340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341">
        <f>IF(AND(L82="Закрыт",ISNUMBER(F82),ISNUMBER(H82)),ROUND(H82-F82,8),"")</f>
        <v/>
      </c>
      <c r="K82" s="342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339">
        <f>IF(AND(L83="Закрыт",ISNUMBER(F83),ISNUMBER(H83)),ROUND(H83-F83,8),"")</f>
        <v/>
      </c>
      <c r="K83" s="340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341">
        <f>IF(AND(L84="Закрыт",ISNUMBER(F84),ISNUMBER(H84)),ROUND(H84-F84,8),"")</f>
        <v/>
      </c>
      <c r="K84" s="342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339">
        <f>IF(AND(L85="Закрыт",ISNUMBER(F85),ISNUMBER(H85)),ROUND(H85-F85,8),"")</f>
        <v/>
      </c>
      <c r="K85" s="340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341">
        <f>IF(AND(L86="Закрыт",ISNUMBER(F86),ISNUMBER(H86)),ROUND(H86-F86,8),"")</f>
        <v/>
      </c>
      <c r="K86" s="342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339">
        <f>IF(AND(L87="Закрыт",ISNUMBER(F87),ISNUMBER(H87)),ROUND(H87-F87,8),"")</f>
        <v/>
      </c>
      <c r="K87" s="340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341">
        <f>IF(AND(L88="Закрыт",ISNUMBER(F88),ISNUMBER(H88)),ROUND(H88-F88,8),"")</f>
        <v/>
      </c>
      <c r="K88" s="342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339">
        <f>IF(AND(L89="Закрыт",ISNUMBER(F89),ISNUMBER(H89)),ROUND(H89-F89,8),"")</f>
        <v/>
      </c>
      <c r="K89" s="340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341">
        <f>IF(AND(L90="Закрыт",ISNUMBER(F90),ISNUMBER(H90)),ROUND(H90-F90,8),"")</f>
        <v/>
      </c>
      <c r="K90" s="342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339">
        <f>IF(AND(L91="Закрыт",ISNUMBER(F91),ISNUMBER(H91)),ROUND(H91-F91,8),"")</f>
        <v/>
      </c>
      <c r="K91" s="340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341">
        <f>IF(AND(L92="Закрыт",ISNUMBER(F92),ISNUMBER(H92)),ROUND(H92-F92,8),"")</f>
        <v/>
      </c>
      <c r="K92" s="342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339">
        <f>IF(AND(L93="Закрыт",ISNUMBER(F93),ISNUMBER(H93)),ROUND(H93-F93,8),"")</f>
        <v/>
      </c>
      <c r="K93" s="340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341">
        <f>IF(AND(L94="Закрыт",ISNUMBER(F94),ISNUMBER(H94)),ROUND(H94-F94,8),"")</f>
        <v/>
      </c>
      <c r="K94" s="342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339">
        <f>IF(AND(L95="Закрыт",ISNUMBER(F95),ISNUMBER(H95)),ROUND(H95-F95,8),"")</f>
        <v/>
      </c>
      <c r="K95" s="340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341">
        <f>IF(AND(L96="Закрыт",ISNUMBER(F96),ISNUMBER(H96)),ROUND(H96-F96,8),"")</f>
        <v/>
      </c>
      <c r="K96" s="342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339">
        <f>IF(AND(L97="Закрыт",ISNUMBER(F97),ISNUMBER(H97)),ROUND(H97-F97,8),"")</f>
        <v/>
      </c>
      <c r="K97" s="340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341">
        <f>IF(AND(L98="Закрыт",ISNUMBER(F98),ISNUMBER(H98)),ROUND(H98-F98,8),"")</f>
        <v/>
      </c>
      <c r="K98" s="342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339">
        <f>IF(AND(L99="Закрыт",ISNUMBER(F99),ISNUMBER(H99)),ROUND(H99-F99,8),"")</f>
        <v/>
      </c>
      <c r="K99" s="340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341">
        <f>IF(AND(L100="Закрыт",ISNUMBER(F100),ISNUMBER(H100)),ROUND(H100-F100,8),"")</f>
        <v/>
      </c>
      <c r="K100" s="342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339">
        <f>IF(AND(L101="Закрыт",ISNUMBER(F101),ISNUMBER(H101)),ROUND(H101-F101,8),"")</f>
        <v/>
      </c>
      <c r="K101" s="340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341">
        <f>IF(AND(L102="Закрыт",ISNUMBER(F102),ISNUMBER(H102)),ROUND(H102-F102,8),"")</f>
        <v/>
      </c>
      <c r="K102" s="342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339">
        <f>IF(AND(L103="Закрыт",ISNUMBER(F103),ISNUMBER(H103)),ROUND(H103-F103,8),"")</f>
        <v/>
      </c>
      <c r="K103" s="340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341">
        <f>IF(AND(L104="Закрыт",ISNUMBER(F104),ISNUMBER(H104)),ROUND(H104-F104,8),"")</f>
        <v/>
      </c>
      <c r="K104" s="342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339">
        <f>IF(AND(L105="Закрыт",ISNUMBER(F105),ISNUMBER(H105)),ROUND(H105-F105,8),"")</f>
        <v/>
      </c>
      <c r="K105" s="340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341">
        <f>IF(AND(L106="Закрыт",ISNUMBER(F106),ISNUMBER(H106)),ROUND(H106-F106,8),"")</f>
        <v/>
      </c>
      <c r="K106" s="342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339">
        <f>IF(AND(L107="Закрыт",ISNUMBER(F107),ISNUMBER(H107)),ROUND(H107-F107,8),"")</f>
        <v/>
      </c>
      <c r="K107" s="340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341">
        <f>IF(AND(L108="Закрыт",ISNUMBER(F108),ISNUMBER(H108)),ROUND(H108-F108,8),"")</f>
        <v/>
      </c>
      <c r="K108" s="342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339">
        <f>IF(AND(L109="Закрыт",ISNUMBER(F109),ISNUMBER(H109)),ROUND(H109-F109,8),"")</f>
        <v/>
      </c>
      <c r="K109" s="340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341">
        <f>IF(AND(L110="Закрыт",ISNUMBER(F110),ISNUMBER(H110)),ROUND(H110-F110,8),"")</f>
        <v/>
      </c>
      <c r="K110" s="342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339">
        <f>IF(AND(L111="Закрыт",ISNUMBER(F111),ISNUMBER(H111)),ROUND(H111-F111,8),"")</f>
        <v/>
      </c>
      <c r="K111" s="340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341">
        <f>IF(AND(L112="Закрыт",ISNUMBER(F112),ISNUMBER(H112)),ROUND(H112-F112,8),"")</f>
        <v/>
      </c>
      <c r="K112" s="342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339">
        <f>IF(AND(L113="Закрыт",ISNUMBER(F113),ISNUMBER(H113)),ROUND(H113-F113,8),"")</f>
        <v/>
      </c>
      <c r="K113" s="340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341">
        <f>IF(AND(L114="Закрыт",ISNUMBER(F114),ISNUMBER(H114)),ROUND(H114-F114,8),"")</f>
        <v/>
      </c>
      <c r="K114" s="342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339">
        <f>IF(AND(L115="Закрыт",ISNUMBER(F115),ISNUMBER(H115)),ROUND(H115-F115,8),"")</f>
        <v/>
      </c>
      <c r="K115" s="340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341">
        <f>IF(AND(L116="Закрыт",ISNUMBER(F116),ISNUMBER(H116)),ROUND(H116-F116,8),"")</f>
        <v/>
      </c>
      <c r="K116" s="342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339">
        <f>IF(AND(L117="Закрыт",ISNUMBER(F117),ISNUMBER(H117)),ROUND(H117-F117,8),"")</f>
        <v/>
      </c>
      <c r="K117" s="340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341">
        <f>IF(AND(L118="Закрыт",ISNUMBER(F118),ISNUMBER(H118)),ROUND(H118-F118,8),"")</f>
        <v/>
      </c>
      <c r="K118" s="342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339">
        <f>IF(AND(L119="Закрыт",ISNUMBER(F119),ISNUMBER(H119)),ROUND(H119-F119,8),"")</f>
        <v/>
      </c>
      <c r="K119" s="340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341">
        <f>IF(AND(L120="Закрыт",ISNUMBER(F120),ISNUMBER(H120)),ROUND(H120-F120,8),"")</f>
        <v/>
      </c>
      <c r="K120" s="342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339">
        <f>IF(AND(L121="Закрыт",ISNUMBER(F121),ISNUMBER(H121)),ROUND(H121-F121,8),"")</f>
        <v/>
      </c>
      <c r="K121" s="340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341">
        <f>IF(AND(L122="Закрыт",ISNUMBER(F122),ISNUMBER(H122)),ROUND(H122-F122,8),"")</f>
        <v/>
      </c>
      <c r="K122" s="342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339">
        <f>IF(AND(L123="Закрыт",ISNUMBER(F123),ISNUMBER(H123)),ROUND(H123-F123,8),"")</f>
        <v/>
      </c>
      <c r="K123" s="340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341">
        <f>IF(AND(L124="Закрыт",ISNUMBER(F124),ISNUMBER(H124)),ROUND(H124-F124,8),"")</f>
        <v/>
      </c>
      <c r="K124" s="342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339">
        <f>IF(AND(L125="Закрыт",ISNUMBER(F125),ISNUMBER(H125)),ROUND(H125-F125,8),"")</f>
        <v/>
      </c>
      <c r="K125" s="340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341">
        <f>IF(AND(L126="Закрыт",ISNUMBER(F126),ISNUMBER(H126)),ROUND(H126-F126,8),"")</f>
        <v/>
      </c>
      <c r="K126" s="342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339">
        <f>IF(AND(L127="Закрыт",ISNUMBER(F127),ISNUMBER(H127)),ROUND(H127-F127,8),"")</f>
        <v/>
      </c>
      <c r="K127" s="340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341">
        <f>IF(AND(L128="Закрыт",ISNUMBER(F128),ISNUMBER(H128)),ROUND(H128-F128,8),"")</f>
        <v/>
      </c>
      <c r="K128" s="342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339">
        <f>IF(AND(L129="Закрыт",ISNUMBER(F129),ISNUMBER(H129)),ROUND(H129-F129,8),"")</f>
        <v/>
      </c>
      <c r="K129" s="340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341">
        <f>IF(AND(L130="Закрыт",ISNUMBER(F130),ISNUMBER(H130)),ROUND(H130-F130,8),"")</f>
        <v/>
      </c>
      <c r="K130" s="342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339">
        <f>IF(AND(L131="Закрыт",ISNUMBER(F131),ISNUMBER(H131)),ROUND(H131-F131,8),"")</f>
        <v/>
      </c>
      <c r="K131" s="340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341">
        <f>IF(AND(L132="Закрыт",ISNUMBER(F132),ISNUMBER(H132)),ROUND(H132-F132,8),"")</f>
        <v/>
      </c>
      <c r="K132" s="342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339">
        <f>IF(AND(L133="Закрыт",ISNUMBER(F133),ISNUMBER(H133)),ROUND(H133-F133,8),"")</f>
        <v/>
      </c>
      <c r="K133" s="340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341">
        <f>IF(AND(L134="Закрыт",ISNUMBER(F134),ISNUMBER(H134)),ROUND(H134-F134,8),"")</f>
        <v/>
      </c>
      <c r="K134" s="342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339">
        <f>IF(AND(L135="Закрыт",ISNUMBER(F135),ISNUMBER(H135)),ROUND(H135-F135,8),"")</f>
        <v/>
      </c>
      <c r="K135" s="340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341">
        <f>IF(AND(L136="Закрыт",ISNUMBER(F136),ISNUMBER(H136)),ROUND(H136-F136,8),"")</f>
        <v/>
      </c>
      <c r="K136" s="342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339">
        <f>IF(AND(L137="Закрыт",ISNUMBER(F137),ISNUMBER(H137)),ROUND(H137-F137,8),"")</f>
        <v/>
      </c>
      <c r="K137" s="340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341">
        <f>IF(AND(L138="Закрыт",ISNUMBER(F138),ISNUMBER(H138)),ROUND(H138-F138,8),"")</f>
        <v/>
      </c>
      <c r="K138" s="342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339">
        <f>IF(AND(L139="Закрыт",ISNUMBER(F139),ISNUMBER(H139)),ROUND(H139-F139,8),"")</f>
        <v/>
      </c>
      <c r="K139" s="340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341">
        <f>IF(AND(L140="Закрыт",ISNUMBER(F140),ISNUMBER(H140)),ROUND(H140-F140,8),"")</f>
        <v/>
      </c>
      <c r="K140" s="342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339">
        <f>IF(AND(L141="Закрыт",ISNUMBER(F141),ISNUMBER(H141)),ROUND(H141-F141,8),"")</f>
        <v/>
      </c>
      <c r="K141" s="340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341">
        <f>IF(AND(L142="Закрыт",ISNUMBER(F142),ISNUMBER(H142)),ROUND(H142-F142,8),"")</f>
        <v/>
      </c>
      <c r="K142" s="342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339">
        <f>IF(AND(L143="Закрыт",ISNUMBER(F143),ISNUMBER(H143)),ROUND(H143-F143,8),"")</f>
        <v/>
      </c>
      <c r="K143" s="340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341">
        <f>IF(AND(L144="Закрыт",ISNUMBER(F144),ISNUMBER(H144)),ROUND(H144-F144,8),"")</f>
        <v/>
      </c>
      <c r="K144" s="342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339">
        <f>IF(AND(L145="Закрыт",ISNUMBER(F145),ISNUMBER(H145)),ROUND(H145-F145,8),"")</f>
        <v/>
      </c>
      <c r="K145" s="340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341">
        <f>IF(AND(L146="Закрыт",ISNUMBER(F146),ISNUMBER(H146)),ROUND(H146-F146,8),"")</f>
        <v/>
      </c>
      <c r="K146" s="342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339">
        <f>IF(AND(L147="Закрыт",ISNUMBER(F147),ISNUMBER(H147)),ROUND(H147-F147,8),"")</f>
        <v/>
      </c>
      <c r="K147" s="340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341">
        <f>IF(AND(L148="Закрыт",ISNUMBER(F148),ISNUMBER(H148)),ROUND(H148-F148,8),"")</f>
        <v/>
      </c>
      <c r="K148" s="342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339">
        <f>IF(AND(L149="Закрыт",ISNUMBER(F149),ISNUMBER(H149)),ROUND(H149-F149,8),"")</f>
        <v/>
      </c>
      <c r="K149" s="340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341">
        <f>IF(AND(L150="Закрыт",ISNUMBER(F150),ISNUMBER(H150)),ROUND(H150-F150,8),"")</f>
        <v/>
      </c>
      <c r="K150" s="342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339">
        <f>IF(AND(L151="Закрыт",ISNUMBER(F151),ISNUMBER(H151)),ROUND(H151-F151,8),"")</f>
        <v/>
      </c>
      <c r="K151" s="340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341">
        <f>IF(AND(L152="Закрыт",ISNUMBER(F152),ISNUMBER(H152)),ROUND(H152-F152,8),"")</f>
        <v/>
      </c>
      <c r="K152" s="342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339">
        <f>IF(AND(L153="Закрыт",ISNUMBER(F153),ISNUMBER(H153)),ROUND(H153-F153,8),"")</f>
        <v/>
      </c>
      <c r="K153" s="340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341">
        <f>IF(AND(L154="Закрыт",ISNUMBER(F154),ISNUMBER(H154)),ROUND(H154-F154,8),"")</f>
        <v/>
      </c>
      <c r="K154" s="342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339">
        <f>IF(AND(L155="Закрыт",ISNUMBER(F155),ISNUMBER(H155)),ROUND(H155-F155,8),"")</f>
        <v/>
      </c>
      <c r="K155" s="340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341">
        <f>IF(AND(L156="Закрыт",ISNUMBER(F156),ISNUMBER(H156)),ROUND(H156-F156,8),"")</f>
        <v/>
      </c>
      <c r="K156" s="342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339">
        <f>IF(AND(L157="Закрыт",ISNUMBER(F157),ISNUMBER(H157)),ROUND(H157-F157,8),"")</f>
        <v/>
      </c>
      <c r="K157" s="340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341">
        <f>IF(AND(L158="Закрыт",ISNUMBER(F158),ISNUMBER(H158)),ROUND(H158-F158,8),"")</f>
        <v/>
      </c>
      <c r="K158" s="342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339">
        <f>IF(AND(L159="Закрыт",ISNUMBER(F159),ISNUMBER(H159)),ROUND(H159-F159,8),"")</f>
        <v/>
      </c>
      <c r="K159" s="340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341">
        <f>IF(AND(L160="Закрыт",ISNUMBER(F160),ISNUMBER(H160)),ROUND(H160-F160,8),"")</f>
        <v/>
      </c>
      <c r="K160" s="342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339">
        <f>IF(AND(L161="Закрыт",ISNUMBER(F161),ISNUMBER(H161)),ROUND(H161-F161,8),"")</f>
        <v/>
      </c>
      <c r="K161" s="340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341">
        <f>IF(AND(L162="Закрыт",ISNUMBER(F162),ISNUMBER(H162)),ROUND(H162-F162,8),"")</f>
        <v/>
      </c>
      <c r="K162" s="342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339">
        <f>IF(AND(L163="Закрыт",ISNUMBER(F163),ISNUMBER(H163)),ROUND(H163-F163,8),"")</f>
        <v/>
      </c>
      <c r="K163" s="340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341">
        <f>IF(AND(L164="Закрыт",ISNUMBER(F164),ISNUMBER(H164)),ROUND(H164-F164,8),"")</f>
        <v/>
      </c>
      <c r="K164" s="342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339">
        <f>IF(AND(L165="Закрыт",ISNUMBER(F165),ISNUMBER(H165)),ROUND(H165-F165,8),"")</f>
        <v/>
      </c>
      <c r="K165" s="340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341">
        <f>IF(AND(L166="Закрыт",ISNUMBER(F166),ISNUMBER(H166)),ROUND(H166-F166,8),"")</f>
        <v/>
      </c>
      <c r="K166" s="342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339">
        <f>IF(AND(L167="Закрыт",ISNUMBER(F167),ISNUMBER(H167)),ROUND(H167-F167,8),"")</f>
        <v/>
      </c>
      <c r="K167" s="340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341">
        <f>IF(AND(L168="Закрыт",ISNUMBER(F168),ISNUMBER(H168)),ROUND(H168-F168,8),"")</f>
        <v/>
      </c>
      <c r="K168" s="342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339">
        <f>IF(AND(L169="Закрыт",ISNUMBER(F169),ISNUMBER(H169)),ROUND(H169-F169,8),"")</f>
        <v/>
      </c>
      <c r="K169" s="340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341">
        <f>IF(AND(L170="Закрыт",ISNUMBER(F170),ISNUMBER(H170)),ROUND(H170-F170,8),"")</f>
        <v/>
      </c>
      <c r="K170" s="342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339">
        <f>IF(AND(L171="Закрыт",ISNUMBER(F171),ISNUMBER(H171)),ROUND(H171-F171,8),"")</f>
        <v/>
      </c>
      <c r="K171" s="340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341">
        <f>IF(AND(L172="Закрыт",ISNUMBER(F172),ISNUMBER(H172)),ROUND(H172-F172,8),"")</f>
        <v/>
      </c>
      <c r="K172" s="342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339">
        <f>IF(AND(L173="Закрыт",ISNUMBER(F173),ISNUMBER(H173)),ROUND(H173-F173,8),"")</f>
        <v/>
      </c>
      <c r="K173" s="340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341">
        <f>IF(AND(L174="Закрыт",ISNUMBER(F174),ISNUMBER(H174)),ROUND(H174-F174,8),"")</f>
        <v/>
      </c>
      <c r="K174" s="342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339">
        <f>IF(AND(L175="Закрыт",ISNUMBER(F175),ISNUMBER(H175)),ROUND(H175-F175,8),"")</f>
        <v/>
      </c>
      <c r="K175" s="340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341">
        <f>IF(AND(L176="Закрыт",ISNUMBER(F176),ISNUMBER(H176)),ROUND(H176-F176,8),"")</f>
        <v/>
      </c>
      <c r="K176" s="342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339">
        <f>IF(AND(L177="Закрыт",ISNUMBER(F177),ISNUMBER(H177)),ROUND(H177-F177,8),"")</f>
        <v/>
      </c>
      <c r="K177" s="340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341">
        <f>IF(AND(L178="Закрыт",ISNUMBER(F178),ISNUMBER(H178)),ROUND(H178-F178,8),"")</f>
        <v/>
      </c>
      <c r="K178" s="342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339">
        <f>IF(AND(L179="Закрыт",ISNUMBER(F179),ISNUMBER(H179)),ROUND(H179-F179,8),"")</f>
        <v/>
      </c>
      <c r="K179" s="340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341">
        <f>IF(AND(L180="Закрыт",ISNUMBER(F180),ISNUMBER(H180)),ROUND(H180-F180,8),"")</f>
        <v/>
      </c>
      <c r="K180" s="342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339">
        <f>IF(AND(L181="Закрыт",ISNUMBER(F181),ISNUMBER(H181)),ROUND(H181-F181,8),"")</f>
        <v/>
      </c>
      <c r="K181" s="340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341">
        <f>IF(AND(L182="Закрыт",ISNUMBER(F182),ISNUMBER(H182)),ROUND(H182-F182,8),"")</f>
        <v/>
      </c>
      <c r="K182" s="342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339">
        <f>IF(AND(L183="Закрыт",ISNUMBER(F183),ISNUMBER(H183)),ROUND(H183-F183,8),"")</f>
        <v/>
      </c>
      <c r="K183" s="340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341">
        <f>IF(AND(L184="Закрыт",ISNUMBER(F184),ISNUMBER(H184)),ROUND(H184-F184,8),"")</f>
        <v/>
      </c>
      <c r="K184" s="342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339">
        <f>IF(AND(L185="Закрыт",ISNUMBER(F185),ISNUMBER(H185)),ROUND(H185-F185,8),"")</f>
        <v/>
      </c>
      <c r="K185" s="340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341">
        <f>IF(AND(L186="Закрыт",ISNUMBER(F186),ISNUMBER(H186)),ROUND(H186-F186,8),"")</f>
        <v/>
      </c>
      <c r="K186" s="342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339">
        <f>IF(AND(L187="Закрыт",ISNUMBER(F187),ISNUMBER(H187)),ROUND(H187-F187,8),"")</f>
        <v/>
      </c>
      <c r="K187" s="340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341">
        <f>IF(AND(L188="Закрыт",ISNUMBER(F188),ISNUMBER(H188)),ROUND(H188-F188,8),"")</f>
        <v/>
      </c>
      <c r="K188" s="342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339">
        <f>IF(AND(L189="Закрыт",ISNUMBER(F189),ISNUMBER(H189)),ROUND(H189-F189,8),"")</f>
        <v/>
      </c>
      <c r="K189" s="340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341">
        <f>IF(AND(L190="Закрыт",ISNUMBER(F190),ISNUMBER(H190)),ROUND(H190-F190,8),"")</f>
        <v/>
      </c>
      <c r="K190" s="342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339">
        <f>IF(AND(L191="Закрыт",ISNUMBER(F191),ISNUMBER(H191)),ROUND(H191-F191,8),"")</f>
        <v/>
      </c>
      <c r="K191" s="340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341">
        <f>IF(AND(L192="Закрыт",ISNUMBER(F192),ISNUMBER(H192)),ROUND(H192-F192,8),"")</f>
        <v/>
      </c>
      <c r="K192" s="342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339">
        <f>IF(AND(L193="Закрыт",ISNUMBER(F193),ISNUMBER(H193)),ROUND(H193-F193,8),"")</f>
        <v/>
      </c>
      <c r="K193" s="340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341">
        <f>IF(AND(L194="Закрыт",ISNUMBER(F194),ISNUMBER(H194)),ROUND(H194-F194,8),"")</f>
        <v/>
      </c>
      <c r="K194" s="342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339">
        <f>IF(AND(L195="Закрыт",ISNUMBER(F195),ISNUMBER(H195)),ROUND(H195-F195,8),"")</f>
        <v/>
      </c>
      <c r="K195" s="340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341">
        <f>IF(AND(L196="Закрыт",ISNUMBER(F196),ISNUMBER(H196)),ROUND(H196-F196,8),"")</f>
        <v/>
      </c>
      <c r="K196" s="342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339">
        <f>IF(AND(L197="Закрыт",ISNUMBER(F197),ISNUMBER(H197)),ROUND(H197-F197,8),"")</f>
        <v/>
      </c>
      <c r="K197" s="340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341">
        <f>IF(AND(L198="Закрыт",ISNUMBER(F198),ISNUMBER(H198)),ROUND(H198-F198,8),"")</f>
        <v/>
      </c>
      <c r="K198" s="342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339">
        <f>IF(AND(L199="Закрыт",ISNUMBER(F199),ISNUMBER(H199)),ROUND(H199-F199,8),"")</f>
        <v/>
      </c>
      <c r="K199" s="340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341">
        <f>IF(AND(L200="Закрыт",ISNUMBER(F200),ISNUMBER(H200)),ROUND(H200-F200,8),"")</f>
        <v/>
      </c>
      <c r="K200" s="342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339">
        <f>IF(AND(L201="Закрыт",ISNUMBER(F201),ISNUMBER(H201)),ROUND(H201-F201,8),"")</f>
        <v/>
      </c>
      <c r="K201" s="340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341">
        <f>IF(AND(L202="Закрыт",ISNUMBER(F202),ISNUMBER(H202)),ROUND(H202-F202,8),"")</f>
        <v/>
      </c>
      <c r="K202" s="342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339">
        <f>IF(AND(L203="Закрыт",ISNUMBER(F203),ISNUMBER(H203)),ROUND(H203-F203,8),"")</f>
        <v/>
      </c>
      <c r="K203" s="340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341">
        <f>IF(AND(L204="Закрыт",ISNUMBER(F204),ISNUMBER(H204)),ROUND(H204-F204,8),"")</f>
        <v/>
      </c>
      <c r="K204" s="342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339">
        <f>IF(AND(L205="Закрыт",ISNUMBER(F205),ISNUMBER(H205)),ROUND(H205-F205,8),"")</f>
        <v/>
      </c>
      <c r="K205" s="340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341">
        <f>IF(AND(L206="Закрыт",ISNUMBER(F206),ISNUMBER(H206)),ROUND(H206-F206,8),"")</f>
        <v/>
      </c>
      <c r="K206" s="342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339">
        <f>IF(AND(L207="Закрыт",ISNUMBER(F207),ISNUMBER(H207)),ROUND(H207-F207,8),"")</f>
        <v/>
      </c>
      <c r="K207" s="340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341">
        <f>IF(AND(L208="Закрыт",ISNUMBER(F208),ISNUMBER(H208)),ROUND(H208-F208,8),"")</f>
        <v/>
      </c>
      <c r="K208" s="342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339">
        <f>IF(AND(L209="Закрыт",ISNUMBER(F209),ISNUMBER(H209)),ROUND(H209-F209,8),"")</f>
        <v/>
      </c>
      <c r="K209" s="340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341">
        <f>IF(AND(L210="Закрыт",ISNUMBER(F210),ISNUMBER(H210)),ROUND(H210-F210,8),"")</f>
        <v/>
      </c>
      <c r="K210" s="342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339">
        <f>IF(AND(L211="Закрыт",ISNUMBER(F211),ISNUMBER(H211)),ROUND(H211-F211,8),"")</f>
        <v/>
      </c>
      <c r="K211" s="340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341">
        <f>IF(AND(L212="Закрыт",ISNUMBER(F212),ISNUMBER(H212)),ROUND(H212-F212,8),"")</f>
        <v/>
      </c>
      <c r="K212" s="342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339">
        <f>IF(AND(L213="Закрыт",ISNUMBER(F213),ISNUMBER(H213)),ROUND(H213-F213,8),"")</f>
        <v/>
      </c>
      <c r="K213" s="340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341">
        <f>IF(AND(L214="Закрыт",ISNUMBER(F214),ISNUMBER(H214)),ROUND(H214-F214,8),"")</f>
        <v/>
      </c>
      <c r="K214" s="342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339">
        <f>IF(AND(L215="Закрыт",ISNUMBER(F215),ISNUMBER(H215)),ROUND(H215-F215,8),"")</f>
        <v/>
      </c>
      <c r="K215" s="340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341">
        <f>IF(AND(L216="Закрыт",ISNUMBER(F216),ISNUMBER(H216)),ROUND(H216-F216,8),"")</f>
        <v/>
      </c>
      <c r="K216" s="342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339">
        <f>IF(AND(L217="Закрыт",ISNUMBER(F217),ISNUMBER(H217)),ROUND(H217-F217,8),"")</f>
        <v/>
      </c>
      <c r="K217" s="340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341">
        <f>IF(AND(L218="Закрыт",ISNUMBER(F218),ISNUMBER(H218)),ROUND(H218-F218,8),"")</f>
        <v/>
      </c>
      <c r="K218" s="342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339">
        <f>IF(AND(L219="Закрыт",ISNUMBER(F219),ISNUMBER(H219)),ROUND(H219-F219,8),"")</f>
        <v/>
      </c>
      <c r="K219" s="340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341">
        <f>IF(AND(L220="Закрыт",ISNUMBER(F220),ISNUMBER(H220)),ROUND(H220-F220,8),"")</f>
        <v/>
      </c>
      <c r="K220" s="342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339">
        <f>IF(AND(L221="Закрыт",ISNUMBER(F221),ISNUMBER(H221)),ROUND(H221-F221,8),"")</f>
        <v/>
      </c>
      <c r="K221" s="340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341">
        <f>IF(AND(L222="Закрыт",ISNUMBER(F222),ISNUMBER(H222)),ROUND(H222-F222,8),"")</f>
        <v/>
      </c>
      <c r="K222" s="342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339">
        <f>IF(AND(L223="Закрыт",ISNUMBER(F223),ISNUMBER(H223)),ROUND(H223-F223,8),"")</f>
        <v/>
      </c>
      <c r="K223" s="340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341">
        <f>IF(AND(L224="Закрыт",ISNUMBER(F224),ISNUMBER(H224)),ROUND(H224-F224,8),"")</f>
        <v/>
      </c>
      <c r="K224" s="342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339">
        <f>IF(AND(L225="Закрыт",ISNUMBER(F225),ISNUMBER(H225)),ROUND(H225-F225,8),"")</f>
        <v/>
      </c>
      <c r="K225" s="340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341">
        <f>IF(AND(L226="Закрыт",ISNUMBER(F226),ISNUMBER(H226)),ROUND(H226-F226,8),"")</f>
        <v/>
      </c>
      <c r="K226" s="342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339">
        <f>IF(AND(L227="Закрыт",ISNUMBER(F227),ISNUMBER(H227)),ROUND(H227-F227,8),"")</f>
        <v/>
      </c>
      <c r="K227" s="340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341">
        <f>IF(AND(L228="Закрыт",ISNUMBER(F228),ISNUMBER(H228)),ROUND(H228-F228,8),"")</f>
        <v/>
      </c>
      <c r="K228" s="342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339">
        <f>IF(AND(L229="Закрыт",ISNUMBER(F229),ISNUMBER(H229)),ROUND(H229-F229,8),"")</f>
        <v/>
      </c>
      <c r="K229" s="340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341">
        <f>IF(AND(L230="Закрыт",ISNUMBER(F230),ISNUMBER(H230)),ROUND(H230-F230,8),"")</f>
        <v/>
      </c>
      <c r="K230" s="342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339">
        <f>IF(AND(L231="Закрыт",ISNUMBER(F231),ISNUMBER(H231)),ROUND(H231-F231,8),"")</f>
        <v/>
      </c>
      <c r="K231" s="340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341">
        <f>IF(AND(L232="Закрыт",ISNUMBER(F232),ISNUMBER(H232)),ROUND(H232-F232,8),"")</f>
        <v/>
      </c>
      <c r="K232" s="342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339">
        <f>IF(AND(L233="Закрыт",ISNUMBER(F233),ISNUMBER(H233)),ROUND(H233-F233,8),"")</f>
        <v/>
      </c>
      <c r="K233" s="340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341">
        <f>IF(AND(L234="Закрыт",ISNUMBER(F234),ISNUMBER(H234)),ROUND(H234-F234,8),"")</f>
        <v/>
      </c>
      <c r="K234" s="342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339">
        <f>IF(AND(L235="Закрыт",ISNUMBER(F235),ISNUMBER(H235)),ROUND(H235-F235,8),"")</f>
        <v/>
      </c>
      <c r="K235" s="340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341">
        <f>IF(AND(L236="Закрыт",ISNUMBER(F236),ISNUMBER(H236)),ROUND(H236-F236,8),"")</f>
        <v/>
      </c>
      <c r="K236" s="342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339">
        <f>IF(AND(L237="Закрыт",ISNUMBER(F237),ISNUMBER(H237)),ROUND(H237-F237,8),"")</f>
        <v/>
      </c>
      <c r="K237" s="340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341">
        <f>IF(AND(L238="Закрыт",ISNUMBER(F238),ISNUMBER(H238)),ROUND(H238-F238,8),"")</f>
        <v/>
      </c>
      <c r="K238" s="342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339">
        <f>IF(AND(L239="Закрыт",ISNUMBER(F239),ISNUMBER(H239)),ROUND(H239-F239,8),"")</f>
        <v/>
      </c>
      <c r="K239" s="340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341">
        <f>IF(AND(L240="Закрыт",ISNUMBER(F240),ISNUMBER(H240)),ROUND(H240-F240,8),"")</f>
        <v/>
      </c>
      <c r="K240" s="342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339">
        <f>IF(AND(L241="Закрыт",ISNUMBER(F241),ISNUMBER(H241)),ROUND(H241-F241,8),"")</f>
        <v/>
      </c>
      <c r="K241" s="340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341">
        <f>IF(AND(L242="Закрыт",ISNUMBER(F242),ISNUMBER(H242)),ROUND(H242-F242,8),"")</f>
        <v/>
      </c>
      <c r="K242" s="342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339">
        <f>IF(AND(L243="Закрыт",ISNUMBER(F243),ISNUMBER(H243)),ROUND(H243-F243,8),"")</f>
        <v/>
      </c>
      <c r="K243" s="340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341">
        <f>IF(AND(L244="Закрыт",ISNUMBER(F244),ISNUMBER(H244)),ROUND(H244-F244,8),"")</f>
        <v/>
      </c>
      <c r="K244" s="342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339">
        <f>IF(AND(L245="Закрыт",ISNUMBER(F245),ISNUMBER(H245)),ROUND(H245-F245,8),"")</f>
        <v/>
      </c>
      <c r="K245" s="340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341">
        <f>IF(AND(L246="Закрыт",ISNUMBER(F246),ISNUMBER(H246)),ROUND(H246-F246,8),"")</f>
        <v/>
      </c>
      <c r="K246" s="342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339">
        <f>IF(AND(L247="Закрыт",ISNUMBER(F247),ISNUMBER(H247)),ROUND(H247-F247,8),"")</f>
        <v/>
      </c>
      <c r="K247" s="340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341">
        <f>IF(AND(L248="Закрыт",ISNUMBER(F248),ISNUMBER(H248)),ROUND(H248-F248,8),"")</f>
        <v/>
      </c>
      <c r="K248" s="342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339">
        <f>IF(AND(L249="Закрыт",ISNUMBER(F249),ISNUMBER(H249)),ROUND(H249-F249,8),"")</f>
        <v/>
      </c>
      <c r="K249" s="340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341">
        <f>IF(AND(L250="Закрыт",ISNUMBER(F250),ISNUMBER(H250)),ROUND(H250-F250,8),"")</f>
        <v/>
      </c>
      <c r="K250" s="342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339">
        <f>IF(AND(L251="Закрыт",ISNUMBER(F251),ISNUMBER(H251)),ROUND(H251-F251,8),"")</f>
        <v/>
      </c>
      <c r="K251" s="340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341">
        <f>IF(AND(L252="Закрыт",ISNUMBER(F252),ISNUMBER(H252)),ROUND(H252-F252,8),"")</f>
        <v/>
      </c>
      <c r="K252" s="342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339">
        <f>IF(AND(L253="Закрыт",ISNUMBER(F253),ISNUMBER(H253)),ROUND(H253-F253,8),"")</f>
        <v/>
      </c>
      <c r="K253" s="340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341">
        <f>IF(AND(L254="Закрыт",ISNUMBER(F254),ISNUMBER(H254)),ROUND(H254-F254,8),"")</f>
        <v/>
      </c>
      <c r="K254" s="342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339">
        <f>IF(AND(L255="Закрыт",ISNUMBER(F255),ISNUMBER(H255)),ROUND(H255-F255,8),"")</f>
        <v/>
      </c>
      <c r="K255" s="340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341">
        <f>IF(AND(L256="Закрыт",ISNUMBER(F256),ISNUMBER(H256)),ROUND(H256-F256,8),"")</f>
        <v/>
      </c>
      <c r="K256" s="342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339">
        <f>IF(AND(L257="Закрыт",ISNUMBER(F257),ISNUMBER(H257)),ROUND(H257-F257,8),"")</f>
        <v/>
      </c>
      <c r="K257" s="340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341">
        <f>IF(AND(L258="Закрыт",ISNUMBER(F258),ISNUMBER(H258)),ROUND(H258-F258,8),"")</f>
        <v/>
      </c>
      <c r="K258" s="342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339">
        <f>IF(AND(L259="Закрыт",ISNUMBER(F259),ISNUMBER(H259)),ROUND(H259-F259,8),"")</f>
        <v/>
      </c>
      <c r="K259" s="340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341">
        <f>IF(AND(L260="Закрыт",ISNUMBER(F260),ISNUMBER(H260)),ROUND(H260-F260,8),"")</f>
        <v/>
      </c>
      <c r="K260" s="342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339">
        <f>IF(AND(L261="Закрыт",ISNUMBER(F261),ISNUMBER(H261)),ROUND(H261-F261,8),"")</f>
        <v/>
      </c>
      <c r="K261" s="340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341">
        <f>IF(AND(L262="Закрыт",ISNUMBER(F262),ISNUMBER(H262)),ROUND(H262-F262,8),"")</f>
        <v/>
      </c>
      <c r="K262" s="342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339">
        <f>IF(AND(L263="Закрыт",ISNUMBER(F263),ISNUMBER(H263)),ROUND(H263-F263,8),"")</f>
        <v/>
      </c>
      <c r="K263" s="340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341">
        <f>IF(AND(L264="Закрыт",ISNUMBER(F264),ISNUMBER(H264)),ROUND(H264-F264,8),"")</f>
        <v/>
      </c>
      <c r="K264" s="342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339">
        <f>IF(AND(L265="Закрыт",ISNUMBER(F265),ISNUMBER(H265)),ROUND(H265-F265,8),"")</f>
        <v/>
      </c>
      <c r="K265" s="340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341">
        <f>IF(AND(L266="Закрыт",ISNUMBER(F266),ISNUMBER(H266)),ROUND(H266-F266,8),"")</f>
        <v/>
      </c>
      <c r="K266" s="342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339">
        <f>IF(AND(L267="Закрыт",ISNUMBER(F267),ISNUMBER(H267)),ROUND(H267-F267,8),"")</f>
        <v/>
      </c>
      <c r="K267" s="340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341">
        <f>IF(AND(L268="Закрыт",ISNUMBER(F268),ISNUMBER(H268)),ROUND(H268-F268,8),"")</f>
        <v/>
      </c>
      <c r="K268" s="342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339">
        <f>IF(AND(L269="Закрыт",ISNUMBER(F269),ISNUMBER(H269)),ROUND(H269-F269,8),"")</f>
        <v/>
      </c>
      <c r="K269" s="340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341">
        <f>IF(AND(L270="Закрыт",ISNUMBER(F270),ISNUMBER(H270)),ROUND(H270-F270,8),"")</f>
        <v/>
      </c>
      <c r="K270" s="342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339">
        <f>IF(AND(L271="Закрыт",ISNUMBER(F271),ISNUMBER(H271)),ROUND(H271-F271,8),"")</f>
        <v/>
      </c>
      <c r="K271" s="340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341">
        <f>IF(AND(L272="Закрыт",ISNUMBER(F272),ISNUMBER(H272)),ROUND(H272-F272,8),"")</f>
        <v/>
      </c>
      <c r="K272" s="342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339">
        <f>IF(AND(L273="Закрыт",ISNUMBER(F273),ISNUMBER(H273)),ROUND(H273-F273,8),"")</f>
        <v/>
      </c>
      <c r="K273" s="340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341">
        <f>IF(AND(L274="Закрыт",ISNUMBER(F274),ISNUMBER(H274)),ROUND(H274-F274,8),"")</f>
        <v/>
      </c>
      <c r="K274" s="342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339">
        <f>IF(AND(L275="Закрыт",ISNUMBER(F275),ISNUMBER(H275)),ROUND(H275-F275,8),"")</f>
        <v/>
      </c>
      <c r="K275" s="340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341">
        <f>IF(AND(L276="Закрыт",ISNUMBER(F276),ISNUMBER(H276)),ROUND(H276-F276,8),"")</f>
        <v/>
      </c>
      <c r="K276" s="342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339">
        <f>IF(AND(L277="Закрыт",ISNUMBER(F277),ISNUMBER(H277)),ROUND(H277-F277,8),"")</f>
        <v/>
      </c>
      <c r="K277" s="340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341">
        <f>IF(AND(L278="Закрыт",ISNUMBER(F278),ISNUMBER(H278)),ROUND(H278-F278,8),"")</f>
        <v/>
      </c>
      <c r="K278" s="342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339">
        <f>IF(AND(L279="Закрыт",ISNUMBER(F279),ISNUMBER(H279)),ROUND(H279-F279,8),"")</f>
        <v/>
      </c>
      <c r="K279" s="340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341">
        <f>IF(AND(L280="Закрыт",ISNUMBER(F280),ISNUMBER(H280)),ROUND(H280-F280,8),"")</f>
        <v/>
      </c>
      <c r="K280" s="342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339">
        <f>IF(AND(L281="Закрыт",ISNUMBER(F281),ISNUMBER(H281)),ROUND(H281-F281,8),"")</f>
        <v/>
      </c>
      <c r="K281" s="340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341">
        <f>IF(AND(L282="Закрыт",ISNUMBER(F282),ISNUMBER(H282)),ROUND(H282-F282,8),"")</f>
        <v/>
      </c>
      <c r="K282" s="342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339">
        <f>IF(AND(L283="Закрыт",ISNUMBER(F283),ISNUMBER(H283)),ROUND(H283-F283,8),"")</f>
        <v/>
      </c>
      <c r="K283" s="340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341">
        <f>IF(AND(L284="Закрыт",ISNUMBER(F284),ISNUMBER(H284)),ROUND(H284-F284,8),"")</f>
        <v/>
      </c>
      <c r="K284" s="342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339">
        <f>IF(AND(L285="Закрыт",ISNUMBER(F285),ISNUMBER(H285)),ROUND(H285-F285,8),"")</f>
        <v/>
      </c>
      <c r="K285" s="340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341">
        <f>IF(AND(L286="Закрыт",ISNUMBER(F286),ISNUMBER(H286)),ROUND(H286-F286,8),"")</f>
        <v/>
      </c>
      <c r="K286" s="342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339">
        <f>IF(AND(L287="Закрыт",ISNUMBER(F287),ISNUMBER(H287)),ROUND(H287-F287,8),"")</f>
        <v/>
      </c>
      <c r="K287" s="340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341">
        <f>IF(AND(L288="Закрыт",ISNUMBER(F288),ISNUMBER(H288)),ROUND(H288-F288,8),"")</f>
        <v/>
      </c>
      <c r="K288" s="342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339">
        <f>IF(AND(L289="Закрыт",ISNUMBER(F289),ISNUMBER(H289)),ROUND(H289-F289,8),"")</f>
        <v/>
      </c>
      <c r="K289" s="340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341">
        <f>IF(AND(L290="Закрыт",ISNUMBER(F290),ISNUMBER(H290)),ROUND(H290-F290,8),"")</f>
        <v/>
      </c>
      <c r="K290" s="342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339">
        <f>IF(AND(L291="Закрыт",ISNUMBER(F291),ISNUMBER(H291)),ROUND(H291-F291,8),"")</f>
        <v/>
      </c>
      <c r="K291" s="340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341">
        <f>IF(AND(L292="Закрыт",ISNUMBER(F292),ISNUMBER(H292)),ROUND(H292-F292,8),"")</f>
        <v/>
      </c>
      <c r="K292" s="342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339">
        <f>IF(AND(L293="Закрыт",ISNUMBER(F293),ISNUMBER(H293)),ROUND(H293-F293,8),"")</f>
        <v/>
      </c>
      <c r="K293" s="340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341">
        <f>IF(AND(L294="Закрыт",ISNUMBER(F294),ISNUMBER(H294)),ROUND(H294-F294,8),"")</f>
        <v/>
      </c>
      <c r="K294" s="342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339">
        <f>IF(AND(L295="Закрыт",ISNUMBER(F295),ISNUMBER(H295)),ROUND(H295-F295,8),"")</f>
        <v/>
      </c>
      <c r="K295" s="340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341">
        <f>IF(AND(L296="Закрыт",ISNUMBER(F296),ISNUMBER(H296)),ROUND(H296-F296,8),"")</f>
        <v/>
      </c>
      <c r="K296" s="342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339">
        <f>IF(AND(L297="Закрыт",ISNUMBER(F297),ISNUMBER(H297)),ROUND(H297-F297,8),"")</f>
        <v/>
      </c>
      <c r="K297" s="340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341">
        <f>IF(AND(L298="Закрыт",ISNUMBER(F298),ISNUMBER(H298)),ROUND(H298-F298,8),"")</f>
        <v/>
      </c>
      <c r="K298" s="342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339">
        <f>IF(AND(L299="Закрыт",ISNUMBER(F299),ISNUMBER(H299)),ROUND(H299-F299,8),"")</f>
        <v/>
      </c>
      <c r="K299" s="340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341">
        <f>IF(AND(L300="Закрыт",ISNUMBER(F300),ISNUMBER(H300)),ROUND(H300-F300,8),"")</f>
        <v/>
      </c>
      <c r="K300" s="342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9" customWidth="1" min="2" max="2"/>
    <col width="11.7" customWidth="1" min="3" max="3"/>
    <col width="11.7" customWidth="1" min="4" max="4"/>
    <col width="11.7" customWidth="1" min="5" max="5"/>
    <col width="11.7" customWidth="1" min="6" max="6"/>
    <col width="12.9" customWidth="1" min="7" max="7"/>
    <col width="12.9" customWidth="1" min="8" max="8"/>
    <col width="12.9" customWidth="1" min="9" max="9"/>
    <col width="10.5" customWidth="1" min="10" max="10"/>
    <col width="9" customWidth="1" min="11" max="11"/>
    <col width="9.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339">
        <f>IF($B5="","",IF(COUNTIFS(Пул!$E$5:$E$300,$B5,Пул!$L$5:$L$300,"Закрыт")=0,"",ROUND(SUMIFS(Пул!$J$5:$J$300,Пул!$E$5:$E$300,$B5,Пул!$L$5:$L$300,"Закрыт"),8)))</f>
        <v/>
      </c>
      <c r="H5" s="340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341">
        <f>IF($B6="","",IF(COUNTIFS(Пул!$E$5:$E$300,$B6,Пул!$L$5:$L$300,"Закрыт")=0,"",ROUND(SUMIFS(Пул!$J$5:$J$300,Пул!$E$5:$E$300,$B6,Пул!$L$5:$L$300,"Закрыт"),8)))</f>
        <v/>
      </c>
      <c r="H6" s="342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339">
        <f>IF($B7="","",IF(COUNTIFS(Пул!$E$5:$E$300,$B7,Пул!$L$5:$L$300,"Закрыт")=0,"",ROUND(SUMIFS(Пул!$J$5:$J$300,Пул!$E$5:$E$300,$B7,Пул!$L$5:$L$300,"Закрыт"),8)))</f>
        <v/>
      </c>
      <c r="H7" s="340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341">
        <f>IF($B8="","",IF(COUNTIFS(Пул!$E$5:$E$300,$B8,Пул!$L$5:$L$300,"Закрыт")=0,"",ROUND(SUMIFS(Пул!$J$5:$J$300,Пул!$E$5:$E$300,$B8,Пул!$L$5:$L$300,"Закрыт"),8)))</f>
        <v/>
      </c>
      <c r="H8" s="342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339">
        <f>IF($B9="","",IF(COUNTIFS(Пул!$E$5:$E$300,$B9,Пул!$L$5:$L$300,"Закрыт")=0,"",ROUND(SUMIFS(Пул!$J$5:$J$300,Пул!$E$5:$E$300,$B9,Пул!$L$5:$L$300,"Закрыт"),8)))</f>
        <v/>
      </c>
      <c r="H9" s="340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341">
        <f>IF($B10="","",IF(COUNTIFS(Пул!$E$5:$E$300,$B10,Пул!$L$5:$L$300,"Закрыт")=0,"",ROUND(SUMIFS(Пул!$J$5:$J$300,Пул!$E$5:$E$300,$B10,Пул!$L$5:$L$300,"Закрыт"),8)))</f>
        <v/>
      </c>
      <c r="H10" s="342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339">
        <f>IF($B11="","",IF(COUNTIFS(Пул!$E$5:$E$300,$B11,Пул!$L$5:$L$300,"Закрыт")=0,"",ROUND(SUMIFS(Пул!$J$5:$J$300,Пул!$E$5:$E$300,$B11,Пул!$L$5:$L$300,"Закрыт"),8)))</f>
        <v/>
      </c>
      <c r="H11" s="340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341">
        <f>IF($B12="","",IF(COUNTIFS(Пул!$E$5:$E$300,$B12,Пул!$L$5:$L$300,"Закрыт")=0,"",ROUND(SUMIFS(Пул!$J$5:$J$300,Пул!$E$5:$E$300,$B12,Пул!$L$5:$L$300,"Закрыт"),8)))</f>
        <v/>
      </c>
      <c r="H12" s="342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339">
        <f>IF($B13="","",IF(COUNTIFS(Пул!$E$5:$E$300,$B13,Пул!$L$5:$L$300,"Закрыт")=0,"",ROUND(SUMIFS(Пул!$J$5:$J$300,Пул!$E$5:$E$300,$B13,Пул!$L$5:$L$300,"Закрыт"),8)))</f>
        <v/>
      </c>
      <c r="H13" s="340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341">
        <f>IF($B14="","",IF(COUNTIFS(Пул!$E$5:$E$300,$B14,Пул!$L$5:$L$300,"Закрыт")=0,"",ROUND(SUMIFS(Пул!$J$5:$J$300,Пул!$E$5:$E$300,$B14,Пул!$L$5:$L$300,"Закрыт"),8)))</f>
        <v/>
      </c>
      <c r="H14" s="342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339">
        <f>IF($B15="","",IF(COUNTIFS(Пул!$E$5:$E$300,$B15,Пул!$L$5:$L$300,"Закрыт")=0,"",ROUND(SUMIFS(Пул!$J$5:$J$300,Пул!$E$5:$E$300,$B15,Пул!$L$5:$L$300,"Закрыт"),8)))</f>
        <v/>
      </c>
      <c r="H15" s="340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341">
        <f>IF($B16="","",IF(COUNTIFS(Пул!$E$5:$E$300,$B16,Пул!$L$5:$L$300,"Закрыт")=0,"",ROUND(SUMIFS(Пул!$J$5:$J$300,Пул!$E$5:$E$300,$B16,Пул!$L$5:$L$300,"Закрыт"),8)))</f>
        <v/>
      </c>
      <c r="H16" s="342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339">
        <f>IF($B17="","",IF(COUNTIFS(Пул!$E$5:$E$300,$B17,Пул!$L$5:$L$300,"Закрыт")=0,"",ROUND(SUMIFS(Пул!$J$5:$J$300,Пул!$E$5:$E$300,$B17,Пул!$L$5:$L$300,"Закрыт"),8)))</f>
        <v/>
      </c>
      <c r="H17" s="340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341">
        <f>IF($B18="","",IF(COUNTIFS(Пул!$E$5:$E$300,$B18,Пул!$L$5:$L$300,"Закрыт")=0,"",ROUND(SUMIFS(Пул!$J$5:$J$300,Пул!$E$5:$E$300,$B18,Пул!$L$5:$L$300,"Закрыт"),8)))</f>
        <v/>
      </c>
      <c r="H18" s="342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339">
        <f>IF($B19="","",IF(COUNTIFS(Пул!$E$5:$E$300,$B19,Пул!$L$5:$L$300,"Закрыт")=0,"",ROUND(SUMIFS(Пул!$J$5:$J$300,Пул!$E$5:$E$300,$B19,Пул!$L$5:$L$300,"Закрыт"),8)))</f>
        <v/>
      </c>
      <c r="H19" s="340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341">
        <f>IF($B20="","",IF(COUNTIFS(Пул!$E$5:$E$300,$B20,Пул!$L$5:$L$300,"Закрыт")=0,"",ROUND(SUMIFS(Пул!$J$5:$J$300,Пул!$E$5:$E$300,$B20,Пул!$L$5:$L$300,"Закрыт"),8)))</f>
        <v/>
      </c>
      <c r="H20" s="342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339">
        <f>IF($B21="","",IF(COUNTIFS(Пул!$E$5:$E$300,$B21,Пул!$L$5:$L$300,"Закрыт")=0,"",ROUND(SUMIFS(Пул!$J$5:$J$300,Пул!$E$5:$E$300,$B21,Пул!$L$5:$L$300,"Закрыт"),8)))</f>
        <v/>
      </c>
      <c r="H21" s="340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341">
        <f>IF($B22="","",IF(COUNTIFS(Пул!$E$5:$E$300,$B22,Пул!$L$5:$L$300,"Закрыт")=0,"",ROUND(SUMIFS(Пул!$J$5:$J$300,Пул!$E$5:$E$300,$B22,Пул!$L$5:$L$300,"Закрыт"),8)))</f>
        <v/>
      </c>
      <c r="H22" s="342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339">
        <f>IF($B23="","",IF(COUNTIFS(Пул!$E$5:$E$300,$B23,Пул!$L$5:$L$300,"Закрыт")=0,"",ROUND(SUMIFS(Пул!$J$5:$J$300,Пул!$E$5:$E$300,$B23,Пул!$L$5:$L$300,"Закрыт"),8)))</f>
        <v/>
      </c>
      <c r="H23" s="340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341">
        <f>IF($B24="","",IF(COUNTIFS(Пул!$E$5:$E$300,$B24,Пул!$L$5:$L$300,"Закрыт")=0,"",ROUND(SUMIFS(Пул!$J$5:$J$300,Пул!$E$5:$E$300,$B24,Пул!$L$5:$L$300,"Закрыт"),8)))</f>
        <v/>
      </c>
      <c r="H24" s="342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339">
        <f>IF($B25="","",IF(COUNTIFS(Пул!$E$5:$E$300,$B25,Пул!$L$5:$L$300,"Закрыт")=0,"",ROUND(SUMIFS(Пул!$J$5:$J$300,Пул!$E$5:$E$300,$B25,Пул!$L$5:$L$300,"Закрыт"),8)))</f>
        <v/>
      </c>
      <c r="H25" s="340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341">
        <f>IF($B26="","",IF(COUNTIFS(Пул!$E$5:$E$300,$B26,Пул!$L$5:$L$300,"Закрыт")=0,"",ROUND(SUMIFS(Пул!$J$5:$J$300,Пул!$E$5:$E$300,$B26,Пул!$L$5:$L$300,"Закрыт"),8)))</f>
        <v/>
      </c>
      <c r="H26" s="342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339">
        <f>IF($B27="","",IF(COUNTIFS(Пул!$E$5:$E$300,$B27,Пул!$L$5:$L$300,"Закрыт")=0,"",ROUND(SUMIFS(Пул!$J$5:$J$300,Пул!$E$5:$E$300,$B27,Пул!$L$5:$L$300,"Закрыт"),8)))</f>
        <v/>
      </c>
      <c r="H27" s="340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341">
        <f>IF($B28="","",IF(COUNTIFS(Пул!$E$5:$E$300,$B28,Пул!$L$5:$L$300,"Закрыт")=0,"",ROUND(SUMIFS(Пул!$J$5:$J$300,Пул!$E$5:$E$300,$B28,Пул!$L$5:$L$300,"Закрыт"),8)))</f>
        <v/>
      </c>
      <c r="H28" s="342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339">
        <f>IF($B29="","",IF(COUNTIFS(Пул!$E$5:$E$300,$B29,Пул!$L$5:$L$300,"Закрыт")=0,"",ROUND(SUMIFS(Пул!$J$5:$J$300,Пул!$E$5:$E$300,$B29,Пул!$L$5:$L$300,"Закрыт"),8)))</f>
        <v/>
      </c>
      <c r="H29" s="340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341">
        <f>IF($B30="","",IF(COUNTIFS(Пул!$E$5:$E$300,$B30,Пул!$L$5:$L$300,"Закрыт")=0,"",ROUND(SUMIFS(Пул!$J$5:$J$300,Пул!$E$5:$E$300,$B30,Пул!$L$5:$L$300,"Закрыт"),8)))</f>
        <v/>
      </c>
      <c r="H30" s="342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339">
        <f>IF($B31="","",IF(COUNTIFS(Пул!$E$5:$E$300,$B31,Пул!$L$5:$L$300,"Закрыт")=0,"",ROUND(SUMIFS(Пул!$J$5:$J$300,Пул!$E$5:$E$300,$B31,Пул!$L$5:$L$300,"Закрыт"),8)))</f>
        <v/>
      </c>
      <c r="H31" s="340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341">
        <f>IF($B32="","",IF(COUNTIFS(Пул!$E$5:$E$300,$B32,Пул!$L$5:$L$300,"Закрыт")=0,"",ROUND(SUMIFS(Пул!$J$5:$J$300,Пул!$E$5:$E$300,$B32,Пул!$L$5:$L$300,"Закрыт"),8)))</f>
        <v/>
      </c>
      <c r="H32" s="342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339">
        <f>IF($B33="","",IF(COUNTIFS(Пул!$E$5:$E$300,$B33,Пул!$L$5:$L$300,"Закрыт")=0,"",ROUND(SUMIFS(Пул!$J$5:$J$300,Пул!$E$5:$E$300,$B33,Пул!$L$5:$L$300,"Закрыт"),8)))</f>
        <v/>
      </c>
      <c r="H33" s="340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341">
        <f>IF($B34="","",IF(COUNTIFS(Пул!$E$5:$E$300,$B34,Пул!$L$5:$L$300,"Закрыт")=0,"",ROUND(SUMIFS(Пул!$J$5:$J$300,Пул!$E$5:$E$300,$B34,Пул!$L$5:$L$300,"Закрыт"),8)))</f>
        <v/>
      </c>
      <c r="H34" s="342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339">
        <f>IF($B35="","",IF(COUNTIFS(Пул!$E$5:$E$300,$B35,Пул!$L$5:$L$300,"Закрыт")=0,"",ROUND(SUMIFS(Пул!$J$5:$J$300,Пул!$E$5:$E$300,$B35,Пул!$L$5:$L$300,"Закрыт"),8)))</f>
        <v/>
      </c>
      <c r="H35" s="340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341">
        <f>IF($B36="","",IF(COUNTIFS(Пул!$E$5:$E$300,$B36,Пул!$L$5:$L$300,"Закрыт")=0,"",ROUND(SUMIFS(Пул!$J$5:$J$300,Пул!$E$5:$E$300,$B36,Пул!$L$5:$L$300,"Закрыт"),8)))</f>
        <v/>
      </c>
      <c r="H36" s="342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339">
        <f>IF($B37="","",IF(COUNTIFS(Пул!$E$5:$E$300,$B37,Пул!$L$5:$L$300,"Закрыт")=0,"",ROUND(SUMIFS(Пул!$J$5:$J$300,Пул!$E$5:$E$300,$B37,Пул!$L$5:$L$300,"Закрыт"),8)))</f>
        <v/>
      </c>
      <c r="H37" s="340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341">
        <f>IF($B38="","",IF(COUNTIFS(Пул!$E$5:$E$300,$B38,Пул!$L$5:$L$300,"Закрыт")=0,"",ROUND(SUMIFS(Пул!$J$5:$J$300,Пул!$E$5:$E$300,$B38,Пул!$L$5:$L$300,"Закрыт"),8)))</f>
        <v/>
      </c>
      <c r="H38" s="342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339">
        <f>IF($B39="","",IF(COUNTIFS(Пул!$E$5:$E$300,$B39,Пул!$L$5:$L$300,"Закрыт")=0,"",ROUND(SUMIFS(Пул!$J$5:$J$300,Пул!$E$5:$E$300,$B39,Пул!$L$5:$L$300,"Закрыт"),8)))</f>
        <v/>
      </c>
      <c r="H39" s="340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341">
        <f>IF($B40="","",IF(COUNTIFS(Пул!$E$5:$E$300,$B40,Пул!$L$5:$L$300,"Закрыт")=0,"",ROUND(SUMIFS(Пул!$J$5:$J$300,Пул!$E$5:$E$300,$B40,Пул!$L$5:$L$300,"Закрыт"),8)))</f>
        <v/>
      </c>
      <c r="H40" s="342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339">
        <f>IF($B41="","",IF(COUNTIFS(Пул!$E$5:$E$300,$B41,Пул!$L$5:$L$300,"Закрыт")=0,"",ROUND(SUMIFS(Пул!$J$5:$J$300,Пул!$E$5:$E$300,$B41,Пул!$L$5:$L$300,"Закрыт"),8)))</f>
        <v/>
      </c>
      <c r="H41" s="340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341">
        <f>IF($B42="","",IF(COUNTIFS(Пул!$E$5:$E$300,$B42,Пул!$L$5:$L$300,"Закрыт")=0,"",ROUND(SUMIFS(Пул!$J$5:$J$300,Пул!$E$5:$E$300,$B42,Пул!$L$5:$L$300,"Закрыт"),8)))</f>
        <v/>
      </c>
      <c r="H42" s="342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339">
        <f>IF($B43="","",IF(COUNTIFS(Пул!$E$5:$E$300,$B43,Пул!$L$5:$L$300,"Закрыт")=0,"",ROUND(SUMIFS(Пул!$J$5:$J$300,Пул!$E$5:$E$300,$B43,Пул!$L$5:$L$300,"Закрыт"),8)))</f>
        <v/>
      </c>
      <c r="H43" s="340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341">
        <f>IF($B44="","",IF(COUNTIFS(Пул!$E$5:$E$300,$B44,Пул!$L$5:$L$300,"Закрыт")=0,"",ROUND(SUMIFS(Пул!$J$5:$J$300,Пул!$E$5:$E$300,$B44,Пул!$L$5:$L$300,"Закрыт"),8)))</f>
        <v/>
      </c>
      <c r="H44" s="342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339">
        <f>IF($B45="","",IF(COUNTIFS(Пул!$E$5:$E$300,$B45,Пул!$L$5:$L$300,"Закрыт")=0,"",ROUND(SUMIFS(Пул!$J$5:$J$300,Пул!$E$5:$E$300,$B45,Пул!$L$5:$L$300,"Закрыт"),8)))</f>
        <v/>
      </c>
      <c r="H45" s="340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341">
        <f>IF($B46="","",IF(COUNTIFS(Пул!$E$5:$E$300,$B46,Пул!$L$5:$L$300,"Закрыт")=0,"",ROUND(SUMIFS(Пул!$J$5:$J$300,Пул!$E$5:$E$300,$B46,Пул!$L$5:$L$300,"Закрыт"),8)))</f>
        <v/>
      </c>
      <c r="H46" s="342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339">
        <f>IF($B47="","",IF(COUNTIFS(Пул!$E$5:$E$300,$B47,Пул!$L$5:$L$300,"Закрыт")=0,"",ROUND(SUMIFS(Пул!$J$5:$J$300,Пул!$E$5:$E$300,$B47,Пул!$L$5:$L$300,"Закрыт"),8)))</f>
        <v/>
      </c>
      <c r="H47" s="340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341">
        <f>IF($B48="","",IF(COUNTIFS(Пул!$E$5:$E$300,$B48,Пул!$L$5:$L$300,"Закрыт")=0,"",ROUND(SUMIFS(Пул!$J$5:$J$300,Пул!$E$5:$E$300,$B48,Пул!$L$5:$L$300,"Закрыт"),8)))</f>
        <v/>
      </c>
      <c r="H48" s="342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339">
        <f>IF($B49="","",IF(COUNTIFS(Пул!$E$5:$E$300,$B49,Пул!$L$5:$L$300,"Закрыт")=0,"",ROUND(SUMIFS(Пул!$J$5:$J$300,Пул!$E$5:$E$300,$B49,Пул!$L$5:$L$300,"Закрыт"),8)))</f>
        <v/>
      </c>
      <c r="H49" s="340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341">
        <f>IF($B50="","",IF(COUNTIFS(Пул!$E$5:$E$300,$B50,Пул!$L$5:$L$300,"Закрыт")=0,"",ROUND(SUMIFS(Пул!$J$5:$J$300,Пул!$E$5:$E$300,$B50,Пул!$L$5:$L$300,"Закрыт"),8)))</f>
        <v/>
      </c>
      <c r="H50" s="342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339">
        <f>IF($B51="","",IF(COUNTIFS(Пул!$E$5:$E$300,$B51,Пул!$L$5:$L$300,"Закрыт")=0,"",ROUND(SUMIFS(Пул!$J$5:$J$300,Пул!$E$5:$E$300,$B51,Пул!$L$5:$L$300,"Закрыт"),8)))</f>
        <v/>
      </c>
      <c r="H51" s="340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341">
        <f>IF($B52="","",IF(COUNTIFS(Пул!$E$5:$E$300,$B52,Пул!$L$5:$L$300,"Закрыт")=0,"",ROUND(SUMIFS(Пул!$J$5:$J$300,Пул!$E$5:$E$300,$B52,Пул!$L$5:$L$300,"Закрыт"),8)))</f>
        <v/>
      </c>
      <c r="H52" s="342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339">
        <f>IF($B53="","",IF(COUNTIFS(Пул!$E$5:$E$300,$B53,Пул!$L$5:$L$300,"Закрыт")=0,"",ROUND(SUMIFS(Пул!$J$5:$J$300,Пул!$E$5:$E$300,$B53,Пул!$L$5:$L$300,"Закрыт"),8)))</f>
        <v/>
      </c>
      <c r="H53" s="340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341">
        <f>IF($B54="","",IF(COUNTIFS(Пул!$E$5:$E$300,$B54,Пул!$L$5:$L$300,"Закрыт")=0,"",ROUND(SUMIFS(Пул!$J$5:$J$300,Пул!$E$5:$E$300,$B54,Пул!$L$5:$L$300,"Закрыт"),8)))</f>
        <v/>
      </c>
      <c r="H54" s="342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339">
        <f>IF($B55="","",IF(COUNTIFS(Пул!$E$5:$E$300,$B55,Пул!$L$5:$L$300,"Закрыт")=0,"",ROUND(SUMIFS(Пул!$J$5:$J$300,Пул!$E$5:$E$300,$B55,Пул!$L$5:$L$300,"Закрыт"),8)))</f>
        <v/>
      </c>
      <c r="H55" s="340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341">
        <f>IF($B56="","",IF(COUNTIFS(Пул!$E$5:$E$300,$B56,Пул!$L$5:$L$300,"Закрыт")=0,"",ROUND(SUMIFS(Пул!$J$5:$J$300,Пул!$E$5:$E$300,$B56,Пул!$L$5:$L$300,"Закрыт"),8)))</f>
        <v/>
      </c>
      <c r="H56" s="342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339">
        <f>IF($B57="","",IF(COUNTIFS(Пул!$E$5:$E$300,$B57,Пул!$L$5:$L$300,"Закрыт")=0,"",ROUND(SUMIFS(Пул!$J$5:$J$300,Пул!$E$5:$E$300,$B57,Пул!$L$5:$L$300,"Закрыт"),8)))</f>
        <v/>
      </c>
      <c r="H57" s="340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341">
        <f>IF($B58="","",IF(COUNTIFS(Пул!$E$5:$E$300,$B58,Пул!$L$5:$L$300,"Закрыт")=0,"",ROUND(SUMIFS(Пул!$J$5:$J$300,Пул!$E$5:$E$300,$B58,Пул!$L$5:$L$300,"Закрыт"),8)))</f>
        <v/>
      </c>
      <c r="H58" s="342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339">
        <f>IF($B59="","",IF(COUNTIFS(Пул!$E$5:$E$300,$B59,Пул!$L$5:$L$300,"Закрыт")=0,"",ROUND(SUMIFS(Пул!$J$5:$J$300,Пул!$E$5:$E$300,$B59,Пул!$L$5:$L$300,"Закрыт"),8)))</f>
        <v/>
      </c>
      <c r="H59" s="340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341">
        <f>IF($B60="","",IF(COUNTIFS(Пул!$E$5:$E$300,$B60,Пул!$L$5:$L$300,"Закрыт")=0,"",ROUND(SUMIFS(Пул!$J$5:$J$300,Пул!$E$5:$E$300,$B60,Пул!$L$5:$L$300,"Закрыт"),8)))</f>
        <v/>
      </c>
      <c r="H60" s="342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339">
        <f>IF($B61="","",IF(COUNTIFS(Пул!$E$5:$E$300,$B61,Пул!$L$5:$L$300,"Закрыт")=0,"",ROUND(SUMIFS(Пул!$J$5:$J$300,Пул!$E$5:$E$300,$B61,Пул!$L$5:$L$300,"Закрыт"),8)))</f>
        <v/>
      </c>
      <c r="H61" s="340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341">
        <f>IF($B62="","",IF(COUNTIFS(Пул!$E$5:$E$300,$B62,Пул!$L$5:$L$300,"Закрыт")=0,"",ROUND(SUMIFS(Пул!$J$5:$J$300,Пул!$E$5:$E$300,$B62,Пул!$L$5:$L$300,"Закрыт"),8)))</f>
        <v/>
      </c>
      <c r="H62" s="342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339">
        <f>IF($B63="","",IF(COUNTIFS(Пул!$E$5:$E$300,$B63,Пул!$L$5:$L$300,"Закрыт")=0,"",ROUND(SUMIFS(Пул!$J$5:$J$300,Пул!$E$5:$E$300,$B63,Пул!$L$5:$L$300,"Закрыт"),8)))</f>
        <v/>
      </c>
      <c r="H63" s="340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341">
        <f>IF($B64="","",IF(COUNTIFS(Пул!$E$5:$E$300,$B64,Пул!$L$5:$L$300,"Закрыт")=0,"",ROUND(SUMIFS(Пул!$J$5:$J$300,Пул!$E$5:$E$300,$B64,Пул!$L$5:$L$300,"Закрыт"),8)))</f>
        <v/>
      </c>
      <c r="H64" s="342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339">
        <f>IF($B65="","",IF(COUNTIFS(Пул!$E$5:$E$300,$B65,Пул!$L$5:$L$300,"Закрыт")=0,"",ROUND(SUMIFS(Пул!$J$5:$J$300,Пул!$E$5:$E$300,$B65,Пул!$L$5:$L$300,"Закрыт"),8)))</f>
        <v/>
      </c>
      <c r="H65" s="340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341">
        <f>IF($B66="","",IF(COUNTIFS(Пул!$E$5:$E$300,$B66,Пул!$L$5:$L$300,"Закрыт")=0,"",ROUND(SUMIFS(Пул!$J$5:$J$300,Пул!$E$5:$E$300,$B66,Пул!$L$5:$L$300,"Закрыт"),8)))</f>
        <v/>
      </c>
      <c r="H66" s="342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339">
        <f>IF($B67="","",IF(COUNTIFS(Пул!$E$5:$E$300,$B67,Пул!$L$5:$L$300,"Закрыт")=0,"",ROUND(SUMIFS(Пул!$J$5:$J$300,Пул!$E$5:$E$300,$B67,Пул!$L$5:$L$300,"Закрыт"),8)))</f>
        <v/>
      </c>
      <c r="H67" s="340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341">
        <f>IF($B68="","",IF(COUNTIFS(Пул!$E$5:$E$300,$B68,Пул!$L$5:$L$300,"Закрыт")=0,"",ROUND(SUMIFS(Пул!$J$5:$J$300,Пул!$E$5:$E$300,$B68,Пул!$L$5:$L$300,"Закрыт"),8)))</f>
        <v/>
      </c>
      <c r="H68" s="342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339">
        <f>IF($B69="","",IF(COUNTIFS(Пул!$E$5:$E$300,$B69,Пул!$L$5:$L$300,"Закрыт")=0,"",ROUND(SUMIFS(Пул!$J$5:$J$300,Пул!$E$5:$E$300,$B69,Пул!$L$5:$L$300,"Закрыт"),8)))</f>
        <v/>
      </c>
      <c r="H69" s="340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341">
        <f>IF($B70="","",IF(COUNTIFS(Пул!$E$5:$E$300,$B70,Пул!$L$5:$L$300,"Закрыт")=0,"",ROUND(SUMIFS(Пул!$J$5:$J$300,Пул!$E$5:$E$300,$B70,Пул!$L$5:$L$300,"Закрыт"),8)))</f>
        <v/>
      </c>
      <c r="H70" s="342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339">
        <f>IF($B71="","",IF(COUNTIFS(Пул!$E$5:$E$300,$B71,Пул!$L$5:$L$300,"Закрыт")=0,"",ROUND(SUMIFS(Пул!$J$5:$J$300,Пул!$E$5:$E$300,$B71,Пул!$L$5:$L$300,"Закрыт"),8)))</f>
        <v/>
      </c>
      <c r="H71" s="340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341">
        <f>IF($B72="","",IF(COUNTIFS(Пул!$E$5:$E$300,$B72,Пул!$L$5:$L$300,"Закрыт")=0,"",ROUND(SUMIFS(Пул!$J$5:$J$300,Пул!$E$5:$E$300,$B72,Пул!$L$5:$L$300,"Закрыт"),8)))</f>
        <v/>
      </c>
      <c r="H72" s="342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339">
        <f>IF($B73="","",IF(COUNTIFS(Пул!$E$5:$E$300,$B73,Пул!$L$5:$L$300,"Закрыт")=0,"",ROUND(SUMIFS(Пул!$J$5:$J$300,Пул!$E$5:$E$300,$B73,Пул!$L$5:$L$300,"Закрыт"),8)))</f>
        <v/>
      </c>
      <c r="H73" s="340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341">
        <f>IF($B74="","",IF(COUNTIFS(Пул!$E$5:$E$300,$B74,Пул!$L$5:$L$300,"Закрыт")=0,"",ROUND(SUMIFS(Пул!$J$5:$J$300,Пул!$E$5:$E$300,$B74,Пул!$L$5:$L$300,"Закрыт"),8)))</f>
        <v/>
      </c>
      <c r="H74" s="342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339">
        <f>IF($B75="","",IF(COUNTIFS(Пул!$E$5:$E$300,$B75,Пул!$L$5:$L$300,"Закрыт")=0,"",ROUND(SUMIFS(Пул!$J$5:$J$300,Пул!$E$5:$E$300,$B75,Пул!$L$5:$L$300,"Закрыт"),8)))</f>
        <v/>
      </c>
      <c r="H75" s="340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341">
        <f>IF($B76="","",IF(COUNTIFS(Пул!$E$5:$E$300,$B76,Пул!$L$5:$L$300,"Закрыт")=0,"",ROUND(SUMIFS(Пул!$J$5:$J$300,Пул!$E$5:$E$300,$B76,Пул!$L$5:$L$300,"Закрыт"),8)))</f>
        <v/>
      </c>
      <c r="H76" s="342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339">
        <f>IF($B77="","",IF(COUNTIFS(Пул!$E$5:$E$300,$B77,Пул!$L$5:$L$300,"Закрыт")=0,"",ROUND(SUMIFS(Пул!$J$5:$J$300,Пул!$E$5:$E$300,$B77,Пул!$L$5:$L$300,"Закрыт"),8)))</f>
        <v/>
      </c>
      <c r="H77" s="340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341">
        <f>IF($B78="","",IF(COUNTIFS(Пул!$E$5:$E$300,$B78,Пул!$L$5:$L$300,"Закрыт")=0,"",ROUND(SUMIFS(Пул!$J$5:$J$300,Пул!$E$5:$E$300,$B78,Пул!$L$5:$L$300,"Закрыт"),8)))</f>
        <v/>
      </c>
      <c r="H78" s="342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339">
        <f>IF($B79="","",IF(COUNTIFS(Пул!$E$5:$E$300,$B79,Пул!$L$5:$L$300,"Закрыт")=0,"",ROUND(SUMIFS(Пул!$J$5:$J$300,Пул!$E$5:$E$300,$B79,Пул!$L$5:$L$300,"Закрыт"),8)))</f>
        <v/>
      </c>
      <c r="H79" s="340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341">
        <f>IF($B80="","",IF(COUNTIFS(Пул!$E$5:$E$300,$B80,Пул!$L$5:$L$300,"Закрыт")=0,"",ROUND(SUMIFS(Пул!$J$5:$J$300,Пул!$E$5:$E$300,$B80,Пул!$L$5:$L$300,"Закрыт"),8)))</f>
        <v/>
      </c>
      <c r="H80" s="342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339">
        <f>IF($B81="","",IF(COUNTIFS(Пул!$E$5:$E$300,$B81,Пул!$L$5:$L$300,"Закрыт")=0,"",ROUND(SUMIFS(Пул!$J$5:$J$300,Пул!$E$5:$E$300,$B81,Пул!$L$5:$L$300,"Закрыт"),8)))</f>
        <v/>
      </c>
      <c r="H81" s="340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341">
        <f>IF($B82="","",IF(COUNTIFS(Пул!$E$5:$E$300,$B82,Пул!$L$5:$L$300,"Закрыт")=0,"",ROUND(SUMIFS(Пул!$J$5:$J$300,Пул!$E$5:$E$300,$B82,Пул!$L$5:$L$300,"Закрыт"),8)))</f>
        <v/>
      </c>
      <c r="H82" s="342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339">
        <f>IF($B83="","",IF(COUNTIFS(Пул!$E$5:$E$300,$B83,Пул!$L$5:$L$300,"Закрыт")=0,"",ROUND(SUMIFS(Пул!$J$5:$J$300,Пул!$E$5:$E$300,$B83,Пул!$L$5:$L$300,"Закрыт"),8)))</f>
        <v/>
      </c>
      <c r="H83" s="340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341">
        <f>IF($B84="","",IF(COUNTIFS(Пул!$E$5:$E$300,$B84,Пул!$L$5:$L$300,"Закрыт")=0,"",ROUND(SUMIFS(Пул!$J$5:$J$300,Пул!$E$5:$E$300,$B84,Пул!$L$5:$L$300,"Закрыт"),8)))</f>
        <v/>
      </c>
      <c r="H84" s="342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339">
        <f>IF($B85="","",IF(COUNTIFS(Пул!$E$5:$E$300,$B85,Пул!$L$5:$L$300,"Закрыт")=0,"",ROUND(SUMIFS(Пул!$J$5:$J$300,Пул!$E$5:$E$300,$B85,Пул!$L$5:$L$300,"Закрыт"),8)))</f>
        <v/>
      </c>
      <c r="H85" s="340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341">
        <f>IF($B86="","",IF(COUNTIFS(Пул!$E$5:$E$300,$B86,Пул!$L$5:$L$300,"Закрыт")=0,"",ROUND(SUMIFS(Пул!$J$5:$J$300,Пул!$E$5:$E$300,$B86,Пул!$L$5:$L$300,"Закрыт"),8)))</f>
        <v/>
      </c>
      <c r="H86" s="342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339">
        <f>IF($B87="","",IF(COUNTIFS(Пул!$E$5:$E$300,$B87,Пул!$L$5:$L$300,"Закрыт")=0,"",ROUND(SUMIFS(Пул!$J$5:$J$300,Пул!$E$5:$E$300,$B87,Пул!$L$5:$L$300,"Закрыт"),8)))</f>
        <v/>
      </c>
      <c r="H87" s="340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341">
        <f>IF($B88="","",IF(COUNTIFS(Пул!$E$5:$E$300,$B88,Пул!$L$5:$L$300,"Закрыт")=0,"",ROUND(SUMIFS(Пул!$J$5:$J$300,Пул!$E$5:$E$300,$B88,Пул!$L$5:$L$300,"Закрыт"),8)))</f>
        <v/>
      </c>
      <c r="H88" s="342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339">
        <f>IF($B89="","",IF(COUNTIFS(Пул!$E$5:$E$300,$B89,Пул!$L$5:$L$300,"Закрыт")=0,"",ROUND(SUMIFS(Пул!$J$5:$J$300,Пул!$E$5:$E$300,$B89,Пул!$L$5:$L$300,"Закрыт"),8)))</f>
        <v/>
      </c>
      <c r="H89" s="340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341">
        <f>IF($B90="","",IF(COUNTIFS(Пул!$E$5:$E$300,$B90,Пул!$L$5:$L$300,"Закрыт")=0,"",ROUND(SUMIFS(Пул!$J$5:$J$300,Пул!$E$5:$E$300,$B90,Пул!$L$5:$L$300,"Закрыт"),8)))</f>
        <v/>
      </c>
      <c r="H90" s="342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339">
        <f>IF($B91="","",IF(COUNTIFS(Пул!$E$5:$E$300,$B91,Пул!$L$5:$L$300,"Закрыт")=0,"",ROUND(SUMIFS(Пул!$J$5:$J$300,Пул!$E$5:$E$300,$B91,Пул!$L$5:$L$300,"Закрыт"),8)))</f>
        <v/>
      </c>
      <c r="H91" s="340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341">
        <f>IF($B92="","",IF(COUNTIFS(Пул!$E$5:$E$300,$B92,Пул!$L$5:$L$300,"Закрыт")=0,"",ROUND(SUMIFS(Пул!$J$5:$J$300,Пул!$E$5:$E$300,$B92,Пул!$L$5:$L$300,"Закрыт"),8)))</f>
        <v/>
      </c>
      <c r="H92" s="342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339">
        <f>IF($B93="","",IF(COUNTIFS(Пул!$E$5:$E$300,$B93,Пул!$L$5:$L$300,"Закрыт")=0,"",ROUND(SUMIFS(Пул!$J$5:$J$300,Пул!$E$5:$E$300,$B93,Пул!$L$5:$L$300,"Закрыт"),8)))</f>
        <v/>
      </c>
      <c r="H93" s="340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341">
        <f>IF($B94="","",IF(COUNTIFS(Пул!$E$5:$E$300,$B94,Пул!$L$5:$L$300,"Закрыт")=0,"",ROUND(SUMIFS(Пул!$J$5:$J$300,Пул!$E$5:$E$300,$B94,Пул!$L$5:$L$300,"Закрыт"),8)))</f>
        <v/>
      </c>
      <c r="H94" s="342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339">
        <f>IF($B95="","",IF(COUNTIFS(Пул!$E$5:$E$300,$B95,Пул!$L$5:$L$300,"Закрыт")=0,"",ROUND(SUMIFS(Пул!$J$5:$J$300,Пул!$E$5:$E$300,$B95,Пул!$L$5:$L$300,"Закрыт"),8)))</f>
        <v/>
      </c>
      <c r="H95" s="340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341">
        <f>IF($B96="","",IF(COUNTIFS(Пул!$E$5:$E$300,$B96,Пул!$L$5:$L$300,"Закрыт")=0,"",ROUND(SUMIFS(Пул!$J$5:$J$300,Пул!$E$5:$E$300,$B96,Пул!$L$5:$L$300,"Закрыт"),8)))</f>
        <v/>
      </c>
      <c r="H96" s="342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339">
        <f>IF($B97="","",IF(COUNTIFS(Пул!$E$5:$E$300,$B97,Пул!$L$5:$L$300,"Закрыт")=0,"",ROUND(SUMIFS(Пул!$J$5:$J$300,Пул!$E$5:$E$300,$B97,Пул!$L$5:$L$300,"Закрыт"),8)))</f>
        <v/>
      </c>
      <c r="H97" s="340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341">
        <f>IF($B98="","",IF(COUNTIFS(Пул!$E$5:$E$300,$B98,Пул!$L$5:$L$300,"Закрыт")=0,"",ROUND(SUMIFS(Пул!$J$5:$J$300,Пул!$E$5:$E$300,$B98,Пул!$L$5:$L$300,"Закрыт"),8)))</f>
        <v/>
      </c>
      <c r="H98" s="342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339">
        <f>IF($B99="","",IF(COUNTIFS(Пул!$E$5:$E$300,$B99,Пул!$L$5:$L$300,"Закрыт")=0,"",ROUND(SUMIFS(Пул!$J$5:$J$300,Пул!$E$5:$E$300,$B99,Пул!$L$5:$L$300,"Закрыт"),8)))</f>
        <v/>
      </c>
      <c r="H99" s="340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341">
        <f>IF($B100="","",IF(COUNTIFS(Пул!$E$5:$E$300,$B100,Пул!$L$5:$L$300,"Закрыт")=0,"",ROUND(SUMIFS(Пул!$J$5:$J$300,Пул!$E$5:$E$300,$B100,Пул!$L$5:$L$300,"Закрыт"),8)))</f>
        <v/>
      </c>
      <c r="H100" s="342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339">
        <f>IF($B101="","",IF(COUNTIFS(Пул!$E$5:$E$300,$B101,Пул!$L$5:$L$300,"Закрыт")=0,"",ROUND(SUMIFS(Пул!$J$5:$J$300,Пул!$E$5:$E$300,$B101,Пул!$L$5:$L$300,"Закрыт"),8)))</f>
        <v/>
      </c>
      <c r="H101" s="340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341">
        <f>IF($B102="","",IF(COUNTIFS(Пул!$E$5:$E$300,$B102,Пул!$L$5:$L$300,"Закрыт")=0,"",ROUND(SUMIFS(Пул!$J$5:$J$300,Пул!$E$5:$E$300,$B102,Пул!$L$5:$L$300,"Закрыт"),8)))</f>
        <v/>
      </c>
      <c r="H102" s="342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339">
        <f>IF($B103="","",IF(COUNTIFS(Пул!$E$5:$E$300,$B103,Пул!$L$5:$L$300,"Закрыт")=0,"",ROUND(SUMIFS(Пул!$J$5:$J$300,Пул!$E$5:$E$300,$B103,Пул!$L$5:$L$300,"Закрыт"),8)))</f>
        <v/>
      </c>
      <c r="H103" s="340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341">
        <f>IF($B104="","",IF(COUNTIFS(Пул!$E$5:$E$300,$B104,Пул!$L$5:$L$300,"Закрыт")=0,"",ROUND(SUMIFS(Пул!$J$5:$J$300,Пул!$E$5:$E$300,$B104,Пул!$L$5:$L$300,"Закрыт"),8)))</f>
        <v/>
      </c>
      <c r="H104" s="342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339">
        <f>IF($B105="","",IF(COUNTIFS(Пул!$E$5:$E$300,$B105,Пул!$L$5:$L$300,"Закрыт")=0,"",ROUND(SUMIFS(Пул!$J$5:$J$300,Пул!$E$5:$E$300,$B105,Пул!$L$5:$L$300,"Закрыт"),8)))</f>
        <v/>
      </c>
      <c r="H105" s="340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341">
        <f>IF($B106="","",IF(COUNTIFS(Пул!$E$5:$E$300,$B106,Пул!$L$5:$L$300,"Закрыт")=0,"",ROUND(SUMIFS(Пул!$J$5:$J$300,Пул!$E$5:$E$300,$B106,Пул!$L$5:$L$300,"Закрыт"),8)))</f>
        <v/>
      </c>
      <c r="H106" s="342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339">
        <f>IF($B107="","",IF(COUNTIFS(Пул!$E$5:$E$300,$B107,Пул!$L$5:$L$300,"Закрыт")=0,"",ROUND(SUMIFS(Пул!$J$5:$J$300,Пул!$E$5:$E$300,$B107,Пул!$L$5:$L$300,"Закрыт"),8)))</f>
        <v/>
      </c>
      <c r="H107" s="340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341">
        <f>IF($B108="","",IF(COUNTIFS(Пул!$E$5:$E$300,$B108,Пул!$L$5:$L$300,"Закрыт")=0,"",ROUND(SUMIFS(Пул!$J$5:$J$300,Пул!$E$5:$E$300,$B108,Пул!$L$5:$L$300,"Закрыт"),8)))</f>
        <v/>
      </c>
      <c r="H108" s="342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339">
        <f>IF($B109="","",IF(COUNTIFS(Пул!$E$5:$E$300,$B109,Пул!$L$5:$L$300,"Закрыт")=0,"",ROUND(SUMIFS(Пул!$J$5:$J$300,Пул!$E$5:$E$300,$B109,Пул!$L$5:$L$300,"Закрыт"),8)))</f>
        <v/>
      </c>
      <c r="H109" s="340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341">
        <f>IF($B110="","",IF(COUNTIFS(Пул!$E$5:$E$300,$B110,Пул!$L$5:$L$300,"Закрыт")=0,"",ROUND(SUMIFS(Пул!$J$5:$J$300,Пул!$E$5:$E$300,$B110,Пул!$L$5:$L$300,"Закрыт"),8)))</f>
        <v/>
      </c>
      <c r="H110" s="342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339">
        <f>IF($B111="","",IF(COUNTIFS(Пул!$E$5:$E$300,$B111,Пул!$L$5:$L$300,"Закрыт")=0,"",ROUND(SUMIFS(Пул!$J$5:$J$300,Пул!$E$5:$E$300,$B111,Пул!$L$5:$L$300,"Закрыт"),8)))</f>
        <v/>
      </c>
      <c r="H111" s="340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341">
        <f>IF($B112="","",IF(COUNTIFS(Пул!$E$5:$E$300,$B112,Пул!$L$5:$L$300,"Закрыт")=0,"",ROUND(SUMIFS(Пул!$J$5:$J$300,Пул!$E$5:$E$300,$B112,Пул!$L$5:$L$300,"Закрыт"),8)))</f>
        <v/>
      </c>
      <c r="H112" s="342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339">
        <f>IF($B113="","",IF(COUNTIFS(Пул!$E$5:$E$300,$B113,Пул!$L$5:$L$300,"Закрыт")=0,"",ROUND(SUMIFS(Пул!$J$5:$J$300,Пул!$E$5:$E$300,$B113,Пул!$L$5:$L$300,"Закрыт"),8)))</f>
        <v/>
      </c>
      <c r="H113" s="340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341">
        <f>IF($B114="","",IF(COUNTIFS(Пул!$E$5:$E$300,$B114,Пул!$L$5:$L$300,"Закрыт")=0,"",ROUND(SUMIFS(Пул!$J$5:$J$300,Пул!$E$5:$E$300,$B114,Пул!$L$5:$L$300,"Закрыт"),8)))</f>
        <v/>
      </c>
      <c r="H114" s="342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339">
        <f>IF($B115="","",IF(COUNTIFS(Пул!$E$5:$E$300,$B115,Пул!$L$5:$L$300,"Закрыт")=0,"",ROUND(SUMIFS(Пул!$J$5:$J$300,Пул!$E$5:$E$300,$B115,Пул!$L$5:$L$300,"Закрыт"),8)))</f>
        <v/>
      </c>
      <c r="H115" s="340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341">
        <f>IF($B116="","",IF(COUNTIFS(Пул!$E$5:$E$300,$B116,Пул!$L$5:$L$300,"Закрыт")=0,"",ROUND(SUMIFS(Пул!$J$5:$J$300,Пул!$E$5:$E$300,$B116,Пул!$L$5:$L$300,"Закрыт"),8)))</f>
        <v/>
      </c>
      <c r="H116" s="342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339">
        <f>IF($B117="","",IF(COUNTIFS(Пул!$E$5:$E$300,$B117,Пул!$L$5:$L$300,"Закрыт")=0,"",ROUND(SUMIFS(Пул!$J$5:$J$300,Пул!$E$5:$E$300,$B117,Пул!$L$5:$L$300,"Закрыт"),8)))</f>
        <v/>
      </c>
      <c r="H117" s="340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341">
        <f>IF($B118="","",IF(COUNTIFS(Пул!$E$5:$E$300,$B118,Пул!$L$5:$L$300,"Закрыт")=0,"",ROUND(SUMIFS(Пул!$J$5:$J$300,Пул!$E$5:$E$300,$B118,Пул!$L$5:$L$300,"Закрыт"),8)))</f>
        <v/>
      </c>
      <c r="H118" s="342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339">
        <f>IF($B119="","",IF(COUNTIFS(Пул!$E$5:$E$300,$B119,Пул!$L$5:$L$300,"Закрыт")=0,"",ROUND(SUMIFS(Пул!$J$5:$J$300,Пул!$E$5:$E$300,$B119,Пул!$L$5:$L$300,"Закрыт"),8)))</f>
        <v/>
      </c>
      <c r="H119" s="340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341">
        <f>IF($B120="","",IF(COUNTIFS(Пул!$E$5:$E$300,$B120,Пул!$L$5:$L$300,"Закрыт")=0,"",ROUND(SUMIFS(Пул!$J$5:$J$300,Пул!$E$5:$E$300,$B120,Пул!$L$5:$L$300,"Закрыт"),8)))</f>
        <v/>
      </c>
      <c r="H120" s="342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339">
        <f>IF($B121="","",IF(COUNTIFS(Пул!$E$5:$E$300,$B121,Пул!$L$5:$L$300,"Закрыт")=0,"",ROUND(SUMIFS(Пул!$J$5:$J$300,Пул!$E$5:$E$300,$B121,Пул!$L$5:$L$300,"Закрыт"),8)))</f>
        <v/>
      </c>
      <c r="H121" s="340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341">
        <f>IF($B122="","",IF(COUNTIFS(Пул!$E$5:$E$300,$B122,Пул!$L$5:$L$300,"Закрыт")=0,"",ROUND(SUMIFS(Пул!$J$5:$J$300,Пул!$E$5:$E$300,$B122,Пул!$L$5:$L$300,"Закрыт"),8)))</f>
        <v/>
      </c>
      <c r="H122" s="342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339">
        <f>IF($B123="","",IF(COUNTIFS(Пул!$E$5:$E$300,$B123,Пул!$L$5:$L$300,"Закрыт")=0,"",ROUND(SUMIFS(Пул!$J$5:$J$300,Пул!$E$5:$E$300,$B123,Пул!$L$5:$L$300,"Закрыт"),8)))</f>
        <v/>
      </c>
      <c r="H123" s="340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341">
        <f>IF($B124="","",IF(COUNTIFS(Пул!$E$5:$E$300,$B124,Пул!$L$5:$L$300,"Закрыт")=0,"",ROUND(SUMIFS(Пул!$J$5:$J$300,Пул!$E$5:$E$300,$B124,Пул!$L$5:$L$300,"Закрыт"),8)))</f>
        <v/>
      </c>
      <c r="H124" s="342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339">
        <f>IF($B125="","",IF(COUNTIFS(Пул!$E$5:$E$300,$B125,Пул!$L$5:$L$300,"Закрыт")=0,"",ROUND(SUMIFS(Пул!$J$5:$J$300,Пул!$E$5:$E$300,$B125,Пул!$L$5:$L$300,"Закрыт"),8)))</f>
        <v/>
      </c>
      <c r="H125" s="340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341">
        <f>IF($B126="","",IF(COUNTIFS(Пул!$E$5:$E$300,$B126,Пул!$L$5:$L$300,"Закрыт")=0,"",ROUND(SUMIFS(Пул!$J$5:$J$300,Пул!$E$5:$E$300,$B126,Пул!$L$5:$L$300,"Закрыт"),8)))</f>
        <v/>
      </c>
      <c r="H126" s="342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339">
        <f>IF($B127="","",IF(COUNTIFS(Пул!$E$5:$E$300,$B127,Пул!$L$5:$L$300,"Закрыт")=0,"",ROUND(SUMIFS(Пул!$J$5:$J$300,Пул!$E$5:$E$300,$B127,Пул!$L$5:$L$300,"Закрыт"),8)))</f>
        <v/>
      </c>
      <c r="H127" s="340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341">
        <f>IF($B128="","",IF(COUNTIFS(Пул!$E$5:$E$300,$B128,Пул!$L$5:$L$300,"Закрыт")=0,"",ROUND(SUMIFS(Пул!$J$5:$J$300,Пул!$E$5:$E$300,$B128,Пул!$L$5:$L$300,"Закрыт"),8)))</f>
        <v/>
      </c>
      <c r="H128" s="342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339">
        <f>IF($B129="","",IF(COUNTIFS(Пул!$E$5:$E$300,$B129,Пул!$L$5:$L$300,"Закрыт")=0,"",ROUND(SUMIFS(Пул!$J$5:$J$300,Пул!$E$5:$E$300,$B129,Пул!$L$5:$L$300,"Закрыт"),8)))</f>
        <v/>
      </c>
      <c r="H129" s="340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341">
        <f>IF($B130="","",IF(COUNTIFS(Пул!$E$5:$E$300,$B130,Пул!$L$5:$L$300,"Закрыт")=0,"",ROUND(SUMIFS(Пул!$J$5:$J$300,Пул!$E$5:$E$300,$B130,Пул!$L$5:$L$300,"Закрыт"),8)))</f>
        <v/>
      </c>
      <c r="H130" s="342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339">
        <f>IF($B131="","",IF(COUNTIFS(Пул!$E$5:$E$300,$B131,Пул!$L$5:$L$300,"Закрыт")=0,"",ROUND(SUMIFS(Пул!$J$5:$J$300,Пул!$E$5:$E$300,$B131,Пул!$L$5:$L$300,"Закрыт"),8)))</f>
        <v/>
      </c>
      <c r="H131" s="340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341">
        <f>IF($B132="","",IF(COUNTIFS(Пул!$E$5:$E$300,$B132,Пул!$L$5:$L$300,"Закрыт")=0,"",ROUND(SUMIFS(Пул!$J$5:$J$300,Пул!$E$5:$E$300,$B132,Пул!$L$5:$L$300,"Закрыт"),8)))</f>
        <v/>
      </c>
      <c r="H132" s="342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339">
        <f>IF($B133="","",IF(COUNTIFS(Пул!$E$5:$E$300,$B133,Пул!$L$5:$L$300,"Закрыт")=0,"",ROUND(SUMIFS(Пул!$J$5:$J$300,Пул!$E$5:$E$300,$B133,Пул!$L$5:$L$300,"Закрыт"),8)))</f>
        <v/>
      </c>
      <c r="H133" s="340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341">
        <f>IF($B134="","",IF(COUNTIFS(Пул!$E$5:$E$300,$B134,Пул!$L$5:$L$300,"Закрыт")=0,"",ROUND(SUMIFS(Пул!$J$5:$J$300,Пул!$E$5:$E$300,$B134,Пул!$L$5:$L$300,"Закрыт"),8)))</f>
        <v/>
      </c>
      <c r="H134" s="342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339">
        <f>IF($B135="","",IF(COUNTIFS(Пул!$E$5:$E$300,$B135,Пул!$L$5:$L$300,"Закрыт")=0,"",ROUND(SUMIFS(Пул!$J$5:$J$300,Пул!$E$5:$E$300,$B135,Пул!$L$5:$L$300,"Закрыт"),8)))</f>
        <v/>
      </c>
      <c r="H135" s="340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341">
        <f>IF($B136="","",IF(COUNTIFS(Пул!$E$5:$E$300,$B136,Пул!$L$5:$L$300,"Закрыт")=0,"",ROUND(SUMIFS(Пул!$J$5:$J$300,Пул!$E$5:$E$300,$B136,Пул!$L$5:$L$300,"Закрыт"),8)))</f>
        <v/>
      </c>
      <c r="H136" s="342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339">
        <f>IF($B137="","",IF(COUNTIFS(Пул!$E$5:$E$300,$B137,Пул!$L$5:$L$300,"Закрыт")=0,"",ROUND(SUMIFS(Пул!$J$5:$J$300,Пул!$E$5:$E$300,$B137,Пул!$L$5:$L$300,"Закрыт"),8)))</f>
        <v/>
      </c>
      <c r="H137" s="340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341">
        <f>IF($B138="","",IF(COUNTIFS(Пул!$E$5:$E$300,$B138,Пул!$L$5:$L$300,"Закрыт")=0,"",ROUND(SUMIFS(Пул!$J$5:$J$300,Пул!$E$5:$E$300,$B138,Пул!$L$5:$L$300,"Закрыт"),8)))</f>
        <v/>
      </c>
      <c r="H138" s="342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339">
        <f>IF($B139="","",IF(COUNTIFS(Пул!$E$5:$E$300,$B139,Пул!$L$5:$L$300,"Закрыт")=0,"",ROUND(SUMIFS(Пул!$J$5:$J$300,Пул!$E$5:$E$300,$B139,Пул!$L$5:$L$300,"Закрыт"),8)))</f>
        <v/>
      </c>
      <c r="H139" s="340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341">
        <f>IF($B140="","",IF(COUNTIFS(Пул!$E$5:$E$300,$B140,Пул!$L$5:$L$300,"Закрыт")=0,"",ROUND(SUMIFS(Пул!$J$5:$J$300,Пул!$E$5:$E$300,$B140,Пул!$L$5:$L$300,"Закрыт"),8)))</f>
        <v/>
      </c>
      <c r="H140" s="342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339">
        <f>IF($B141="","",IF(COUNTIFS(Пул!$E$5:$E$300,$B141,Пул!$L$5:$L$300,"Закрыт")=0,"",ROUND(SUMIFS(Пул!$J$5:$J$300,Пул!$E$5:$E$300,$B141,Пул!$L$5:$L$300,"Закрыт"),8)))</f>
        <v/>
      </c>
      <c r="H141" s="340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341">
        <f>IF($B142="","",IF(COUNTIFS(Пул!$E$5:$E$300,$B142,Пул!$L$5:$L$300,"Закрыт")=0,"",ROUND(SUMIFS(Пул!$J$5:$J$300,Пул!$E$5:$E$300,$B142,Пул!$L$5:$L$300,"Закрыт"),8)))</f>
        <v/>
      </c>
      <c r="H142" s="342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339">
        <f>IF($B143="","",IF(COUNTIFS(Пул!$E$5:$E$300,$B143,Пул!$L$5:$L$300,"Закрыт")=0,"",ROUND(SUMIFS(Пул!$J$5:$J$300,Пул!$E$5:$E$300,$B143,Пул!$L$5:$L$300,"Закрыт"),8)))</f>
        <v/>
      </c>
      <c r="H143" s="340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341">
        <f>IF($B144="","",IF(COUNTIFS(Пул!$E$5:$E$300,$B144,Пул!$L$5:$L$300,"Закрыт")=0,"",ROUND(SUMIFS(Пул!$J$5:$J$300,Пул!$E$5:$E$300,$B144,Пул!$L$5:$L$300,"Закрыт"),8)))</f>
        <v/>
      </c>
      <c r="H144" s="342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339">
        <f>IF($B145="","",IF(COUNTIFS(Пул!$E$5:$E$300,$B145,Пул!$L$5:$L$300,"Закрыт")=0,"",ROUND(SUMIFS(Пул!$J$5:$J$300,Пул!$E$5:$E$300,$B145,Пул!$L$5:$L$300,"Закрыт"),8)))</f>
        <v/>
      </c>
      <c r="H145" s="340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341">
        <f>IF($B146="","",IF(COUNTIFS(Пул!$E$5:$E$300,$B146,Пул!$L$5:$L$300,"Закрыт")=0,"",ROUND(SUMIFS(Пул!$J$5:$J$300,Пул!$E$5:$E$300,$B146,Пул!$L$5:$L$300,"Закрыт"),8)))</f>
        <v/>
      </c>
      <c r="H146" s="342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339">
        <f>IF($B147="","",IF(COUNTIFS(Пул!$E$5:$E$300,$B147,Пул!$L$5:$L$300,"Закрыт")=0,"",ROUND(SUMIFS(Пул!$J$5:$J$300,Пул!$E$5:$E$300,$B147,Пул!$L$5:$L$300,"Закрыт"),8)))</f>
        <v/>
      </c>
      <c r="H147" s="340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341">
        <f>IF($B148="","",IF(COUNTIFS(Пул!$E$5:$E$300,$B148,Пул!$L$5:$L$300,"Закрыт")=0,"",ROUND(SUMIFS(Пул!$J$5:$J$300,Пул!$E$5:$E$300,$B148,Пул!$L$5:$L$300,"Закрыт"),8)))</f>
        <v/>
      </c>
      <c r="H148" s="342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339">
        <f>IF($B149="","",IF(COUNTIFS(Пул!$E$5:$E$300,$B149,Пул!$L$5:$L$300,"Закрыт")=0,"",ROUND(SUMIFS(Пул!$J$5:$J$300,Пул!$E$5:$E$300,$B149,Пул!$L$5:$L$300,"Закрыт"),8)))</f>
        <v/>
      </c>
      <c r="H149" s="340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341">
        <f>IF($B150="","",IF(COUNTIFS(Пул!$E$5:$E$300,$B150,Пул!$L$5:$L$300,"Закрыт")=0,"",ROUND(SUMIFS(Пул!$J$5:$J$300,Пул!$E$5:$E$300,$B150,Пул!$L$5:$L$300,"Закрыт"),8)))</f>
        <v/>
      </c>
      <c r="H150" s="342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339">
        <f>IF($B151="","",IF(COUNTIFS(Пул!$E$5:$E$300,$B151,Пул!$L$5:$L$300,"Закрыт")=0,"",ROUND(SUMIFS(Пул!$J$5:$J$300,Пул!$E$5:$E$300,$B151,Пул!$L$5:$L$300,"Закрыт"),8)))</f>
        <v/>
      </c>
      <c r="H151" s="340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341">
        <f>IF($B152="","",IF(COUNTIFS(Пул!$E$5:$E$300,$B152,Пул!$L$5:$L$300,"Закрыт")=0,"",ROUND(SUMIFS(Пул!$J$5:$J$300,Пул!$E$5:$E$300,$B152,Пул!$L$5:$L$300,"Закрыт"),8)))</f>
        <v/>
      </c>
      <c r="H152" s="342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339">
        <f>IF($B153="","",IF(COUNTIFS(Пул!$E$5:$E$300,$B153,Пул!$L$5:$L$300,"Закрыт")=0,"",ROUND(SUMIFS(Пул!$J$5:$J$300,Пул!$E$5:$E$300,$B153,Пул!$L$5:$L$300,"Закрыт"),8)))</f>
        <v/>
      </c>
      <c r="H153" s="340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341">
        <f>IF($B154="","",IF(COUNTIFS(Пул!$E$5:$E$300,$B154,Пул!$L$5:$L$300,"Закрыт")=0,"",ROUND(SUMIFS(Пул!$J$5:$J$300,Пул!$E$5:$E$300,$B154,Пул!$L$5:$L$300,"Закрыт"),8)))</f>
        <v/>
      </c>
      <c r="H154" s="342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339">
        <f>IF($B155="","",IF(COUNTIFS(Пул!$E$5:$E$300,$B155,Пул!$L$5:$L$300,"Закрыт")=0,"",ROUND(SUMIFS(Пул!$J$5:$J$300,Пул!$E$5:$E$300,$B155,Пул!$L$5:$L$300,"Закрыт"),8)))</f>
        <v/>
      </c>
      <c r="H155" s="340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341">
        <f>IF($B156="","",IF(COUNTIFS(Пул!$E$5:$E$300,$B156,Пул!$L$5:$L$300,"Закрыт")=0,"",ROUND(SUMIFS(Пул!$J$5:$J$300,Пул!$E$5:$E$300,$B156,Пул!$L$5:$L$300,"Закрыт"),8)))</f>
        <v/>
      </c>
      <c r="H156" s="342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339">
        <f>IF($B157="","",IF(COUNTIFS(Пул!$E$5:$E$300,$B157,Пул!$L$5:$L$300,"Закрыт")=0,"",ROUND(SUMIFS(Пул!$J$5:$J$300,Пул!$E$5:$E$300,$B157,Пул!$L$5:$L$300,"Закрыт"),8)))</f>
        <v/>
      </c>
      <c r="H157" s="340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341">
        <f>IF($B158="","",IF(COUNTIFS(Пул!$E$5:$E$300,$B158,Пул!$L$5:$L$300,"Закрыт")=0,"",ROUND(SUMIFS(Пул!$J$5:$J$300,Пул!$E$5:$E$300,$B158,Пул!$L$5:$L$300,"Закрыт"),8)))</f>
        <v/>
      </c>
      <c r="H158" s="342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339">
        <f>IF($B159="","",IF(COUNTIFS(Пул!$E$5:$E$300,$B159,Пул!$L$5:$L$300,"Закрыт")=0,"",ROUND(SUMIFS(Пул!$J$5:$J$300,Пул!$E$5:$E$300,$B159,Пул!$L$5:$L$300,"Закрыт"),8)))</f>
        <v/>
      </c>
      <c r="H159" s="340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341">
        <f>IF($B160="","",IF(COUNTIFS(Пул!$E$5:$E$300,$B160,Пул!$L$5:$L$300,"Закрыт")=0,"",ROUND(SUMIFS(Пул!$J$5:$J$300,Пул!$E$5:$E$300,$B160,Пул!$L$5:$L$300,"Закрыт"),8)))</f>
        <v/>
      </c>
      <c r="H160" s="342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339">
        <f>IF($B161="","",IF(COUNTIFS(Пул!$E$5:$E$300,$B161,Пул!$L$5:$L$300,"Закрыт")=0,"",ROUND(SUMIFS(Пул!$J$5:$J$300,Пул!$E$5:$E$300,$B161,Пул!$L$5:$L$300,"Закрыт"),8)))</f>
        <v/>
      </c>
      <c r="H161" s="340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341">
        <f>IF($B162="","",IF(COUNTIFS(Пул!$E$5:$E$300,$B162,Пул!$L$5:$L$300,"Закрыт")=0,"",ROUND(SUMIFS(Пул!$J$5:$J$300,Пул!$E$5:$E$300,$B162,Пул!$L$5:$L$300,"Закрыт"),8)))</f>
        <v/>
      </c>
      <c r="H162" s="342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339">
        <f>IF($B163="","",IF(COUNTIFS(Пул!$E$5:$E$300,$B163,Пул!$L$5:$L$300,"Закрыт")=0,"",ROUND(SUMIFS(Пул!$J$5:$J$300,Пул!$E$5:$E$300,$B163,Пул!$L$5:$L$300,"Закрыт"),8)))</f>
        <v/>
      </c>
      <c r="H163" s="340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341">
        <f>IF($B164="","",IF(COUNTIFS(Пул!$E$5:$E$300,$B164,Пул!$L$5:$L$300,"Закрыт")=0,"",ROUND(SUMIFS(Пул!$J$5:$J$300,Пул!$E$5:$E$300,$B164,Пул!$L$5:$L$300,"Закрыт"),8)))</f>
        <v/>
      </c>
      <c r="H164" s="342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339">
        <f>IF($B165="","",IF(COUNTIFS(Пул!$E$5:$E$300,$B165,Пул!$L$5:$L$300,"Закрыт")=0,"",ROUND(SUMIFS(Пул!$J$5:$J$300,Пул!$E$5:$E$300,$B165,Пул!$L$5:$L$300,"Закрыт"),8)))</f>
        <v/>
      </c>
      <c r="H165" s="340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341">
        <f>IF($B166="","",IF(COUNTIFS(Пул!$E$5:$E$300,$B166,Пул!$L$5:$L$300,"Закрыт")=0,"",ROUND(SUMIFS(Пул!$J$5:$J$300,Пул!$E$5:$E$300,$B166,Пул!$L$5:$L$300,"Закрыт"),8)))</f>
        <v/>
      </c>
      <c r="H166" s="342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339">
        <f>IF($B167="","",IF(COUNTIFS(Пул!$E$5:$E$300,$B167,Пул!$L$5:$L$300,"Закрыт")=0,"",ROUND(SUMIFS(Пул!$J$5:$J$300,Пул!$E$5:$E$300,$B167,Пул!$L$5:$L$300,"Закрыт"),8)))</f>
        <v/>
      </c>
      <c r="H167" s="340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341">
        <f>IF($B168="","",IF(COUNTIFS(Пул!$E$5:$E$300,$B168,Пул!$L$5:$L$300,"Закрыт")=0,"",ROUND(SUMIFS(Пул!$J$5:$J$300,Пул!$E$5:$E$300,$B168,Пул!$L$5:$L$300,"Закрыт"),8)))</f>
        <v/>
      </c>
      <c r="H168" s="342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339">
        <f>IF($B169="","",IF(COUNTIFS(Пул!$E$5:$E$300,$B169,Пул!$L$5:$L$300,"Закрыт")=0,"",ROUND(SUMIFS(Пул!$J$5:$J$300,Пул!$E$5:$E$300,$B169,Пул!$L$5:$L$300,"Закрыт"),8)))</f>
        <v/>
      </c>
      <c r="H169" s="340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341">
        <f>IF($B170="","",IF(COUNTIFS(Пул!$E$5:$E$300,$B170,Пул!$L$5:$L$300,"Закрыт")=0,"",ROUND(SUMIFS(Пул!$J$5:$J$300,Пул!$E$5:$E$300,$B170,Пул!$L$5:$L$300,"Закрыт"),8)))</f>
        <v/>
      </c>
      <c r="H170" s="342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339">
        <f>IF($B171="","",IF(COUNTIFS(Пул!$E$5:$E$300,$B171,Пул!$L$5:$L$300,"Закрыт")=0,"",ROUND(SUMIFS(Пул!$J$5:$J$300,Пул!$E$5:$E$300,$B171,Пул!$L$5:$L$300,"Закрыт"),8)))</f>
        <v/>
      </c>
      <c r="H171" s="340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341">
        <f>IF($B172="","",IF(COUNTIFS(Пул!$E$5:$E$300,$B172,Пул!$L$5:$L$300,"Закрыт")=0,"",ROUND(SUMIFS(Пул!$J$5:$J$300,Пул!$E$5:$E$300,$B172,Пул!$L$5:$L$300,"Закрыт"),8)))</f>
        <v/>
      </c>
      <c r="H172" s="342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339">
        <f>IF($B173="","",IF(COUNTIFS(Пул!$E$5:$E$300,$B173,Пул!$L$5:$L$300,"Закрыт")=0,"",ROUND(SUMIFS(Пул!$J$5:$J$300,Пул!$E$5:$E$300,$B173,Пул!$L$5:$L$300,"Закрыт"),8)))</f>
        <v/>
      </c>
      <c r="H173" s="340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341">
        <f>IF($B174="","",IF(COUNTIFS(Пул!$E$5:$E$300,$B174,Пул!$L$5:$L$300,"Закрыт")=0,"",ROUND(SUMIFS(Пул!$J$5:$J$300,Пул!$E$5:$E$300,$B174,Пул!$L$5:$L$300,"Закрыт"),8)))</f>
        <v/>
      </c>
      <c r="H174" s="342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339">
        <f>IF($B175="","",IF(COUNTIFS(Пул!$E$5:$E$300,$B175,Пул!$L$5:$L$300,"Закрыт")=0,"",ROUND(SUMIFS(Пул!$J$5:$J$300,Пул!$E$5:$E$300,$B175,Пул!$L$5:$L$300,"Закрыт"),8)))</f>
        <v/>
      </c>
      <c r="H175" s="340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341">
        <f>IF($B176="","",IF(COUNTIFS(Пул!$E$5:$E$300,$B176,Пул!$L$5:$L$300,"Закрыт")=0,"",ROUND(SUMIFS(Пул!$J$5:$J$300,Пул!$E$5:$E$300,$B176,Пул!$L$5:$L$300,"Закрыт"),8)))</f>
        <v/>
      </c>
      <c r="H176" s="342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339">
        <f>IF($B177="","",IF(COUNTIFS(Пул!$E$5:$E$300,$B177,Пул!$L$5:$L$300,"Закрыт")=0,"",ROUND(SUMIFS(Пул!$J$5:$J$300,Пул!$E$5:$E$300,$B177,Пул!$L$5:$L$300,"Закрыт"),8)))</f>
        <v/>
      </c>
      <c r="H177" s="340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341">
        <f>IF($B178="","",IF(COUNTIFS(Пул!$E$5:$E$300,$B178,Пул!$L$5:$L$300,"Закрыт")=0,"",ROUND(SUMIFS(Пул!$J$5:$J$300,Пул!$E$5:$E$300,$B178,Пул!$L$5:$L$300,"Закрыт"),8)))</f>
        <v/>
      </c>
      <c r="H178" s="342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339">
        <f>IF($B179="","",IF(COUNTIFS(Пул!$E$5:$E$300,$B179,Пул!$L$5:$L$300,"Закрыт")=0,"",ROUND(SUMIFS(Пул!$J$5:$J$300,Пул!$E$5:$E$300,$B179,Пул!$L$5:$L$300,"Закрыт"),8)))</f>
        <v/>
      </c>
      <c r="H179" s="340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341">
        <f>IF($B180="","",IF(COUNTIFS(Пул!$E$5:$E$300,$B180,Пул!$L$5:$L$300,"Закрыт")=0,"",ROUND(SUMIFS(Пул!$J$5:$J$300,Пул!$E$5:$E$300,$B180,Пул!$L$5:$L$300,"Закрыт"),8)))</f>
        <v/>
      </c>
      <c r="H180" s="342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339">
        <f>IF($B181="","",IF(COUNTIFS(Пул!$E$5:$E$300,$B181,Пул!$L$5:$L$300,"Закрыт")=0,"",ROUND(SUMIFS(Пул!$J$5:$J$300,Пул!$E$5:$E$300,$B181,Пул!$L$5:$L$300,"Закрыт"),8)))</f>
        <v/>
      </c>
      <c r="H181" s="340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341">
        <f>IF($B182="","",IF(COUNTIFS(Пул!$E$5:$E$300,$B182,Пул!$L$5:$L$300,"Закрыт")=0,"",ROUND(SUMIFS(Пул!$J$5:$J$300,Пул!$E$5:$E$300,$B182,Пул!$L$5:$L$300,"Закрыт"),8)))</f>
        <v/>
      </c>
      <c r="H182" s="342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339">
        <f>IF($B183="","",IF(COUNTIFS(Пул!$E$5:$E$300,$B183,Пул!$L$5:$L$300,"Закрыт")=0,"",ROUND(SUMIFS(Пул!$J$5:$J$300,Пул!$E$5:$E$300,$B183,Пул!$L$5:$L$300,"Закрыт"),8)))</f>
        <v/>
      </c>
      <c r="H183" s="340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341">
        <f>IF($B184="","",IF(COUNTIFS(Пул!$E$5:$E$300,$B184,Пул!$L$5:$L$300,"Закрыт")=0,"",ROUND(SUMIFS(Пул!$J$5:$J$300,Пул!$E$5:$E$300,$B184,Пул!$L$5:$L$300,"Закрыт"),8)))</f>
        <v/>
      </c>
      <c r="H184" s="342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339">
        <f>IF($B185="","",IF(COUNTIFS(Пул!$E$5:$E$300,$B185,Пул!$L$5:$L$300,"Закрыт")=0,"",ROUND(SUMIFS(Пул!$J$5:$J$300,Пул!$E$5:$E$300,$B185,Пул!$L$5:$L$300,"Закрыт"),8)))</f>
        <v/>
      </c>
      <c r="H185" s="340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341">
        <f>IF($B186="","",IF(COUNTIFS(Пул!$E$5:$E$300,$B186,Пул!$L$5:$L$300,"Закрыт")=0,"",ROUND(SUMIFS(Пул!$J$5:$J$300,Пул!$E$5:$E$300,$B186,Пул!$L$5:$L$300,"Закрыт"),8)))</f>
        <v/>
      </c>
      <c r="H186" s="342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339">
        <f>IF($B187="","",IF(COUNTIFS(Пул!$E$5:$E$300,$B187,Пул!$L$5:$L$300,"Закрыт")=0,"",ROUND(SUMIFS(Пул!$J$5:$J$300,Пул!$E$5:$E$300,$B187,Пул!$L$5:$L$300,"Закрыт"),8)))</f>
        <v/>
      </c>
      <c r="H187" s="340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341">
        <f>IF($B188="","",IF(COUNTIFS(Пул!$E$5:$E$300,$B188,Пул!$L$5:$L$300,"Закрыт")=0,"",ROUND(SUMIFS(Пул!$J$5:$J$300,Пул!$E$5:$E$300,$B188,Пул!$L$5:$L$300,"Закрыт"),8)))</f>
        <v/>
      </c>
      <c r="H188" s="342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339">
        <f>IF($B189="","",IF(COUNTIFS(Пул!$E$5:$E$300,$B189,Пул!$L$5:$L$300,"Закрыт")=0,"",ROUND(SUMIFS(Пул!$J$5:$J$300,Пул!$E$5:$E$300,$B189,Пул!$L$5:$L$300,"Закрыт"),8)))</f>
        <v/>
      </c>
      <c r="H189" s="340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341">
        <f>IF($B190="","",IF(COUNTIFS(Пул!$E$5:$E$300,$B190,Пул!$L$5:$L$300,"Закрыт")=0,"",ROUND(SUMIFS(Пул!$J$5:$J$300,Пул!$E$5:$E$300,$B190,Пул!$L$5:$L$300,"Закрыт"),8)))</f>
        <v/>
      </c>
      <c r="H190" s="342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339">
        <f>IF($B191="","",IF(COUNTIFS(Пул!$E$5:$E$300,$B191,Пул!$L$5:$L$300,"Закрыт")=0,"",ROUND(SUMIFS(Пул!$J$5:$J$300,Пул!$E$5:$E$300,$B191,Пул!$L$5:$L$300,"Закрыт"),8)))</f>
        <v/>
      </c>
      <c r="H191" s="340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341">
        <f>IF($B192="","",IF(COUNTIFS(Пул!$E$5:$E$300,$B192,Пул!$L$5:$L$300,"Закрыт")=0,"",ROUND(SUMIFS(Пул!$J$5:$J$300,Пул!$E$5:$E$300,$B192,Пул!$L$5:$L$300,"Закрыт"),8)))</f>
        <v/>
      </c>
      <c r="H192" s="342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339">
        <f>IF($B193="","",IF(COUNTIFS(Пул!$E$5:$E$300,$B193,Пул!$L$5:$L$300,"Закрыт")=0,"",ROUND(SUMIFS(Пул!$J$5:$J$300,Пул!$E$5:$E$300,$B193,Пул!$L$5:$L$300,"Закрыт"),8)))</f>
        <v/>
      </c>
      <c r="H193" s="340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341">
        <f>IF($B194="","",IF(COUNTIFS(Пул!$E$5:$E$300,$B194,Пул!$L$5:$L$300,"Закрыт")=0,"",ROUND(SUMIFS(Пул!$J$5:$J$300,Пул!$E$5:$E$300,$B194,Пул!$L$5:$L$300,"Закрыт"),8)))</f>
        <v/>
      </c>
      <c r="H194" s="342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339">
        <f>IF($B195="","",IF(COUNTIFS(Пул!$E$5:$E$300,$B195,Пул!$L$5:$L$300,"Закрыт")=0,"",ROUND(SUMIFS(Пул!$J$5:$J$300,Пул!$E$5:$E$300,$B195,Пул!$L$5:$L$300,"Закрыт"),8)))</f>
        <v/>
      </c>
      <c r="H195" s="340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341">
        <f>IF($B196="","",IF(COUNTIFS(Пул!$E$5:$E$300,$B196,Пул!$L$5:$L$300,"Закрыт")=0,"",ROUND(SUMIFS(Пул!$J$5:$J$300,Пул!$E$5:$E$300,$B196,Пул!$L$5:$L$300,"Закрыт"),8)))</f>
        <v/>
      </c>
      <c r="H196" s="342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339">
        <f>IF($B197="","",IF(COUNTIFS(Пул!$E$5:$E$300,$B197,Пул!$L$5:$L$300,"Закрыт")=0,"",ROUND(SUMIFS(Пул!$J$5:$J$300,Пул!$E$5:$E$300,$B197,Пул!$L$5:$L$300,"Закрыт"),8)))</f>
        <v/>
      </c>
      <c r="H197" s="340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341">
        <f>IF($B198="","",IF(COUNTIFS(Пул!$E$5:$E$300,$B198,Пул!$L$5:$L$300,"Закрыт")=0,"",ROUND(SUMIFS(Пул!$J$5:$J$300,Пул!$E$5:$E$300,$B198,Пул!$L$5:$L$300,"Закрыт"),8)))</f>
        <v/>
      </c>
      <c r="H198" s="342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339">
        <f>IF($B199="","",IF(COUNTIFS(Пул!$E$5:$E$300,$B199,Пул!$L$5:$L$300,"Закрыт")=0,"",ROUND(SUMIFS(Пул!$J$5:$J$300,Пул!$E$5:$E$300,$B199,Пул!$L$5:$L$300,"Закрыт"),8)))</f>
        <v/>
      </c>
      <c r="H199" s="340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341">
        <f>IF($B200="","",IF(COUNTIFS(Пул!$E$5:$E$300,$B200,Пул!$L$5:$L$300,"Закрыт")=0,"",ROUND(SUMIFS(Пул!$J$5:$J$300,Пул!$E$5:$E$300,$B200,Пул!$L$5:$L$300,"Закрыт"),8)))</f>
        <v/>
      </c>
      <c r="H200" s="342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339">
        <f>IF($B201="","",IF(COUNTIFS(Пул!$E$5:$E$300,$B201,Пул!$L$5:$L$300,"Закрыт")=0,"",ROUND(SUMIFS(Пул!$J$5:$J$300,Пул!$E$5:$E$300,$B201,Пул!$L$5:$L$300,"Закрыт"),8)))</f>
        <v/>
      </c>
      <c r="H201" s="340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341">
        <f>IF($B202="","",IF(COUNTIFS(Пул!$E$5:$E$300,$B202,Пул!$L$5:$L$300,"Закрыт")=0,"",ROUND(SUMIFS(Пул!$J$5:$J$300,Пул!$E$5:$E$300,$B202,Пул!$L$5:$L$300,"Закрыт"),8)))</f>
        <v/>
      </c>
      <c r="H202" s="342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339">
        <f>IF($B203="","",IF(COUNTIFS(Пул!$E$5:$E$300,$B203,Пул!$L$5:$L$300,"Закрыт")=0,"",ROUND(SUMIFS(Пул!$J$5:$J$300,Пул!$E$5:$E$300,$B203,Пул!$L$5:$L$300,"Закрыт"),8)))</f>
        <v/>
      </c>
      <c r="H203" s="340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341">
        <f>IF($B204="","",IF(COUNTIFS(Пул!$E$5:$E$300,$B204,Пул!$L$5:$L$300,"Закрыт")=0,"",ROUND(SUMIFS(Пул!$J$5:$J$300,Пул!$E$5:$E$300,$B204,Пул!$L$5:$L$300,"Закрыт"),8)))</f>
        <v/>
      </c>
      <c r="H204" s="342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339">
        <f>IF($B205="","",IF(COUNTIFS(Пул!$E$5:$E$300,$B205,Пул!$L$5:$L$300,"Закрыт")=0,"",ROUND(SUMIFS(Пул!$J$5:$J$300,Пул!$E$5:$E$300,$B205,Пул!$L$5:$L$300,"Закрыт"),8)))</f>
        <v/>
      </c>
      <c r="H205" s="340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341">
        <f>IF($B206="","",IF(COUNTIFS(Пул!$E$5:$E$300,$B206,Пул!$L$5:$L$300,"Закрыт")=0,"",ROUND(SUMIFS(Пул!$J$5:$J$300,Пул!$E$5:$E$300,$B206,Пул!$L$5:$L$300,"Закрыт"),8)))</f>
        <v/>
      </c>
      <c r="H206" s="342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339">
        <f>IF($B207="","",IF(COUNTIFS(Пул!$E$5:$E$300,$B207,Пул!$L$5:$L$300,"Закрыт")=0,"",ROUND(SUMIFS(Пул!$J$5:$J$300,Пул!$E$5:$E$300,$B207,Пул!$L$5:$L$300,"Закрыт"),8)))</f>
        <v/>
      </c>
      <c r="H207" s="340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341">
        <f>IF($B208="","",IF(COUNTIFS(Пул!$E$5:$E$300,$B208,Пул!$L$5:$L$300,"Закрыт")=0,"",ROUND(SUMIFS(Пул!$J$5:$J$300,Пул!$E$5:$E$300,$B208,Пул!$L$5:$L$300,"Закрыт"),8)))</f>
        <v/>
      </c>
      <c r="H208" s="342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339">
        <f>IF($B209="","",IF(COUNTIFS(Пул!$E$5:$E$300,$B209,Пул!$L$5:$L$300,"Закрыт")=0,"",ROUND(SUMIFS(Пул!$J$5:$J$300,Пул!$E$5:$E$300,$B209,Пул!$L$5:$L$300,"Закрыт"),8)))</f>
        <v/>
      </c>
      <c r="H209" s="340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341">
        <f>IF($B210="","",IF(COUNTIFS(Пул!$E$5:$E$300,$B210,Пул!$L$5:$L$300,"Закрыт")=0,"",ROUND(SUMIFS(Пул!$J$5:$J$300,Пул!$E$5:$E$300,$B210,Пул!$L$5:$L$300,"Закрыт"),8)))</f>
        <v/>
      </c>
      <c r="H210" s="342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339">
        <f>IF($B211="","",IF(COUNTIFS(Пул!$E$5:$E$300,$B211,Пул!$L$5:$L$300,"Закрыт")=0,"",ROUND(SUMIFS(Пул!$J$5:$J$300,Пул!$E$5:$E$300,$B211,Пул!$L$5:$L$300,"Закрыт"),8)))</f>
        <v/>
      </c>
      <c r="H211" s="340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341">
        <f>IF($B212="","",IF(COUNTIFS(Пул!$E$5:$E$300,$B212,Пул!$L$5:$L$300,"Закрыт")=0,"",ROUND(SUMIFS(Пул!$J$5:$J$300,Пул!$E$5:$E$300,$B212,Пул!$L$5:$L$300,"Закрыт"),8)))</f>
        <v/>
      </c>
      <c r="H212" s="342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339">
        <f>IF($B213="","",IF(COUNTIFS(Пул!$E$5:$E$300,$B213,Пул!$L$5:$L$300,"Закрыт")=0,"",ROUND(SUMIFS(Пул!$J$5:$J$300,Пул!$E$5:$E$300,$B213,Пул!$L$5:$L$300,"Закрыт"),8)))</f>
        <v/>
      </c>
      <c r="H213" s="340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341">
        <f>IF($B214="","",IF(COUNTIFS(Пул!$E$5:$E$300,$B214,Пул!$L$5:$L$300,"Закрыт")=0,"",ROUND(SUMIFS(Пул!$J$5:$J$300,Пул!$E$5:$E$300,$B214,Пул!$L$5:$L$300,"Закрыт"),8)))</f>
        <v/>
      </c>
      <c r="H214" s="342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339">
        <f>IF($B215="","",IF(COUNTIFS(Пул!$E$5:$E$300,$B215,Пул!$L$5:$L$300,"Закрыт")=0,"",ROUND(SUMIFS(Пул!$J$5:$J$300,Пул!$E$5:$E$300,$B215,Пул!$L$5:$L$300,"Закрыт"),8)))</f>
        <v/>
      </c>
      <c r="H215" s="340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341">
        <f>IF($B216="","",IF(COUNTIFS(Пул!$E$5:$E$300,$B216,Пул!$L$5:$L$300,"Закрыт")=0,"",ROUND(SUMIFS(Пул!$J$5:$J$300,Пул!$E$5:$E$300,$B216,Пул!$L$5:$L$300,"Закрыт"),8)))</f>
        <v/>
      </c>
      <c r="H216" s="342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339">
        <f>IF($B217="","",IF(COUNTIFS(Пул!$E$5:$E$300,$B217,Пул!$L$5:$L$300,"Закрыт")=0,"",ROUND(SUMIFS(Пул!$J$5:$J$300,Пул!$E$5:$E$300,$B217,Пул!$L$5:$L$300,"Закрыт"),8)))</f>
        <v/>
      </c>
      <c r="H217" s="340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341">
        <f>IF($B218="","",IF(COUNTIFS(Пул!$E$5:$E$300,$B218,Пул!$L$5:$L$300,"Закрыт")=0,"",ROUND(SUMIFS(Пул!$J$5:$J$300,Пул!$E$5:$E$300,$B218,Пул!$L$5:$L$300,"Закрыт"),8)))</f>
        <v/>
      </c>
      <c r="H218" s="342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339">
        <f>IF($B219="","",IF(COUNTIFS(Пул!$E$5:$E$300,$B219,Пул!$L$5:$L$300,"Закрыт")=0,"",ROUND(SUMIFS(Пул!$J$5:$J$300,Пул!$E$5:$E$300,$B219,Пул!$L$5:$L$300,"Закрыт"),8)))</f>
        <v/>
      </c>
      <c r="H219" s="340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341">
        <f>IF($B220="","",IF(COUNTIFS(Пул!$E$5:$E$300,$B220,Пул!$L$5:$L$300,"Закрыт")=0,"",ROUND(SUMIFS(Пул!$J$5:$J$300,Пул!$E$5:$E$300,$B220,Пул!$L$5:$L$300,"Закрыт"),8)))</f>
        <v/>
      </c>
      <c r="H220" s="342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339">
        <f>IF($B221="","",IF(COUNTIFS(Пул!$E$5:$E$300,$B221,Пул!$L$5:$L$300,"Закрыт")=0,"",ROUND(SUMIFS(Пул!$J$5:$J$300,Пул!$E$5:$E$300,$B221,Пул!$L$5:$L$300,"Закрыт"),8)))</f>
        <v/>
      </c>
      <c r="H221" s="340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341">
        <f>IF($B222="","",IF(COUNTIFS(Пул!$E$5:$E$300,$B222,Пул!$L$5:$L$300,"Закрыт")=0,"",ROUND(SUMIFS(Пул!$J$5:$J$300,Пул!$E$5:$E$300,$B222,Пул!$L$5:$L$300,"Закрыт"),8)))</f>
        <v/>
      </c>
      <c r="H222" s="342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339">
        <f>IF($B223="","",IF(COUNTIFS(Пул!$E$5:$E$300,$B223,Пул!$L$5:$L$300,"Закрыт")=0,"",ROUND(SUMIFS(Пул!$J$5:$J$300,Пул!$E$5:$E$300,$B223,Пул!$L$5:$L$300,"Закрыт"),8)))</f>
        <v/>
      </c>
      <c r="H223" s="340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341">
        <f>IF($B224="","",IF(COUNTIFS(Пул!$E$5:$E$300,$B224,Пул!$L$5:$L$300,"Закрыт")=0,"",ROUND(SUMIFS(Пул!$J$5:$J$300,Пул!$E$5:$E$300,$B224,Пул!$L$5:$L$300,"Закрыт"),8)))</f>
        <v/>
      </c>
      <c r="H224" s="342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339">
        <f>IF($B225="","",IF(COUNTIFS(Пул!$E$5:$E$300,$B225,Пул!$L$5:$L$300,"Закрыт")=0,"",ROUND(SUMIFS(Пул!$J$5:$J$300,Пул!$E$5:$E$300,$B225,Пул!$L$5:$L$300,"Закрыт"),8)))</f>
        <v/>
      </c>
      <c r="H225" s="340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341">
        <f>IF($B226="","",IF(COUNTIFS(Пул!$E$5:$E$300,$B226,Пул!$L$5:$L$300,"Закрыт")=0,"",ROUND(SUMIFS(Пул!$J$5:$J$300,Пул!$E$5:$E$300,$B226,Пул!$L$5:$L$300,"Закрыт"),8)))</f>
        <v/>
      </c>
      <c r="H226" s="342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339">
        <f>IF($B227="","",IF(COUNTIFS(Пул!$E$5:$E$300,$B227,Пул!$L$5:$L$300,"Закрыт")=0,"",ROUND(SUMIFS(Пул!$J$5:$J$300,Пул!$E$5:$E$300,$B227,Пул!$L$5:$L$300,"Закрыт"),8)))</f>
        <v/>
      </c>
      <c r="H227" s="340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341">
        <f>IF($B228="","",IF(COUNTIFS(Пул!$E$5:$E$300,$B228,Пул!$L$5:$L$300,"Закрыт")=0,"",ROUND(SUMIFS(Пул!$J$5:$J$300,Пул!$E$5:$E$300,$B228,Пул!$L$5:$L$300,"Закрыт"),8)))</f>
        <v/>
      </c>
      <c r="H228" s="342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339">
        <f>IF($B229="","",IF(COUNTIFS(Пул!$E$5:$E$300,$B229,Пул!$L$5:$L$300,"Закрыт")=0,"",ROUND(SUMIFS(Пул!$J$5:$J$300,Пул!$E$5:$E$300,$B229,Пул!$L$5:$L$300,"Закрыт"),8)))</f>
        <v/>
      </c>
      <c r="H229" s="340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341">
        <f>IF($B230="","",IF(COUNTIFS(Пул!$E$5:$E$300,$B230,Пул!$L$5:$L$300,"Закрыт")=0,"",ROUND(SUMIFS(Пул!$J$5:$J$300,Пул!$E$5:$E$300,$B230,Пул!$L$5:$L$300,"Закрыт"),8)))</f>
        <v/>
      </c>
      <c r="H230" s="342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339">
        <f>IF($B231="","",IF(COUNTIFS(Пул!$E$5:$E$300,$B231,Пул!$L$5:$L$300,"Закрыт")=0,"",ROUND(SUMIFS(Пул!$J$5:$J$300,Пул!$E$5:$E$300,$B231,Пул!$L$5:$L$300,"Закрыт"),8)))</f>
        <v/>
      </c>
      <c r="H231" s="340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341">
        <f>IF($B232="","",IF(COUNTIFS(Пул!$E$5:$E$300,$B232,Пул!$L$5:$L$300,"Закрыт")=0,"",ROUND(SUMIFS(Пул!$J$5:$J$300,Пул!$E$5:$E$300,$B232,Пул!$L$5:$L$300,"Закрыт"),8)))</f>
        <v/>
      </c>
      <c r="H232" s="342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339">
        <f>IF($B233="","",IF(COUNTIFS(Пул!$E$5:$E$300,$B233,Пул!$L$5:$L$300,"Закрыт")=0,"",ROUND(SUMIFS(Пул!$J$5:$J$300,Пул!$E$5:$E$300,$B233,Пул!$L$5:$L$300,"Закрыт"),8)))</f>
        <v/>
      </c>
      <c r="H233" s="340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341">
        <f>IF($B234="","",IF(COUNTIFS(Пул!$E$5:$E$300,$B234,Пул!$L$5:$L$300,"Закрыт")=0,"",ROUND(SUMIFS(Пул!$J$5:$J$300,Пул!$E$5:$E$300,$B234,Пул!$L$5:$L$300,"Закрыт"),8)))</f>
        <v/>
      </c>
      <c r="H234" s="342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339">
        <f>IF($B235="","",IF(COUNTIFS(Пул!$E$5:$E$300,$B235,Пул!$L$5:$L$300,"Закрыт")=0,"",ROUND(SUMIFS(Пул!$J$5:$J$300,Пул!$E$5:$E$300,$B235,Пул!$L$5:$L$300,"Закрыт"),8)))</f>
        <v/>
      </c>
      <c r="H235" s="340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341">
        <f>IF($B236="","",IF(COUNTIFS(Пул!$E$5:$E$300,$B236,Пул!$L$5:$L$300,"Закрыт")=0,"",ROUND(SUMIFS(Пул!$J$5:$J$300,Пул!$E$5:$E$300,$B236,Пул!$L$5:$L$300,"Закрыт"),8)))</f>
        <v/>
      </c>
      <c r="H236" s="342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339">
        <f>IF($B237="","",IF(COUNTIFS(Пул!$E$5:$E$300,$B237,Пул!$L$5:$L$300,"Закрыт")=0,"",ROUND(SUMIFS(Пул!$J$5:$J$300,Пул!$E$5:$E$300,$B237,Пул!$L$5:$L$300,"Закрыт"),8)))</f>
        <v/>
      </c>
      <c r="H237" s="340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341">
        <f>IF($B238="","",IF(COUNTIFS(Пул!$E$5:$E$300,$B238,Пул!$L$5:$L$300,"Закрыт")=0,"",ROUND(SUMIFS(Пул!$J$5:$J$300,Пул!$E$5:$E$300,$B238,Пул!$L$5:$L$300,"Закрыт"),8)))</f>
        <v/>
      </c>
      <c r="H238" s="342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339">
        <f>IF($B239="","",IF(COUNTIFS(Пул!$E$5:$E$300,$B239,Пул!$L$5:$L$300,"Закрыт")=0,"",ROUND(SUMIFS(Пул!$J$5:$J$300,Пул!$E$5:$E$300,$B239,Пул!$L$5:$L$300,"Закрыт"),8)))</f>
        <v/>
      </c>
      <c r="H239" s="340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341">
        <f>IF($B240="","",IF(COUNTIFS(Пул!$E$5:$E$300,$B240,Пул!$L$5:$L$300,"Закрыт")=0,"",ROUND(SUMIFS(Пул!$J$5:$J$300,Пул!$E$5:$E$300,$B240,Пул!$L$5:$L$300,"Закрыт"),8)))</f>
        <v/>
      </c>
      <c r="H240" s="342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339">
        <f>IF($B241="","",IF(COUNTIFS(Пул!$E$5:$E$300,$B241,Пул!$L$5:$L$300,"Закрыт")=0,"",ROUND(SUMIFS(Пул!$J$5:$J$300,Пул!$E$5:$E$300,$B241,Пул!$L$5:$L$300,"Закрыт"),8)))</f>
        <v/>
      </c>
      <c r="H241" s="340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341">
        <f>IF($B242="","",IF(COUNTIFS(Пул!$E$5:$E$300,$B242,Пул!$L$5:$L$300,"Закрыт")=0,"",ROUND(SUMIFS(Пул!$J$5:$J$300,Пул!$E$5:$E$300,$B242,Пул!$L$5:$L$300,"Закрыт"),8)))</f>
        <v/>
      </c>
      <c r="H242" s="342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339">
        <f>IF($B243="","",IF(COUNTIFS(Пул!$E$5:$E$300,$B243,Пул!$L$5:$L$300,"Закрыт")=0,"",ROUND(SUMIFS(Пул!$J$5:$J$300,Пул!$E$5:$E$300,$B243,Пул!$L$5:$L$300,"Закрыт"),8)))</f>
        <v/>
      </c>
      <c r="H243" s="340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341">
        <f>IF($B244="","",IF(COUNTIFS(Пул!$E$5:$E$300,$B244,Пул!$L$5:$L$300,"Закрыт")=0,"",ROUND(SUMIFS(Пул!$J$5:$J$300,Пул!$E$5:$E$300,$B244,Пул!$L$5:$L$300,"Закрыт"),8)))</f>
        <v/>
      </c>
      <c r="H244" s="342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339">
        <f>IF($B245="","",IF(COUNTIFS(Пул!$E$5:$E$300,$B245,Пул!$L$5:$L$300,"Закрыт")=0,"",ROUND(SUMIFS(Пул!$J$5:$J$300,Пул!$E$5:$E$300,$B245,Пул!$L$5:$L$300,"Закрыт"),8)))</f>
        <v/>
      </c>
      <c r="H245" s="340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341">
        <f>IF($B246="","",IF(COUNTIFS(Пул!$E$5:$E$300,$B246,Пул!$L$5:$L$300,"Закрыт")=0,"",ROUND(SUMIFS(Пул!$J$5:$J$300,Пул!$E$5:$E$300,$B246,Пул!$L$5:$L$300,"Закрыт"),8)))</f>
        <v/>
      </c>
      <c r="H246" s="342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339">
        <f>IF($B247="","",IF(COUNTIFS(Пул!$E$5:$E$300,$B247,Пул!$L$5:$L$300,"Закрыт")=0,"",ROUND(SUMIFS(Пул!$J$5:$J$300,Пул!$E$5:$E$300,$B247,Пул!$L$5:$L$300,"Закрыт"),8)))</f>
        <v/>
      </c>
      <c r="H247" s="340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341">
        <f>IF($B248="","",IF(COUNTIFS(Пул!$E$5:$E$300,$B248,Пул!$L$5:$L$300,"Закрыт")=0,"",ROUND(SUMIFS(Пул!$J$5:$J$300,Пул!$E$5:$E$300,$B248,Пул!$L$5:$L$300,"Закрыт"),8)))</f>
        <v/>
      </c>
      <c r="H248" s="342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339">
        <f>IF($B249="","",IF(COUNTIFS(Пул!$E$5:$E$300,$B249,Пул!$L$5:$L$300,"Закрыт")=0,"",ROUND(SUMIFS(Пул!$J$5:$J$300,Пул!$E$5:$E$300,$B249,Пул!$L$5:$L$300,"Закрыт"),8)))</f>
        <v/>
      </c>
      <c r="H249" s="340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341">
        <f>IF($B250="","",IF(COUNTIFS(Пул!$E$5:$E$300,$B250,Пул!$L$5:$L$300,"Закрыт")=0,"",ROUND(SUMIFS(Пул!$J$5:$J$300,Пул!$E$5:$E$300,$B250,Пул!$L$5:$L$300,"Закрыт"),8)))</f>
        <v/>
      </c>
      <c r="H250" s="342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339">
        <f>IF($B251="","",IF(COUNTIFS(Пул!$E$5:$E$300,$B251,Пул!$L$5:$L$300,"Закрыт")=0,"",ROUND(SUMIFS(Пул!$J$5:$J$300,Пул!$E$5:$E$300,$B251,Пул!$L$5:$L$300,"Закрыт"),8)))</f>
        <v/>
      </c>
      <c r="H251" s="340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341">
        <f>IF($B252="","",IF(COUNTIFS(Пул!$E$5:$E$300,$B252,Пул!$L$5:$L$300,"Закрыт")=0,"",ROUND(SUMIFS(Пул!$J$5:$J$300,Пул!$E$5:$E$300,$B252,Пул!$L$5:$L$300,"Закрыт"),8)))</f>
        <v/>
      </c>
      <c r="H252" s="342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339">
        <f>IF($B253="","",IF(COUNTIFS(Пул!$E$5:$E$300,$B253,Пул!$L$5:$L$300,"Закрыт")=0,"",ROUND(SUMIFS(Пул!$J$5:$J$300,Пул!$E$5:$E$300,$B253,Пул!$L$5:$L$300,"Закрыт"),8)))</f>
        <v/>
      </c>
      <c r="H253" s="340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341">
        <f>IF($B254="","",IF(COUNTIFS(Пул!$E$5:$E$300,$B254,Пул!$L$5:$L$300,"Закрыт")=0,"",ROUND(SUMIFS(Пул!$J$5:$J$300,Пул!$E$5:$E$300,$B254,Пул!$L$5:$L$300,"Закрыт"),8)))</f>
        <v/>
      </c>
      <c r="H254" s="342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339">
        <f>IF($B255="","",IF(COUNTIFS(Пул!$E$5:$E$300,$B255,Пул!$L$5:$L$300,"Закрыт")=0,"",ROUND(SUMIFS(Пул!$J$5:$J$300,Пул!$E$5:$E$300,$B255,Пул!$L$5:$L$300,"Закрыт"),8)))</f>
        <v/>
      </c>
      <c r="H255" s="340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341">
        <f>IF($B256="","",IF(COUNTIFS(Пул!$E$5:$E$300,$B256,Пул!$L$5:$L$300,"Закрыт")=0,"",ROUND(SUMIFS(Пул!$J$5:$J$300,Пул!$E$5:$E$300,$B256,Пул!$L$5:$L$300,"Закрыт"),8)))</f>
        <v/>
      </c>
      <c r="H256" s="342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339">
        <f>IF($B257="","",IF(COUNTIFS(Пул!$E$5:$E$300,$B257,Пул!$L$5:$L$300,"Закрыт")=0,"",ROUND(SUMIFS(Пул!$J$5:$J$300,Пул!$E$5:$E$300,$B257,Пул!$L$5:$L$300,"Закрыт"),8)))</f>
        <v/>
      </c>
      <c r="H257" s="340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341">
        <f>IF($B258="","",IF(COUNTIFS(Пул!$E$5:$E$300,$B258,Пул!$L$5:$L$300,"Закрыт")=0,"",ROUND(SUMIFS(Пул!$J$5:$J$300,Пул!$E$5:$E$300,$B258,Пул!$L$5:$L$300,"Закрыт"),8)))</f>
        <v/>
      </c>
      <c r="H258" s="342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339">
        <f>IF($B259="","",IF(COUNTIFS(Пул!$E$5:$E$300,$B259,Пул!$L$5:$L$300,"Закрыт")=0,"",ROUND(SUMIFS(Пул!$J$5:$J$300,Пул!$E$5:$E$300,$B259,Пул!$L$5:$L$300,"Закрыт"),8)))</f>
        <v/>
      </c>
      <c r="H259" s="340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341">
        <f>IF($B260="","",IF(COUNTIFS(Пул!$E$5:$E$300,$B260,Пул!$L$5:$L$300,"Закрыт")=0,"",ROUND(SUMIFS(Пул!$J$5:$J$300,Пул!$E$5:$E$300,$B260,Пул!$L$5:$L$300,"Закрыт"),8)))</f>
        <v/>
      </c>
      <c r="H260" s="342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339">
        <f>IF($B261="","",IF(COUNTIFS(Пул!$E$5:$E$300,$B261,Пул!$L$5:$L$300,"Закрыт")=0,"",ROUND(SUMIFS(Пул!$J$5:$J$300,Пул!$E$5:$E$300,$B261,Пул!$L$5:$L$300,"Закрыт"),8)))</f>
        <v/>
      </c>
      <c r="H261" s="340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341">
        <f>IF($B262="","",IF(COUNTIFS(Пул!$E$5:$E$300,$B262,Пул!$L$5:$L$300,"Закрыт")=0,"",ROUND(SUMIFS(Пул!$J$5:$J$300,Пул!$E$5:$E$300,$B262,Пул!$L$5:$L$300,"Закрыт"),8)))</f>
        <v/>
      </c>
      <c r="H262" s="342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339">
        <f>IF($B263="","",IF(COUNTIFS(Пул!$E$5:$E$300,$B263,Пул!$L$5:$L$300,"Закрыт")=0,"",ROUND(SUMIFS(Пул!$J$5:$J$300,Пул!$E$5:$E$300,$B263,Пул!$L$5:$L$300,"Закрыт"),8)))</f>
        <v/>
      </c>
      <c r="H263" s="340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341">
        <f>IF($B264="","",IF(COUNTIFS(Пул!$E$5:$E$300,$B264,Пул!$L$5:$L$300,"Закрыт")=0,"",ROUND(SUMIFS(Пул!$J$5:$J$300,Пул!$E$5:$E$300,$B264,Пул!$L$5:$L$300,"Закрыт"),8)))</f>
        <v/>
      </c>
      <c r="H264" s="342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339">
        <f>IF($B265="","",IF(COUNTIFS(Пул!$E$5:$E$300,$B265,Пул!$L$5:$L$300,"Закрыт")=0,"",ROUND(SUMIFS(Пул!$J$5:$J$300,Пул!$E$5:$E$300,$B265,Пул!$L$5:$L$300,"Закрыт"),8)))</f>
        <v/>
      </c>
      <c r="H265" s="340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341">
        <f>IF($B266="","",IF(COUNTIFS(Пул!$E$5:$E$300,$B266,Пул!$L$5:$L$300,"Закрыт")=0,"",ROUND(SUMIFS(Пул!$J$5:$J$300,Пул!$E$5:$E$300,$B266,Пул!$L$5:$L$300,"Закрыт"),8)))</f>
        <v/>
      </c>
      <c r="H266" s="342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339">
        <f>IF($B267="","",IF(COUNTIFS(Пул!$E$5:$E$300,$B267,Пул!$L$5:$L$300,"Закрыт")=0,"",ROUND(SUMIFS(Пул!$J$5:$J$300,Пул!$E$5:$E$300,$B267,Пул!$L$5:$L$300,"Закрыт"),8)))</f>
        <v/>
      </c>
      <c r="H267" s="340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341">
        <f>IF($B268="","",IF(COUNTIFS(Пул!$E$5:$E$300,$B268,Пул!$L$5:$L$300,"Закрыт")=0,"",ROUND(SUMIFS(Пул!$J$5:$J$300,Пул!$E$5:$E$300,$B268,Пул!$L$5:$L$300,"Закрыт"),8)))</f>
        <v/>
      </c>
      <c r="H268" s="342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339">
        <f>IF($B269="","",IF(COUNTIFS(Пул!$E$5:$E$300,$B269,Пул!$L$5:$L$300,"Закрыт")=0,"",ROUND(SUMIFS(Пул!$J$5:$J$300,Пул!$E$5:$E$300,$B269,Пул!$L$5:$L$300,"Закрыт"),8)))</f>
        <v/>
      </c>
      <c r="H269" s="340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341">
        <f>IF($B270="","",IF(COUNTIFS(Пул!$E$5:$E$300,$B270,Пул!$L$5:$L$300,"Закрыт")=0,"",ROUND(SUMIFS(Пул!$J$5:$J$300,Пул!$E$5:$E$300,$B270,Пул!$L$5:$L$300,"Закрыт"),8)))</f>
        <v/>
      </c>
      <c r="H270" s="342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339">
        <f>IF($B271="","",IF(COUNTIFS(Пул!$E$5:$E$300,$B271,Пул!$L$5:$L$300,"Закрыт")=0,"",ROUND(SUMIFS(Пул!$J$5:$J$300,Пул!$E$5:$E$300,$B271,Пул!$L$5:$L$300,"Закрыт"),8)))</f>
        <v/>
      </c>
      <c r="H271" s="340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341">
        <f>IF($B272="","",IF(COUNTIFS(Пул!$E$5:$E$300,$B272,Пул!$L$5:$L$300,"Закрыт")=0,"",ROUND(SUMIFS(Пул!$J$5:$J$300,Пул!$E$5:$E$300,$B272,Пул!$L$5:$L$300,"Закрыт"),8)))</f>
        <v/>
      </c>
      <c r="H272" s="342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339">
        <f>IF($B273="","",IF(COUNTIFS(Пул!$E$5:$E$300,$B273,Пул!$L$5:$L$300,"Закрыт")=0,"",ROUND(SUMIFS(Пул!$J$5:$J$300,Пул!$E$5:$E$300,$B273,Пул!$L$5:$L$300,"Закрыт"),8)))</f>
        <v/>
      </c>
      <c r="H273" s="340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341">
        <f>IF($B274="","",IF(COUNTIFS(Пул!$E$5:$E$300,$B274,Пул!$L$5:$L$300,"Закрыт")=0,"",ROUND(SUMIFS(Пул!$J$5:$J$300,Пул!$E$5:$E$300,$B274,Пул!$L$5:$L$300,"Закрыт"),8)))</f>
        <v/>
      </c>
      <c r="H274" s="342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339">
        <f>IF($B275="","",IF(COUNTIFS(Пул!$E$5:$E$300,$B275,Пул!$L$5:$L$300,"Закрыт")=0,"",ROUND(SUMIFS(Пул!$J$5:$J$300,Пул!$E$5:$E$300,$B275,Пул!$L$5:$L$300,"Закрыт"),8)))</f>
        <v/>
      </c>
      <c r="H275" s="340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341">
        <f>IF($B276="","",IF(COUNTIFS(Пул!$E$5:$E$300,$B276,Пул!$L$5:$L$300,"Закрыт")=0,"",ROUND(SUMIFS(Пул!$J$5:$J$300,Пул!$E$5:$E$300,$B276,Пул!$L$5:$L$300,"Закрыт"),8)))</f>
        <v/>
      </c>
      <c r="H276" s="342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339">
        <f>IF($B277="","",IF(COUNTIFS(Пул!$E$5:$E$300,$B277,Пул!$L$5:$L$300,"Закрыт")=0,"",ROUND(SUMIFS(Пул!$J$5:$J$300,Пул!$E$5:$E$300,$B277,Пул!$L$5:$L$300,"Закрыт"),8)))</f>
        <v/>
      </c>
      <c r="H277" s="340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341">
        <f>IF($B278="","",IF(COUNTIFS(Пул!$E$5:$E$300,$B278,Пул!$L$5:$L$300,"Закрыт")=0,"",ROUND(SUMIFS(Пул!$J$5:$J$300,Пул!$E$5:$E$300,$B278,Пул!$L$5:$L$300,"Закрыт"),8)))</f>
        <v/>
      </c>
      <c r="H278" s="342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339">
        <f>IF($B279="","",IF(COUNTIFS(Пул!$E$5:$E$300,$B279,Пул!$L$5:$L$300,"Закрыт")=0,"",ROUND(SUMIFS(Пул!$J$5:$J$300,Пул!$E$5:$E$300,$B279,Пул!$L$5:$L$300,"Закрыт"),8)))</f>
        <v/>
      </c>
      <c r="H279" s="340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341">
        <f>IF($B280="","",IF(COUNTIFS(Пул!$E$5:$E$300,$B280,Пул!$L$5:$L$300,"Закрыт")=0,"",ROUND(SUMIFS(Пул!$J$5:$J$300,Пул!$E$5:$E$300,$B280,Пул!$L$5:$L$300,"Закрыт"),8)))</f>
        <v/>
      </c>
      <c r="H280" s="342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339">
        <f>IF($B281="","",IF(COUNTIFS(Пул!$E$5:$E$300,$B281,Пул!$L$5:$L$300,"Закрыт")=0,"",ROUND(SUMIFS(Пул!$J$5:$J$300,Пул!$E$5:$E$300,$B281,Пул!$L$5:$L$300,"Закрыт"),8)))</f>
        <v/>
      </c>
      <c r="H281" s="340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341">
        <f>IF($B282="","",IF(COUNTIFS(Пул!$E$5:$E$300,$B282,Пул!$L$5:$L$300,"Закрыт")=0,"",ROUND(SUMIFS(Пул!$J$5:$J$300,Пул!$E$5:$E$300,$B282,Пул!$L$5:$L$300,"Закрыт"),8)))</f>
        <v/>
      </c>
      <c r="H282" s="342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339">
        <f>IF($B283="","",IF(COUNTIFS(Пул!$E$5:$E$300,$B283,Пул!$L$5:$L$300,"Закрыт")=0,"",ROUND(SUMIFS(Пул!$J$5:$J$300,Пул!$E$5:$E$300,$B283,Пул!$L$5:$L$300,"Закрыт"),8)))</f>
        <v/>
      </c>
      <c r="H283" s="340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341">
        <f>IF($B284="","",IF(COUNTIFS(Пул!$E$5:$E$300,$B284,Пул!$L$5:$L$300,"Закрыт")=0,"",ROUND(SUMIFS(Пул!$J$5:$J$300,Пул!$E$5:$E$300,$B284,Пул!$L$5:$L$300,"Закрыт"),8)))</f>
        <v/>
      </c>
      <c r="H284" s="342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339">
        <f>IF($B285="","",IF(COUNTIFS(Пул!$E$5:$E$300,$B285,Пул!$L$5:$L$300,"Закрыт")=0,"",ROUND(SUMIFS(Пул!$J$5:$J$300,Пул!$E$5:$E$300,$B285,Пул!$L$5:$L$300,"Закрыт"),8)))</f>
        <v/>
      </c>
      <c r="H285" s="340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341">
        <f>IF($B286="","",IF(COUNTIFS(Пул!$E$5:$E$300,$B286,Пул!$L$5:$L$300,"Закрыт")=0,"",ROUND(SUMIFS(Пул!$J$5:$J$300,Пул!$E$5:$E$300,$B286,Пул!$L$5:$L$300,"Закрыт"),8)))</f>
        <v/>
      </c>
      <c r="H286" s="342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339">
        <f>IF($B287="","",IF(COUNTIFS(Пул!$E$5:$E$300,$B287,Пул!$L$5:$L$300,"Закрыт")=0,"",ROUND(SUMIFS(Пул!$J$5:$J$300,Пул!$E$5:$E$300,$B287,Пул!$L$5:$L$300,"Закрыт"),8)))</f>
        <v/>
      </c>
      <c r="H287" s="340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341">
        <f>IF($B288="","",IF(COUNTIFS(Пул!$E$5:$E$300,$B288,Пул!$L$5:$L$300,"Закрыт")=0,"",ROUND(SUMIFS(Пул!$J$5:$J$300,Пул!$E$5:$E$300,$B288,Пул!$L$5:$L$300,"Закрыт"),8)))</f>
        <v/>
      </c>
      <c r="H288" s="342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339">
        <f>IF($B289="","",IF(COUNTIFS(Пул!$E$5:$E$300,$B289,Пул!$L$5:$L$300,"Закрыт")=0,"",ROUND(SUMIFS(Пул!$J$5:$J$300,Пул!$E$5:$E$300,$B289,Пул!$L$5:$L$300,"Закрыт"),8)))</f>
        <v/>
      </c>
      <c r="H289" s="340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341">
        <f>IF($B290="","",IF(COUNTIFS(Пул!$E$5:$E$300,$B290,Пул!$L$5:$L$300,"Закрыт")=0,"",ROUND(SUMIFS(Пул!$J$5:$J$300,Пул!$E$5:$E$300,$B290,Пул!$L$5:$L$300,"Закрыт"),8)))</f>
        <v/>
      </c>
      <c r="H290" s="342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339">
        <f>IF($B291="","",IF(COUNTIFS(Пул!$E$5:$E$300,$B291,Пул!$L$5:$L$300,"Закрыт")=0,"",ROUND(SUMIFS(Пул!$J$5:$J$300,Пул!$E$5:$E$300,$B291,Пул!$L$5:$L$300,"Закрыт"),8)))</f>
        <v/>
      </c>
      <c r="H291" s="340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341">
        <f>IF($B292="","",IF(COUNTIFS(Пул!$E$5:$E$300,$B292,Пул!$L$5:$L$300,"Закрыт")=0,"",ROUND(SUMIFS(Пул!$J$5:$J$300,Пул!$E$5:$E$300,$B292,Пул!$L$5:$L$300,"Закрыт"),8)))</f>
        <v/>
      </c>
      <c r="H292" s="342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339">
        <f>IF($B293="","",IF(COUNTIFS(Пул!$E$5:$E$300,$B293,Пул!$L$5:$L$300,"Закрыт")=0,"",ROUND(SUMIFS(Пул!$J$5:$J$300,Пул!$E$5:$E$300,$B293,Пул!$L$5:$L$300,"Закрыт"),8)))</f>
        <v/>
      </c>
      <c r="H293" s="340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341">
        <f>IF($B294="","",IF(COUNTIFS(Пул!$E$5:$E$300,$B294,Пул!$L$5:$L$300,"Закрыт")=0,"",ROUND(SUMIFS(Пул!$J$5:$J$300,Пул!$E$5:$E$300,$B294,Пул!$L$5:$L$300,"Закрыт"),8)))</f>
        <v/>
      </c>
      <c r="H294" s="342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339">
        <f>IF($B295="","",IF(COUNTIFS(Пул!$E$5:$E$300,$B295,Пул!$L$5:$L$300,"Закрыт")=0,"",ROUND(SUMIFS(Пул!$J$5:$J$300,Пул!$E$5:$E$300,$B295,Пул!$L$5:$L$300,"Закрыт"),8)))</f>
        <v/>
      </c>
      <c r="H295" s="340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341">
        <f>IF($B296="","",IF(COUNTIFS(Пул!$E$5:$E$300,$B296,Пул!$L$5:$L$300,"Закрыт")=0,"",ROUND(SUMIFS(Пул!$J$5:$J$300,Пул!$E$5:$E$300,$B296,Пул!$L$5:$L$300,"Закрыт"),8)))</f>
        <v/>
      </c>
      <c r="H296" s="342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339">
        <f>IF($B297="","",IF(COUNTIFS(Пул!$E$5:$E$300,$B297,Пул!$L$5:$L$300,"Закрыт")=0,"",ROUND(SUMIFS(Пул!$J$5:$J$300,Пул!$E$5:$E$300,$B297,Пул!$L$5:$L$300,"Закрыт"),8)))</f>
        <v/>
      </c>
      <c r="H297" s="340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341">
        <f>IF($B298="","",IF(COUNTIFS(Пул!$E$5:$E$300,$B298,Пул!$L$5:$L$300,"Закрыт")=0,"",ROUND(SUMIFS(Пул!$J$5:$J$300,Пул!$E$5:$E$300,$B298,Пул!$L$5:$L$300,"Закрыт"),8)))</f>
        <v/>
      </c>
      <c r="H298" s="342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339">
        <f>IF($B299="","",IF(COUNTIFS(Пул!$E$5:$E$300,$B299,Пул!$L$5:$L$300,"Закрыт")=0,"",ROUND(SUMIFS(Пул!$J$5:$J$300,Пул!$E$5:$E$300,$B299,Пул!$L$5:$L$300,"Закрыт"),8)))</f>
        <v/>
      </c>
      <c r="H299" s="340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341">
        <f>IF($B300="","",IF(COUNTIFS(Пул!$E$5:$E$300,$B300,Пул!$L$5:$L$300,"Закрыт")=0,"",ROUND(SUMIFS(Пул!$J$5:$J$300,Пул!$E$5:$E$300,$B300,Пул!$L$5:$L$300,"Закрыт"),8)))</f>
        <v/>
      </c>
      <c r="H300" s="342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0.1" customWidth="1" min="2" max="2"/>
    <col width="14" customWidth="1" min="3" max="3"/>
    <col width="12.9" customWidth="1" min="4" max="4"/>
    <col width="12.3" customWidth="1" min="5" max="5"/>
    <col width="18.2" customWidth="1" min="6" max="6"/>
    <col width="19.2" customWidth="1" min="7" max="7"/>
    <col width="19.2" customWidth="1" min="8" max="8"/>
    <col width="18.2" customWidth="1" min="9" max="9"/>
    <col width="18.2" customWidth="1" min="10" max="10"/>
    <col width="19.2" customWidth="1" min="11" max="11"/>
    <col width="15.8" customWidth="1" min="12" max="12"/>
    <col width="19.2" customWidth="1" min="13" max="13"/>
    <col width="18.2" customWidth="1" min="14" max="14"/>
    <col width="9.800000000000001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n"/>
      <c r="C5" s="314" t="n"/>
      <c r="D5" s="313" t="n"/>
      <c r="E5" s="315" t="n"/>
      <c r="F5" s="316" t="n"/>
      <c r="G5" s="317" t="n"/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n"/>
      <c r="C6" s="319" t="n"/>
      <c r="D6" s="318" t="n"/>
      <c r="E6" s="320" t="n"/>
      <c r="F6" s="321" t="n"/>
      <c r="G6" s="322" t="n"/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n"/>
      <c r="C7" s="314" t="n"/>
      <c r="D7" s="313" t="n"/>
      <c r="E7" s="315" t="n"/>
      <c r="F7" s="316" t="n"/>
      <c r="G7" s="317" t="n"/>
      <c r="H7" s="271">
        <f>IF(AND(ISNUMBER(F7),ISNUMBER(G7)),F7*G7,"")</f>
        <v/>
      </c>
      <c r="I7" s="316" t="n"/>
      <c r="J7" s="317" t="n"/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n"/>
      <c r="C8" s="319" t="n"/>
      <c r="D8" s="318" t="n"/>
      <c r="E8" s="320" t="n"/>
      <c r="F8" s="321" t="n"/>
      <c r="G8" s="322" t="n"/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n"/>
      <c r="C9" s="314" t="n"/>
      <c r="D9" s="313" t="n"/>
      <c r="E9" s="315" t="n"/>
      <c r="F9" s="316" t="n"/>
      <c r="G9" s="317" t="n"/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n"/>
      <c r="C10" s="319" t="n"/>
      <c r="D10" s="318" t="n"/>
      <c r="E10" s="320" t="n"/>
      <c r="F10" s="321" t="n"/>
      <c r="G10" s="322" t="n"/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n"/>
      <c r="C11" s="314" t="n"/>
      <c r="D11" s="313" t="n"/>
      <c r="E11" s="315" t="n"/>
      <c r="F11" s="316" t="n"/>
      <c r="G11" s="317" t="n"/>
      <c r="H11" s="271">
        <f>IF(AND(ISNUMBER(F11),ISNUMBER(G11)),F11*G11,"")</f>
        <v/>
      </c>
      <c r="I11" s="316" t="n"/>
      <c r="J11" s="317" t="n"/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n"/>
      <c r="C12" s="319" t="n"/>
      <c r="D12" s="318" t="n"/>
      <c r="E12" s="320" t="n"/>
      <c r="F12" s="321" t="n"/>
      <c r="G12" s="322" t="n"/>
      <c r="H12" s="271">
        <f>IF(AND(ISNUMBER(F12),ISNUMBER(G12)),F12*G12,"")</f>
        <v/>
      </c>
      <c r="I12" s="321" t="n"/>
      <c r="J12" s="322" t="n"/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n"/>
      <c r="C13" s="314" t="n"/>
      <c r="D13" s="313" t="n"/>
      <c r="E13" s="315" t="n"/>
      <c r="F13" s="316" t="n"/>
      <c r="G13" s="317" t="n"/>
      <c r="H13" s="271">
        <f>IF(AND(ISNUMBER(F13),ISNUMBER(G13)),F13*G13,"")</f>
        <v/>
      </c>
      <c r="I13" s="316" t="n"/>
      <c r="J13" s="317" t="n"/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n"/>
      <c r="C14" s="319" t="n"/>
      <c r="D14" s="318" t="n"/>
      <c r="E14" s="320" t="n"/>
      <c r="F14" s="321" t="n"/>
      <c r="G14" s="322" t="n"/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n"/>
      <c r="C15" s="314" t="n"/>
      <c r="D15" s="313" t="n"/>
      <c r="E15" s="315" t="n"/>
      <c r="F15" s="316" t="n"/>
      <c r="G15" s="317" t="n"/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n"/>
      <c r="C16" s="319" t="n"/>
      <c r="D16" s="318" t="n"/>
      <c r="E16" s="320" t="n"/>
      <c r="F16" s="321" t="n"/>
      <c r="G16" s="322" t="n"/>
      <c r="H16" s="271">
        <f>IF(AND(ISNUMBER(F16),ISNUMBER(G16)),F16*G16,"")</f>
        <v/>
      </c>
      <c r="I16" s="321" t="n"/>
      <c r="J16" s="322" t="n"/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n"/>
      <c r="C17" s="314" t="n"/>
      <c r="D17" s="313" t="n"/>
      <c r="E17" s="315" t="n"/>
      <c r="F17" s="316" t="n"/>
      <c r="G17" s="317" t="n"/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n"/>
      <c r="C18" s="319" t="n"/>
      <c r="D18" s="318" t="n"/>
      <c r="E18" s="320" t="n"/>
      <c r="F18" s="321" t="n"/>
      <c r="G18" s="322" t="n"/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n"/>
      <c r="C19" s="314" t="n"/>
      <c r="D19" s="313" t="n"/>
      <c r="E19" s="315" t="n"/>
      <c r="F19" s="316" t="n"/>
      <c r="G19" s="317" t="n"/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n"/>
      <c r="C20" s="319" t="n"/>
      <c r="D20" s="318" t="n"/>
      <c r="E20" s="320" t="n"/>
      <c r="F20" s="321" t="n"/>
      <c r="G20" s="322" t="n"/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n"/>
      <c r="C21" s="314" t="n"/>
      <c r="D21" s="313" t="n"/>
      <c r="E21" s="315" t="n"/>
      <c r="F21" s="316" t="n"/>
      <c r="G21" s="317" t="n"/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n"/>
      <c r="C22" s="319" t="n"/>
      <c r="D22" s="318" t="n"/>
      <c r="E22" s="320" t="n"/>
      <c r="F22" s="321" t="n"/>
      <c r="G22" s="322" t="n"/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n"/>
      <c r="C23" s="314" t="n"/>
      <c r="D23" s="313" t="n"/>
      <c r="E23" s="315" t="n"/>
      <c r="F23" s="316" t="n"/>
      <c r="G23" s="317" t="n"/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n"/>
      <c r="C24" s="319" t="n"/>
      <c r="D24" s="318" t="n"/>
      <c r="E24" s="320" t="n"/>
      <c r="F24" s="321" t="n"/>
      <c r="G24" s="322" t="n"/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5.6" customWidth="1" min="2" max="2"/>
    <col width="20.3" customWidth="1" min="3" max="3"/>
    <col width="19.2" customWidth="1" min="4" max="4"/>
    <col width="19.2" customWidth="1" min="5" max="5"/>
    <col width="20.3" customWidth="1" min="6" max="6"/>
    <col width="19.2" customWidth="1" min="7" max="7"/>
    <col width="20.3" customWidth="1" min="8" max="8"/>
    <col width="20.3" customWidth="1" min="9" max="9"/>
    <col width="21.4" customWidth="1" min="10" max="10"/>
    <col width="20.3" customWidth="1" min="11" max="11"/>
    <col width="9.800000000000001" customWidth="1" min="12" max="12"/>
    <col width="22.5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339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340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341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342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339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340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341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342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339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340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341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342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339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340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341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342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339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340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341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342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339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340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341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342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339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340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341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342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339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340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341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342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339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340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341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342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339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340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341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342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339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340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341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342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339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340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341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342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339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340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341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342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339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340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341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342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339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340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341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342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339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340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341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342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339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340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341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342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339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340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341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342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339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340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341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342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339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340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341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342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339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340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341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342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339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340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341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342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339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340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341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342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339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340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341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342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339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340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341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342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339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340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341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342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339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340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341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342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339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340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341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342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339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340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341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342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339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340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341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342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339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340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341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342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339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340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341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342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339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340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341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342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339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340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341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342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339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340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341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342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339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340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341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342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339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340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341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342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339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340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341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342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339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340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341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342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339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340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341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342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339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340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341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342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339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340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341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342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339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340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341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342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339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340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341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342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339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340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341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342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339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340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341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342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339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340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341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342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339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340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341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342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339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340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341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342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339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340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341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342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339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340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341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342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339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340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341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342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339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340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341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342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339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340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341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342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339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340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341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342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339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340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341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342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339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340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341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342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339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340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341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342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339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340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341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342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339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340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341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342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339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340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341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342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339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340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341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342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339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340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341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342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339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340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341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342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339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340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341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342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339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340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341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342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339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340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341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342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339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340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341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342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339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340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341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342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339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340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341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342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339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340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341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342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339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340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341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342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339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340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341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342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339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340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341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342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339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340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341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342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339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340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341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342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339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340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341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342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339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340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341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342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339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340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341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342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339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340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341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342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339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340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341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342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339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340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341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342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339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340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341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342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339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340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341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342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339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340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341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342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339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340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341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342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339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340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341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342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339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340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341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342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339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340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341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342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339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340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341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342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339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340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341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342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339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340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341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342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339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340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341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342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339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340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341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342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339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340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341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342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339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340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341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342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339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340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341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342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339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340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341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342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339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340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341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342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339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340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341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342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339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340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341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342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339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340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341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342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339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340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341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342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339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340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341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342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339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340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341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342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339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340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341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342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339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340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341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342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339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340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341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342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339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340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341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342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339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340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341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342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339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340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341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342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339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340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341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342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339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340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341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342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339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340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341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342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339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340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341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342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339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340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341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342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339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340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341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342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339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340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341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342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339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340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341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342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339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340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341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342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339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340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341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342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339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340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341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342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339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340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341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342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339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340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341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342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339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340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341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342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339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340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341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342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339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340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341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342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339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340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341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342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339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340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341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342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339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340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341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342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339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340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341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342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339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340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341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342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339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340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341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342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339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340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341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342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339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340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341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342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339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340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341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342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339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340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341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342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339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340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341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342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339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340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341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342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339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340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341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342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339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340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341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342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339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340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341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342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339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340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341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342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339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340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341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342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339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340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341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342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339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340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341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342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339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340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341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342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339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340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341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342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255B78"/>
    <outlinePr summaryBelow="1" summaryRight="1"/>
    <pageSetUpPr/>
  </sheetPr>
  <dimension ref="B1:E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1.2" customWidth="1" min="2" max="2"/>
    <col width="20.3" customWidth="1" min="3" max="3"/>
    <col width="20.3" customWidth="1" min="4" max="4"/>
    <col width="20.3" customWidth="1" min="5" max="5"/>
  </cols>
  <sheetData>
    <row r="1" ht="21" customHeight="1">
      <c r="B1" s="1" t="inlineStr">
        <is>
          <t>CRYPTO JOURNAL • БАЛАНС</t>
        </is>
      </c>
    </row>
    <row r="2" ht="21" customHeight="1"/>
    <row r="3" ht="10" customHeight="1"/>
    <row r="4" ht="28" customHeight="1">
      <c r="B4" s="345" t="inlineStr">
        <is>
          <t>Монета</t>
        </is>
      </c>
      <c r="C4" s="346" t="inlineStr">
        <is>
          <t>Пришло</t>
        </is>
      </c>
      <c r="D4" s="347" t="inlineStr">
        <is>
          <t>Ушло</t>
        </is>
      </c>
      <c r="E4" s="348" t="inlineStr">
        <is>
          <t>Дельта</t>
        </is>
      </c>
    </row>
    <row r="5" ht="22" customHeight="1">
      <c r="B5" s="315" t="n"/>
      <c r="C5" s="240">
        <f>IF($B5="","",ROUND(SUMIF(Торговля!$E$5:$E$300,$B5&amp;"/*",Торговля!$F$5:$F$300)+SUMIF(Торговля!$E$5:$E$300,"*/"&amp;$B5,Торговля!$K$5:$K$300)+SUMIF(Лэндинг!$E$5:$E$300,$B5&amp;"/*",Лэндинг!$F$5:$F$300)+SUMIF(Лэндинг!$E$5:$E$300,"*/"&amp;$B5,Лэндинг!$K$5:$K$300)+SUMIF(Закрытые!$E$5:$E$300,$B5&amp;"/*",Закрытые!$F$5:$F$300)+SUMIF(Закрытые!$E$5:$E$300,"*/"&amp;$B5,Закрытые!$K$5:$K$300)+SUMIF(История!$B$5:$B$300,$B5&amp;"/*",История!$C$5:$C$300)+SUMIF(История!$B$5:$B$300,"*/"&amp;$B5,История!$H$5:$H$300),8))</f>
        <v/>
      </c>
      <c r="D5" s="240">
        <f>IF($B5="","",ROUND(SUMIF(Торговля!$E$5:$E$300,$B5&amp;"/*",Торговля!$I$5:$I$300)+SUMIF(Торговля!$E$5:$E$300,"*/"&amp;$B5,Торговля!$H$5:$H$300)+SUMIF(Лэндинг!$E$5:$E$300,$B5&amp;"/*",Лэндинг!$I$5:$I$300)+SUMIF(Лэндинг!$E$5:$E$300,"*/"&amp;$B5,Лэндинг!$H$5:$H$300)+SUMIF(Закрытые!$E$5:$E$300,$B5&amp;"/*",Закрытые!$I$5:$I$300)+SUMIF(Закрытые!$E$5:$E$300,"*/"&amp;$B5,Закрытые!$H$5:$H$300)+SUMIF(История!$B$5:$B$300,$B5&amp;"/*",История!$F$5:$F$300)+SUMIF(История!$B$5:$B$300,"*/"&amp;$B5,История!$E$5:$E$300),8))</f>
        <v/>
      </c>
      <c r="E5" s="339">
        <f>IF($B5="","",ROUND(C5-D5,8))</f>
        <v/>
      </c>
    </row>
    <row r="6" ht="22" customHeight="1">
      <c r="B6" s="320" t="n"/>
      <c r="C6" s="240">
        <f>IF($B6="","",ROUND(SUMIF(Торговля!$E$5:$E$300,$B6&amp;"/*",Торговля!$F$5:$F$300)+SUMIF(Торговля!$E$5:$E$300,"*/"&amp;$B6,Торговля!$K$5:$K$300)+SUMIF(Лэндинг!$E$5:$E$300,$B6&amp;"/*",Лэндинг!$F$5:$F$300)+SUMIF(Лэндинг!$E$5:$E$300,"*/"&amp;$B6,Лэндинг!$K$5:$K$300)+SUMIF(Закрытые!$E$5:$E$300,$B6&amp;"/*",Закрытые!$F$5:$F$300)+SUMIF(Закрытые!$E$5:$E$300,"*/"&amp;$B6,Закрытые!$K$5:$K$300)+SUMIF(История!$B$5:$B$300,$B6&amp;"/*",История!$C$5:$C$300)+SUMIF(История!$B$5:$B$300,"*/"&amp;$B6,История!$H$5:$H$300),8))</f>
        <v/>
      </c>
      <c r="D6" s="240">
        <f>IF($B6="","",ROUND(SUMIF(Торговля!$E$5:$E$300,$B6&amp;"/*",Торговля!$I$5:$I$300)+SUMIF(Торговля!$E$5:$E$300,"*/"&amp;$B6,Торговля!$H$5:$H$300)+SUMIF(Лэндинг!$E$5:$E$300,$B6&amp;"/*",Лэндинг!$I$5:$I$300)+SUMIF(Лэндинг!$E$5:$E$300,"*/"&amp;$B6,Лэндинг!$H$5:$H$300)+SUMIF(Закрытые!$E$5:$E$300,$B6&amp;"/*",Закрытые!$I$5:$I$300)+SUMIF(Закрытые!$E$5:$E$300,"*/"&amp;$B6,Закрытые!$H$5:$H$300)+SUMIF(История!$B$5:$B$300,$B6&amp;"/*",История!$F$5:$F$300)+SUMIF(История!$B$5:$B$300,"*/"&amp;$B6,История!$E$5:$E$300),8))</f>
        <v/>
      </c>
      <c r="E6" s="339">
        <f>IF($B6="","",ROUND(C6-D6,8))</f>
        <v/>
      </c>
    </row>
    <row r="7" ht="22" customHeight="1">
      <c r="B7" s="315" t="n"/>
      <c r="C7" s="240">
        <f>IF($B7="","",ROUND(SUMIF(Торговля!$E$5:$E$300,$B7&amp;"/*",Торговля!$F$5:$F$300)+SUMIF(Торговля!$E$5:$E$300,"*/"&amp;$B7,Торговля!$K$5:$K$300)+SUMIF(Лэндинг!$E$5:$E$300,$B7&amp;"/*",Лэндинг!$F$5:$F$300)+SUMIF(Лэндинг!$E$5:$E$300,"*/"&amp;$B7,Лэндинг!$K$5:$K$300)+SUMIF(Закрытые!$E$5:$E$300,$B7&amp;"/*",Закрытые!$F$5:$F$300)+SUMIF(Закрытые!$E$5:$E$300,"*/"&amp;$B7,Закрытые!$K$5:$K$300)+SUMIF(История!$B$5:$B$300,$B7&amp;"/*",История!$C$5:$C$300)+SUMIF(История!$B$5:$B$300,"*/"&amp;$B7,История!$H$5:$H$300),8))</f>
        <v/>
      </c>
      <c r="D7" s="240">
        <f>IF($B7="","",ROUND(SUMIF(Торговля!$E$5:$E$300,$B7&amp;"/*",Торговля!$I$5:$I$300)+SUMIF(Торговля!$E$5:$E$300,"*/"&amp;$B7,Торговля!$H$5:$H$300)+SUMIF(Лэндинг!$E$5:$E$300,$B7&amp;"/*",Лэндинг!$I$5:$I$300)+SUMIF(Лэндинг!$E$5:$E$300,"*/"&amp;$B7,Лэндинг!$H$5:$H$300)+SUMIF(Закрытые!$E$5:$E$300,$B7&amp;"/*",Закрытые!$I$5:$I$300)+SUMIF(Закрытые!$E$5:$E$300,"*/"&amp;$B7,Закрытые!$H$5:$H$300)+SUMIF(История!$B$5:$B$300,$B7&amp;"/*",История!$F$5:$F$300)+SUMIF(История!$B$5:$B$300,"*/"&amp;$B7,История!$E$5:$E$300),8))</f>
        <v/>
      </c>
      <c r="E7" s="339">
        <f>IF($B7="","",ROUND(C7-D7,8))</f>
        <v/>
      </c>
    </row>
    <row r="8" ht="22" customHeight="1">
      <c r="B8" s="320" t="n"/>
      <c r="C8" s="240">
        <f>IF($B8="","",ROUND(SUMIF(Торговля!$E$5:$E$300,$B8&amp;"/*",Торговля!$F$5:$F$300)+SUMIF(Торговля!$E$5:$E$300,"*/"&amp;$B8,Торговля!$K$5:$K$300)+SUMIF(Лэндинг!$E$5:$E$300,$B8&amp;"/*",Лэндинг!$F$5:$F$300)+SUMIF(Лэндинг!$E$5:$E$300,"*/"&amp;$B8,Лэндинг!$K$5:$K$300)+SUMIF(Закрытые!$E$5:$E$300,$B8&amp;"/*",Закрытые!$F$5:$F$300)+SUMIF(Закрытые!$E$5:$E$300,"*/"&amp;$B8,Закрытые!$K$5:$K$300)+SUMIF(История!$B$5:$B$300,$B8&amp;"/*",История!$C$5:$C$300)+SUMIF(История!$B$5:$B$300,"*/"&amp;$B8,История!$H$5:$H$300),8))</f>
        <v/>
      </c>
      <c r="D8" s="240">
        <f>IF($B8="","",ROUND(SUMIF(Торговля!$E$5:$E$300,$B8&amp;"/*",Торговля!$I$5:$I$300)+SUMIF(Торговля!$E$5:$E$300,"*/"&amp;$B8,Торговля!$H$5:$H$300)+SUMIF(Лэндинг!$E$5:$E$300,$B8&amp;"/*",Лэндинг!$I$5:$I$300)+SUMIF(Лэндинг!$E$5:$E$300,"*/"&amp;$B8,Лэндинг!$H$5:$H$300)+SUMIF(Закрытые!$E$5:$E$300,$B8&amp;"/*",Закрытые!$I$5:$I$300)+SUMIF(Закрытые!$E$5:$E$300,"*/"&amp;$B8,Закрытые!$H$5:$H$300)+SUMIF(История!$B$5:$B$300,$B8&amp;"/*",История!$F$5:$F$300)+SUMIF(История!$B$5:$B$300,"*/"&amp;$B8,История!$E$5:$E$300),8))</f>
        <v/>
      </c>
      <c r="E8" s="339">
        <f>IF($B8="","",ROUND(C8-D8,8))</f>
        <v/>
      </c>
    </row>
    <row r="9" ht="22" customHeight="1">
      <c r="B9" s="315" t="n"/>
      <c r="C9" s="240">
        <f>IF($B9="","",ROUND(SUMIF(Торговля!$E$5:$E$300,$B9&amp;"/*",Торговля!$F$5:$F$300)+SUMIF(Торговля!$E$5:$E$300,"*/"&amp;$B9,Торговля!$K$5:$K$300)+SUMIF(Лэндинг!$E$5:$E$300,$B9&amp;"/*",Лэндинг!$F$5:$F$300)+SUMIF(Лэндинг!$E$5:$E$300,"*/"&amp;$B9,Лэндинг!$K$5:$K$300)+SUMIF(Закрытые!$E$5:$E$300,$B9&amp;"/*",Закрытые!$F$5:$F$300)+SUMIF(Закрытые!$E$5:$E$300,"*/"&amp;$B9,Закрытые!$K$5:$K$300)+SUMIF(История!$B$5:$B$300,$B9&amp;"/*",История!$C$5:$C$300)+SUMIF(История!$B$5:$B$300,"*/"&amp;$B9,История!$H$5:$H$300),8))</f>
        <v/>
      </c>
      <c r="D9" s="240">
        <f>IF($B9="","",ROUND(SUMIF(Торговля!$E$5:$E$300,$B9&amp;"/*",Торговля!$I$5:$I$300)+SUMIF(Торговля!$E$5:$E$300,"*/"&amp;$B9,Торговля!$H$5:$H$300)+SUMIF(Лэндинг!$E$5:$E$300,$B9&amp;"/*",Лэндинг!$I$5:$I$300)+SUMIF(Лэндинг!$E$5:$E$300,"*/"&amp;$B9,Лэндинг!$H$5:$H$300)+SUMIF(Закрытые!$E$5:$E$300,$B9&amp;"/*",Закрытые!$I$5:$I$300)+SUMIF(Закрытые!$E$5:$E$300,"*/"&amp;$B9,Закрытые!$H$5:$H$300)+SUMIF(История!$B$5:$B$300,$B9&amp;"/*",История!$F$5:$F$300)+SUMIF(История!$B$5:$B$300,"*/"&amp;$B9,История!$E$5:$E$300),8))</f>
        <v/>
      </c>
      <c r="E9" s="339">
        <f>IF($B9="","",ROUND(C9-D9,8))</f>
        <v/>
      </c>
    </row>
    <row r="10" ht="22" customHeight="1">
      <c r="B10" s="320" t="n"/>
      <c r="C10" s="240">
        <f>IF($B10="","",ROUND(SUMIF(Торговля!$E$5:$E$300,$B10&amp;"/*",Торговля!$F$5:$F$300)+SUMIF(Торговля!$E$5:$E$300,"*/"&amp;$B10,Торговля!$K$5:$K$300)+SUMIF(Лэндинг!$E$5:$E$300,$B10&amp;"/*",Лэндинг!$F$5:$F$300)+SUMIF(Лэндинг!$E$5:$E$300,"*/"&amp;$B10,Лэндинг!$K$5:$K$300)+SUMIF(Закрытые!$E$5:$E$300,$B10&amp;"/*",Закрытые!$F$5:$F$300)+SUMIF(Закрытые!$E$5:$E$300,"*/"&amp;$B10,Закрытые!$K$5:$K$300)+SUMIF(История!$B$5:$B$300,$B10&amp;"/*",История!$C$5:$C$300)+SUMIF(История!$B$5:$B$300,"*/"&amp;$B10,История!$H$5:$H$300),8))</f>
        <v/>
      </c>
      <c r="D10" s="240">
        <f>IF($B10="","",ROUND(SUMIF(Торговля!$E$5:$E$300,$B10&amp;"/*",Торговля!$I$5:$I$300)+SUMIF(Торговля!$E$5:$E$300,"*/"&amp;$B10,Торговля!$H$5:$H$300)+SUMIF(Лэндинг!$E$5:$E$300,$B10&amp;"/*",Лэндинг!$I$5:$I$300)+SUMIF(Лэндинг!$E$5:$E$300,"*/"&amp;$B10,Лэндинг!$H$5:$H$300)+SUMIF(Закрытые!$E$5:$E$300,$B10&amp;"/*",Закрытые!$I$5:$I$300)+SUMIF(Закрытые!$E$5:$E$300,"*/"&amp;$B10,Закрытые!$H$5:$H$300)+SUMIF(История!$B$5:$B$300,$B10&amp;"/*",История!$F$5:$F$300)+SUMIF(История!$B$5:$B$300,"*/"&amp;$B10,История!$E$5:$E$300),8))</f>
        <v/>
      </c>
      <c r="E10" s="339">
        <f>IF($B10="","",ROUND(C10-D10,8))</f>
        <v/>
      </c>
    </row>
    <row r="11" ht="22" customHeight="1">
      <c r="B11" s="315" t="n"/>
      <c r="C11" s="240">
        <f>IF($B11="","",ROUND(SUMIF(Торговля!$E$5:$E$300,$B11&amp;"/*",Торговля!$F$5:$F$300)+SUMIF(Торговля!$E$5:$E$300,"*/"&amp;$B11,Торговля!$K$5:$K$300)+SUMIF(Лэндинг!$E$5:$E$300,$B11&amp;"/*",Лэндинг!$F$5:$F$300)+SUMIF(Лэндинг!$E$5:$E$300,"*/"&amp;$B11,Лэндинг!$K$5:$K$300)+SUMIF(Закрытые!$E$5:$E$300,$B11&amp;"/*",Закрытые!$F$5:$F$300)+SUMIF(Закрытые!$E$5:$E$300,"*/"&amp;$B11,Закрытые!$K$5:$K$300)+SUMIF(История!$B$5:$B$300,$B11&amp;"/*",История!$C$5:$C$300)+SUMIF(История!$B$5:$B$300,"*/"&amp;$B11,История!$H$5:$H$300),8))</f>
        <v/>
      </c>
      <c r="D11" s="240">
        <f>IF($B11="","",ROUND(SUMIF(Торговля!$E$5:$E$300,$B11&amp;"/*",Торговля!$I$5:$I$300)+SUMIF(Торговля!$E$5:$E$300,"*/"&amp;$B11,Торговля!$H$5:$H$300)+SUMIF(Лэндинг!$E$5:$E$300,$B11&amp;"/*",Лэндинг!$I$5:$I$300)+SUMIF(Лэндинг!$E$5:$E$300,"*/"&amp;$B11,Лэндинг!$H$5:$H$300)+SUMIF(Закрытые!$E$5:$E$300,$B11&amp;"/*",Закрытые!$I$5:$I$300)+SUMIF(Закрытые!$E$5:$E$300,"*/"&amp;$B11,Закрытые!$H$5:$H$300)+SUMIF(История!$B$5:$B$300,$B11&amp;"/*",История!$F$5:$F$300)+SUMIF(История!$B$5:$B$300,"*/"&amp;$B11,История!$E$5:$E$300),8))</f>
        <v/>
      </c>
      <c r="E11" s="339">
        <f>IF($B11="","",ROUND(C11-D11,8))</f>
        <v/>
      </c>
    </row>
    <row r="12" ht="22" customHeight="1">
      <c r="B12" s="320" t="n"/>
      <c r="C12" s="240">
        <f>IF($B12="","",ROUND(SUMIF(Торговля!$E$5:$E$300,$B12&amp;"/*",Торговля!$F$5:$F$300)+SUMIF(Торговля!$E$5:$E$300,"*/"&amp;$B12,Торговля!$K$5:$K$300)+SUMIF(Лэндинг!$E$5:$E$300,$B12&amp;"/*",Лэндинг!$F$5:$F$300)+SUMIF(Лэндинг!$E$5:$E$300,"*/"&amp;$B12,Лэндинг!$K$5:$K$300)+SUMIF(Закрытые!$E$5:$E$300,$B12&amp;"/*",Закрытые!$F$5:$F$300)+SUMIF(Закрытые!$E$5:$E$300,"*/"&amp;$B12,Закрытые!$K$5:$K$300)+SUMIF(История!$B$5:$B$300,$B12&amp;"/*",История!$C$5:$C$300)+SUMIF(История!$B$5:$B$300,"*/"&amp;$B12,История!$H$5:$H$300),8))</f>
        <v/>
      </c>
      <c r="D12" s="240">
        <f>IF($B12="","",ROUND(SUMIF(Торговля!$E$5:$E$300,$B12&amp;"/*",Торговля!$I$5:$I$300)+SUMIF(Торговля!$E$5:$E$300,"*/"&amp;$B12,Торговля!$H$5:$H$300)+SUMIF(Лэндинг!$E$5:$E$300,$B12&amp;"/*",Лэндинг!$I$5:$I$300)+SUMIF(Лэндинг!$E$5:$E$300,"*/"&amp;$B12,Лэндинг!$H$5:$H$300)+SUMIF(Закрытые!$E$5:$E$300,$B12&amp;"/*",Закрытые!$I$5:$I$300)+SUMIF(Закрытые!$E$5:$E$300,"*/"&amp;$B12,Закрытые!$H$5:$H$300)+SUMIF(История!$B$5:$B$300,$B12&amp;"/*",История!$F$5:$F$300)+SUMIF(История!$B$5:$B$300,"*/"&amp;$B12,История!$E$5:$E$300),8))</f>
        <v/>
      </c>
      <c r="E12" s="339">
        <f>IF($B12="","",ROUND(C12-D12,8))</f>
        <v/>
      </c>
    </row>
    <row r="13" ht="22" customHeight="1">
      <c r="B13" s="315" t="n"/>
      <c r="C13" s="240">
        <f>IF($B13="","",ROUND(SUMIF(Торговля!$E$5:$E$300,$B13&amp;"/*",Торговля!$F$5:$F$300)+SUMIF(Торговля!$E$5:$E$300,"*/"&amp;$B13,Торговля!$K$5:$K$300)+SUMIF(Лэндинг!$E$5:$E$300,$B13&amp;"/*",Лэндинг!$F$5:$F$300)+SUMIF(Лэндинг!$E$5:$E$300,"*/"&amp;$B13,Лэндинг!$K$5:$K$300)+SUMIF(Закрытые!$E$5:$E$300,$B13&amp;"/*",Закрытые!$F$5:$F$300)+SUMIF(Закрытые!$E$5:$E$300,"*/"&amp;$B13,Закрытые!$K$5:$K$300)+SUMIF(История!$B$5:$B$300,$B13&amp;"/*",История!$C$5:$C$300)+SUMIF(История!$B$5:$B$300,"*/"&amp;$B13,История!$H$5:$H$300),8))</f>
        <v/>
      </c>
      <c r="D13" s="240">
        <f>IF($B13="","",ROUND(SUMIF(Торговля!$E$5:$E$300,$B13&amp;"/*",Торговля!$I$5:$I$300)+SUMIF(Торговля!$E$5:$E$300,"*/"&amp;$B13,Торговля!$H$5:$H$300)+SUMIF(Лэндинг!$E$5:$E$300,$B13&amp;"/*",Лэндинг!$I$5:$I$300)+SUMIF(Лэндинг!$E$5:$E$300,"*/"&amp;$B13,Лэндинг!$H$5:$H$300)+SUMIF(Закрытые!$E$5:$E$300,$B13&amp;"/*",Закрытые!$I$5:$I$300)+SUMIF(Закрытые!$E$5:$E$300,"*/"&amp;$B13,Закрытые!$H$5:$H$300)+SUMIF(История!$B$5:$B$300,$B13&amp;"/*",История!$F$5:$F$300)+SUMIF(История!$B$5:$B$300,"*/"&amp;$B13,История!$E$5:$E$300),8))</f>
        <v/>
      </c>
      <c r="E13" s="339">
        <f>IF($B13="","",ROUND(C13-D13,8))</f>
        <v/>
      </c>
    </row>
    <row r="14" ht="22" customHeight="1">
      <c r="B14" s="320" t="n"/>
      <c r="C14" s="240">
        <f>IF($B14="","",ROUND(SUMIF(Торговля!$E$5:$E$300,$B14&amp;"/*",Торговля!$F$5:$F$300)+SUMIF(Торговля!$E$5:$E$300,"*/"&amp;$B14,Торговля!$K$5:$K$300)+SUMIF(Лэндинг!$E$5:$E$300,$B14&amp;"/*",Лэндинг!$F$5:$F$300)+SUMIF(Лэндинг!$E$5:$E$300,"*/"&amp;$B14,Лэндинг!$K$5:$K$300)+SUMIF(Закрытые!$E$5:$E$300,$B14&amp;"/*",Закрытые!$F$5:$F$300)+SUMIF(Закрытые!$E$5:$E$300,"*/"&amp;$B14,Закрытые!$K$5:$K$300)+SUMIF(История!$B$5:$B$300,$B14&amp;"/*",История!$C$5:$C$300)+SUMIF(История!$B$5:$B$300,"*/"&amp;$B14,История!$H$5:$H$300),8))</f>
        <v/>
      </c>
      <c r="D14" s="240">
        <f>IF($B14="","",ROUND(SUMIF(Торговля!$E$5:$E$300,$B14&amp;"/*",Торговля!$I$5:$I$300)+SUMIF(Торговля!$E$5:$E$300,"*/"&amp;$B14,Торговля!$H$5:$H$300)+SUMIF(Лэндинг!$E$5:$E$300,$B14&amp;"/*",Лэндинг!$I$5:$I$300)+SUMIF(Лэндинг!$E$5:$E$300,"*/"&amp;$B14,Лэндинг!$H$5:$H$300)+SUMIF(Закрытые!$E$5:$E$300,$B14&amp;"/*",Закрытые!$I$5:$I$300)+SUMIF(Закрытые!$E$5:$E$300,"*/"&amp;$B14,Закрытые!$H$5:$H$300)+SUMIF(История!$B$5:$B$300,$B14&amp;"/*",История!$F$5:$F$300)+SUMIF(История!$B$5:$B$300,"*/"&amp;$B14,История!$E$5:$E$300),8))</f>
        <v/>
      </c>
      <c r="E14" s="339">
        <f>IF($B14="","",ROUND(C14-D14,8))</f>
        <v/>
      </c>
    </row>
    <row r="15" ht="22" customHeight="1">
      <c r="B15" s="315" t="n"/>
      <c r="C15" s="240">
        <f>IF($B15="","",ROUND(SUMIF(Торговля!$E$5:$E$300,$B15&amp;"/*",Торговля!$F$5:$F$300)+SUMIF(Торговля!$E$5:$E$300,"*/"&amp;$B15,Торговля!$K$5:$K$300)+SUMIF(Лэндинг!$E$5:$E$300,$B15&amp;"/*",Лэндинг!$F$5:$F$300)+SUMIF(Лэндинг!$E$5:$E$300,"*/"&amp;$B15,Лэндинг!$K$5:$K$300)+SUMIF(Закрытые!$E$5:$E$300,$B15&amp;"/*",Закрытые!$F$5:$F$300)+SUMIF(Закрытые!$E$5:$E$300,"*/"&amp;$B15,Закрытые!$K$5:$K$300)+SUMIF(История!$B$5:$B$300,$B15&amp;"/*",История!$C$5:$C$300)+SUMIF(История!$B$5:$B$300,"*/"&amp;$B15,История!$H$5:$H$300),8))</f>
        <v/>
      </c>
      <c r="D15" s="240">
        <f>IF($B15="","",ROUND(SUMIF(Торговля!$E$5:$E$300,$B15&amp;"/*",Торговля!$I$5:$I$300)+SUMIF(Торговля!$E$5:$E$300,"*/"&amp;$B15,Торговля!$H$5:$H$300)+SUMIF(Лэндинг!$E$5:$E$300,$B15&amp;"/*",Лэндинг!$I$5:$I$300)+SUMIF(Лэндинг!$E$5:$E$300,"*/"&amp;$B15,Лэндинг!$H$5:$H$300)+SUMIF(Закрытые!$E$5:$E$300,$B15&amp;"/*",Закрытые!$I$5:$I$300)+SUMIF(Закрытые!$E$5:$E$300,"*/"&amp;$B15,Закрытые!$H$5:$H$300)+SUMIF(История!$B$5:$B$300,$B15&amp;"/*",История!$F$5:$F$300)+SUMIF(История!$B$5:$B$300,"*/"&amp;$B15,История!$E$5:$E$300),8))</f>
        <v/>
      </c>
      <c r="E15" s="339">
        <f>IF($B15="","",ROUND(C15-D15,8))</f>
        <v/>
      </c>
    </row>
    <row r="16" ht="22" customHeight="1">
      <c r="B16" s="320" t="n"/>
      <c r="C16" s="240">
        <f>IF($B16="","",ROUND(SUMIF(Торговля!$E$5:$E$300,$B16&amp;"/*",Торговля!$F$5:$F$300)+SUMIF(Торговля!$E$5:$E$300,"*/"&amp;$B16,Торговля!$K$5:$K$300)+SUMIF(Лэндинг!$E$5:$E$300,$B16&amp;"/*",Лэндинг!$F$5:$F$300)+SUMIF(Лэндинг!$E$5:$E$300,"*/"&amp;$B16,Лэндинг!$K$5:$K$300)+SUMIF(Закрытые!$E$5:$E$300,$B16&amp;"/*",Закрытые!$F$5:$F$300)+SUMIF(Закрытые!$E$5:$E$300,"*/"&amp;$B16,Закрытые!$K$5:$K$300)+SUMIF(История!$B$5:$B$300,$B16&amp;"/*",История!$C$5:$C$300)+SUMIF(История!$B$5:$B$300,"*/"&amp;$B16,История!$H$5:$H$300),8))</f>
        <v/>
      </c>
      <c r="D16" s="240">
        <f>IF($B16="","",ROUND(SUMIF(Торговля!$E$5:$E$300,$B16&amp;"/*",Торговля!$I$5:$I$300)+SUMIF(Торговля!$E$5:$E$300,"*/"&amp;$B16,Торговля!$H$5:$H$300)+SUMIF(Лэндинг!$E$5:$E$300,$B16&amp;"/*",Лэндинг!$I$5:$I$300)+SUMIF(Лэндинг!$E$5:$E$300,"*/"&amp;$B16,Лэндинг!$H$5:$H$300)+SUMIF(Закрытые!$E$5:$E$300,$B16&amp;"/*",Закрытые!$I$5:$I$300)+SUMIF(Закрытые!$E$5:$E$300,"*/"&amp;$B16,Закрытые!$H$5:$H$300)+SUMIF(История!$B$5:$B$300,$B16&amp;"/*",История!$F$5:$F$300)+SUMIF(История!$B$5:$B$300,"*/"&amp;$B16,История!$E$5:$E$300),8))</f>
        <v/>
      </c>
      <c r="E16" s="339">
        <f>IF($B16="","",ROUND(C16-D16,8))</f>
        <v/>
      </c>
    </row>
    <row r="17" ht="22" customHeight="1">
      <c r="B17" s="315" t="n"/>
      <c r="C17" s="240">
        <f>IF($B17="","",ROUND(SUMIF(Торговля!$E$5:$E$300,$B17&amp;"/*",Торговля!$F$5:$F$300)+SUMIF(Торговля!$E$5:$E$300,"*/"&amp;$B17,Торговля!$K$5:$K$300)+SUMIF(Лэндинг!$E$5:$E$300,$B17&amp;"/*",Лэндинг!$F$5:$F$300)+SUMIF(Лэндинг!$E$5:$E$300,"*/"&amp;$B17,Лэндинг!$K$5:$K$300)+SUMIF(Закрытые!$E$5:$E$300,$B17&amp;"/*",Закрытые!$F$5:$F$300)+SUMIF(Закрытые!$E$5:$E$300,"*/"&amp;$B17,Закрытые!$K$5:$K$300)+SUMIF(История!$B$5:$B$300,$B17&amp;"/*",История!$C$5:$C$300)+SUMIF(История!$B$5:$B$300,"*/"&amp;$B17,История!$H$5:$H$300),8))</f>
        <v/>
      </c>
      <c r="D17" s="240">
        <f>IF($B17="","",ROUND(SUMIF(Торговля!$E$5:$E$300,$B17&amp;"/*",Торговля!$I$5:$I$300)+SUMIF(Торговля!$E$5:$E$300,"*/"&amp;$B17,Торговля!$H$5:$H$300)+SUMIF(Лэндинг!$E$5:$E$300,$B17&amp;"/*",Лэндинг!$I$5:$I$300)+SUMIF(Лэндинг!$E$5:$E$300,"*/"&amp;$B17,Лэндинг!$H$5:$H$300)+SUMIF(Закрытые!$E$5:$E$300,$B17&amp;"/*",Закрытые!$I$5:$I$300)+SUMIF(Закрытые!$E$5:$E$300,"*/"&amp;$B17,Закрытые!$H$5:$H$300)+SUMIF(История!$B$5:$B$300,$B17&amp;"/*",История!$F$5:$F$300)+SUMIF(История!$B$5:$B$300,"*/"&amp;$B17,История!$E$5:$E$300),8))</f>
        <v/>
      </c>
      <c r="E17" s="339">
        <f>IF($B17="","",ROUND(C17-D17,8))</f>
        <v/>
      </c>
    </row>
    <row r="18" ht="22" customHeight="1">
      <c r="B18" s="320" t="n"/>
      <c r="C18" s="240">
        <f>IF($B18="","",ROUND(SUMIF(Торговля!$E$5:$E$300,$B18&amp;"/*",Торговля!$F$5:$F$300)+SUMIF(Торговля!$E$5:$E$300,"*/"&amp;$B18,Торговля!$K$5:$K$300)+SUMIF(Лэндинг!$E$5:$E$300,$B18&amp;"/*",Лэндинг!$F$5:$F$300)+SUMIF(Лэндинг!$E$5:$E$300,"*/"&amp;$B18,Лэндинг!$K$5:$K$300)+SUMIF(Закрытые!$E$5:$E$300,$B18&amp;"/*",Закрытые!$F$5:$F$300)+SUMIF(Закрытые!$E$5:$E$300,"*/"&amp;$B18,Закрытые!$K$5:$K$300)+SUMIF(История!$B$5:$B$300,$B18&amp;"/*",История!$C$5:$C$300)+SUMIF(История!$B$5:$B$300,"*/"&amp;$B18,История!$H$5:$H$300),8))</f>
        <v/>
      </c>
      <c r="D18" s="240">
        <f>IF($B18="","",ROUND(SUMIF(Торговля!$E$5:$E$300,$B18&amp;"/*",Торговля!$I$5:$I$300)+SUMIF(Торговля!$E$5:$E$300,"*/"&amp;$B18,Торговля!$H$5:$H$300)+SUMIF(Лэндинг!$E$5:$E$300,$B18&amp;"/*",Лэндинг!$I$5:$I$300)+SUMIF(Лэндинг!$E$5:$E$300,"*/"&amp;$B18,Лэндинг!$H$5:$H$300)+SUMIF(Закрытые!$E$5:$E$300,$B18&amp;"/*",Закрытые!$I$5:$I$300)+SUMIF(Закрытые!$E$5:$E$300,"*/"&amp;$B18,Закрытые!$H$5:$H$300)+SUMIF(История!$B$5:$B$300,$B18&amp;"/*",История!$F$5:$F$300)+SUMIF(История!$B$5:$B$300,"*/"&amp;$B18,История!$E$5:$E$300),8))</f>
        <v/>
      </c>
      <c r="E18" s="339">
        <f>IF($B18="","",ROUND(C18-D18,8))</f>
        <v/>
      </c>
    </row>
    <row r="19" ht="22" customHeight="1">
      <c r="B19" s="315" t="n"/>
      <c r="C19" s="240">
        <f>IF($B19="","",ROUND(SUMIF(Торговля!$E$5:$E$300,$B19&amp;"/*",Торговля!$F$5:$F$300)+SUMIF(Торговля!$E$5:$E$300,"*/"&amp;$B19,Торговля!$K$5:$K$300)+SUMIF(Лэндинг!$E$5:$E$300,$B19&amp;"/*",Лэндинг!$F$5:$F$300)+SUMIF(Лэндинг!$E$5:$E$300,"*/"&amp;$B19,Лэндинг!$K$5:$K$300)+SUMIF(Закрытые!$E$5:$E$300,$B19&amp;"/*",Закрытые!$F$5:$F$300)+SUMIF(Закрытые!$E$5:$E$300,"*/"&amp;$B19,Закрытые!$K$5:$K$300)+SUMIF(История!$B$5:$B$300,$B19&amp;"/*",История!$C$5:$C$300)+SUMIF(История!$B$5:$B$300,"*/"&amp;$B19,История!$H$5:$H$300),8))</f>
        <v/>
      </c>
      <c r="D19" s="240">
        <f>IF($B19="","",ROUND(SUMIF(Торговля!$E$5:$E$300,$B19&amp;"/*",Торговля!$I$5:$I$300)+SUMIF(Торговля!$E$5:$E$300,"*/"&amp;$B19,Торговля!$H$5:$H$300)+SUMIF(Лэндинг!$E$5:$E$300,$B19&amp;"/*",Лэндинг!$I$5:$I$300)+SUMIF(Лэндинг!$E$5:$E$300,"*/"&amp;$B19,Лэндинг!$H$5:$H$300)+SUMIF(Закрытые!$E$5:$E$300,$B19&amp;"/*",Закрытые!$I$5:$I$300)+SUMIF(Закрытые!$E$5:$E$300,"*/"&amp;$B19,Закрытые!$H$5:$H$300)+SUMIF(История!$B$5:$B$300,$B19&amp;"/*",История!$F$5:$F$300)+SUMIF(История!$B$5:$B$300,"*/"&amp;$B19,История!$E$5:$E$300),8))</f>
        <v/>
      </c>
      <c r="E19" s="339">
        <f>IF($B19="","",ROUND(C19-D19,8))</f>
        <v/>
      </c>
    </row>
    <row r="20" ht="22" customHeight="1">
      <c r="B20" s="320" t="n"/>
      <c r="C20" s="240">
        <f>IF($B20="","",ROUND(SUMIF(Торговля!$E$5:$E$300,$B20&amp;"/*",Торговля!$F$5:$F$300)+SUMIF(Торговля!$E$5:$E$300,"*/"&amp;$B20,Торговля!$K$5:$K$300)+SUMIF(Лэндинг!$E$5:$E$300,$B20&amp;"/*",Лэндинг!$F$5:$F$300)+SUMIF(Лэндинг!$E$5:$E$300,"*/"&amp;$B20,Лэндинг!$K$5:$K$300)+SUMIF(Закрытые!$E$5:$E$300,$B20&amp;"/*",Закрытые!$F$5:$F$300)+SUMIF(Закрытые!$E$5:$E$300,"*/"&amp;$B20,Закрытые!$K$5:$K$300)+SUMIF(История!$B$5:$B$300,$B20&amp;"/*",История!$C$5:$C$300)+SUMIF(История!$B$5:$B$300,"*/"&amp;$B20,История!$H$5:$H$300),8))</f>
        <v/>
      </c>
      <c r="D20" s="240">
        <f>IF($B20="","",ROUND(SUMIF(Торговля!$E$5:$E$300,$B20&amp;"/*",Торговля!$I$5:$I$300)+SUMIF(Торговля!$E$5:$E$300,"*/"&amp;$B20,Торговля!$H$5:$H$300)+SUMIF(Лэндинг!$E$5:$E$300,$B20&amp;"/*",Лэндинг!$I$5:$I$300)+SUMIF(Лэндинг!$E$5:$E$300,"*/"&amp;$B20,Лэндинг!$H$5:$H$300)+SUMIF(Закрытые!$E$5:$E$300,$B20&amp;"/*",Закрытые!$I$5:$I$300)+SUMIF(Закрытые!$E$5:$E$300,"*/"&amp;$B20,Закрытые!$H$5:$H$300)+SUMIF(История!$B$5:$B$300,$B20&amp;"/*",История!$F$5:$F$300)+SUMIF(История!$B$5:$B$300,"*/"&amp;$B20,История!$E$5:$E$300),8))</f>
        <v/>
      </c>
      <c r="E20" s="339">
        <f>IF($B20="","",ROUND(C20-D20,8))</f>
        <v/>
      </c>
    </row>
    <row r="21" ht="22" customHeight="1">
      <c r="B21" s="315" t="n"/>
      <c r="C21" s="240">
        <f>IF($B21="","",ROUND(SUMIF(Торговля!$E$5:$E$300,$B21&amp;"/*",Торговля!$F$5:$F$300)+SUMIF(Торговля!$E$5:$E$300,"*/"&amp;$B21,Торговля!$K$5:$K$300)+SUMIF(Лэндинг!$E$5:$E$300,$B21&amp;"/*",Лэндинг!$F$5:$F$300)+SUMIF(Лэндинг!$E$5:$E$300,"*/"&amp;$B21,Лэндинг!$K$5:$K$300)+SUMIF(Закрытые!$E$5:$E$300,$B21&amp;"/*",Закрытые!$F$5:$F$300)+SUMIF(Закрытые!$E$5:$E$300,"*/"&amp;$B21,Закрытые!$K$5:$K$300)+SUMIF(История!$B$5:$B$300,$B21&amp;"/*",История!$C$5:$C$300)+SUMIF(История!$B$5:$B$300,"*/"&amp;$B21,История!$H$5:$H$300),8))</f>
        <v/>
      </c>
      <c r="D21" s="240">
        <f>IF($B21="","",ROUND(SUMIF(Торговля!$E$5:$E$300,$B21&amp;"/*",Торговля!$I$5:$I$300)+SUMIF(Торговля!$E$5:$E$300,"*/"&amp;$B21,Торговля!$H$5:$H$300)+SUMIF(Лэндинг!$E$5:$E$300,$B21&amp;"/*",Лэндинг!$I$5:$I$300)+SUMIF(Лэндинг!$E$5:$E$300,"*/"&amp;$B21,Лэндинг!$H$5:$H$300)+SUMIF(Закрытые!$E$5:$E$300,$B21&amp;"/*",Закрытые!$I$5:$I$300)+SUMIF(Закрытые!$E$5:$E$300,"*/"&amp;$B21,Закрытые!$H$5:$H$300)+SUMIF(История!$B$5:$B$300,$B21&amp;"/*",История!$F$5:$F$300)+SUMIF(История!$B$5:$B$300,"*/"&amp;$B21,История!$E$5:$E$300),8))</f>
        <v/>
      </c>
      <c r="E21" s="339">
        <f>IF($B21="","",ROUND(C21-D21,8))</f>
        <v/>
      </c>
    </row>
    <row r="22" ht="22" customHeight="1">
      <c r="B22" s="320" t="n"/>
      <c r="C22" s="240">
        <f>IF($B22="","",ROUND(SUMIF(Торговля!$E$5:$E$300,$B22&amp;"/*",Торговля!$F$5:$F$300)+SUMIF(Торговля!$E$5:$E$300,"*/"&amp;$B22,Торговля!$K$5:$K$300)+SUMIF(Лэндинг!$E$5:$E$300,$B22&amp;"/*",Лэндинг!$F$5:$F$300)+SUMIF(Лэндинг!$E$5:$E$300,"*/"&amp;$B22,Лэндинг!$K$5:$K$300)+SUMIF(Закрытые!$E$5:$E$300,$B22&amp;"/*",Закрытые!$F$5:$F$300)+SUMIF(Закрытые!$E$5:$E$300,"*/"&amp;$B22,Закрытые!$K$5:$K$300)+SUMIF(История!$B$5:$B$300,$B22&amp;"/*",История!$C$5:$C$300)+SUMIF(История!$B$5:$B$300,"*/"&amp;$B22,История!$H$5:$H$300),8))</f>
        <v/>
      </c>
      <c r="D22" s="240">
        <f>IF($B22="","",ROUND(SUMIF(Торговля!$E$5:$E$300,$B22&amp;"/*",Торговля!$I$5:$I$300)+SUMIF(Торговля!$E$5:$E$300,"*/"&amp;$B22,Торговля!$H$5:$H$300)+SUMIF(Лэндинг!$E$5:$E$300,$B22&amp;"/*",Лэндинг!$I$5:$I$300)+SUMIF(Лэндинг!$E$5:$E$300,"*/"&amp;$B22,Лэндинг!$H$5:$H$300)+SUMIF(Закрытые!$E$5:$E$300,$B22&amp;"/*",Закрытые!$I$5:$I$300)+SUMIF(Закрытые!$E$5:$E$300,"*/"&amp;$B22,Закрытые!$H$5:$H$300)+SUMIF(История!$B$5:$B$300,$B22&amp;"/*",История!$F$5:$F$300)+SUMIF(История!$B$5:$B$300,"*/"&amp;$B22,История!$E$5:$E$300),8))</f>
        <v/>
      </c>
      <c r="E22" s="339">
        <f>IF($B22="","",ROUND(C22-D22,8))</f>
        <v/>
      </c>
    </row>
    <row r="23" ht="22" customHeight="1">
      <c r="B23" s="315" t="n"/>
      <c r="C23" s="240">
        <f>IF($B23="","",ROUND(SUMIF(Торговля!$E$5:$E$300,$B23&amp;"/*",Торговля!$F$5:$F$300)+SUMIF(Торговля!$E$5:$E$300,"*/"&amp;$B23,Торговля!$K$5:$K$300)+SUMIF(Лэндинг!$E$5:$E$300,$B23&amp;"/*",Лэндинг!$F$5:$F$300)+SUMIF(Лэндинг!$E$5:$E$300,"*/"&amp;$B23,Лэндинг!$K$5:$K$300)+SUMIF(Закрытые!$E$5:$E$300,$B23&amp;"/*",Закрытые!$F$5:$F$300)+SUMIF(Закрытые!$E$5:$E$300,"*/"&amp;$B23,Закрытые!$K$5:$K$300)+SUMIF(История!$B$5:$B$300,$B23&amp;"/*",История!$C$5:$C$300)+SUMIF(История!$B$5:$B$300,"*/"&amp;$B23,История!$H$5:$H$300),8))</f>
        <v/>
      </c>
      <c r="D23" s="240">
        <f>IF($B23="","",ROUND(SUMIF(Торговля!$E$5:$E$300,$B23&amp;"/*",Торговля!$I$5:$I$300)+SUMIF(Торговля!$E$5:$E$300,"*/"&amp;$B23,Торговля!$H$5:$H$300)+SUMIF(Лэндинг!$E$5:$E$300,$B23&amp;"/*",Лэндинг!$I$5:$I$300)+SUMIF(Лэндинг!$E$5:$E$300,"*/"&amp;$B23,Лэндинг!$H$5:$H$300)+SUMIF(Закрытые!$E$5:$E$300,$B23&amp;"/*",Закрытые!$I$5:$I$300)+SUMIF(Закрытые!$E$5:$E$300,"*/"&amp;$B23,Закрытые!$H$5:$H$300)+SUMIF(История!$B$5:$B$300,$B23&amp;"/*",История!$F$5:$F$300)+SUMIF(История!$B$5:$B$300,"*/"&amp;$B23,История!$E$5:$E$300),8))</f>
        <v/>
      </c>
      <c r="E23" s="339">
        <f>IF($B23="","",ROUND(C23-D23,8))</f>
        <v/>
      </c>
    </row>
    <row r="24" ht="22" customHeight="1">
      <c r="B24" s="320" t="n"/>
      <c r="C24" s="240">
        <f>IF($B24="","",ROUND(SUMIF(Торговля!$E$5:$E$300,$B24&amp;"/*",Торговля!$F$5:$F$300)+SUMIF(Торговля!$E$5:$E$300,"*/"&amp;$B24,Торговля!$K$5:$K$300)+SUMIF(Лэндинг!$E$5:$E$300,$B24&amp;"/*",Лэндинг!$F$5:$F$300)+SUMIF(Лэндинг!$E$5:$E$300,"*/"&amp;$B24,Лэндинг!$K$5:$K$300)+SUMIF(Закрытые!$E$5:$E$300,$B24&amp;"/*",Закрытые!$F$5:$F$300)+SUMIF(Закрытые!$E$5:$E$300,"*/"&amp;$B24,Закрытые!$K$5:$K$300)+SUMIF(История!$B$5:$B$300,$B24&amp;"/*",История!$C$5:$C$300)+SUMIF(История!$B$5:$B$300,"*/"&amp;$B24,История!$H$5:$H$300),8))</f>
        <v/>
      </c>
      <c r="D24" s="240">
        <f>IF($B24="","",ROUND(SUMIF(Торговля!$E$5:$E$300,$B24&amp;"/*",Торговля!$I$5:$I$300)+SUMIF(Торговля!$E$5:$E$300,"*/"&amp;$B24,Торговля!$H$5:$H$300)+SUMIF(Лэндинг!$E$5:$E$300,$B24&amp;"/*",Лэндинг!$I$5:$I$300)+SUMIF(Лэндинг!$E$5:$E$300,"*/"&amp;$B24,Лэндинг!$H$5:$H$300)+SUMIF(Закрытые!$E$5:$E$300,$B24&amp;"/*",Закрытые!$I$5:$I$300)+SUMIF(Закрытые!$E$5:$E$300,"*/"&amp;$B24,Закрытые!$H$5:$H$300)+SUMIF(История!$B$5:$B$300,$B24&amp;"/*",История!$F$5:$F$300)+SUMIF(История!$B$5:$B$300,"*/"&amp;$B24,История!$E$5:$E$300),8))</f>
        <v/>
      </c>
      <c r="E24" s="339">
        <f>IF($B24="","",ROUND(C24-D24,8))</f>
        <v/>
      </c>
    </row>
    <row r="25" ht="22" customHeight="1">
      <c r="B25" s="315" t="n"/>
      <c r="C25" s="240">
        <f>IF($B25="","",ROUND(SUMIF(Торговля!$E$5:$E$300,$B25&amp;"/*",Торговля!$F$5:$F$300)+SUMIF(Торговля!$E$5:$E$300,"*/"&amp;$B25,Торговля!$K$5:$K$300)+SUMIF(Лэндинг!$E$5:$E$300,$B25&amp;"/*",Лэндинг!$F$5:$F$300)+SUMIF(Лэндинг!$E$5:$E$300,"*/"&amp;$B25,Лэндинг!$K$5:$K$300)+SUMIF(Закрытые!$E$5:$E$300,$B25&amp;"/*",Закрытые!$F$5:$F$300)+SUMIF(Закрытые!$E$5:$E$300,"*/"&amp;$B25,Закрытые!$K$5:$K$300)+SUMIF(История!$B$5:$B$300,$B25&amp;"/*",История!$C$5:$C$300)+SUMIF(История!$B$5:$B$300,"*/"&amp;$B25,История!$H$5:$H$300),8))</f>
        <v/>
      </c>
      <c r="D25" s="240">
        <f>IF($B25="","",ROUND(SUMIF(Торговля!$E$5:$E$300,$B25&amp;"/*",Торговля!$I$5:$I$300)+SUMIF(Торговля!$E$5:$E$300,"*/"&amp;$B25,Торговля!$H$5:$H$300)+SUMIF(Лэндинг!$E$5:$E$300,$B25&amp;"/*",Лэндинг!$I$5:$I$300)+SUMIF(Лэндинг!$E$5:$E$300,"*/"&amp;$B25,Лэндинг!$H$5:$H$300)+SUMIF(Закрытые!$E$5:$E$300,$B25&amp;"/*",Закрытые!$I$5:$I$300)+SUMIF(Закрытые!$E$5:$E$300,"*/"&amp;$B25,Закрытые!$H$5:$H$300)+SUMIF(История!$B$5:$B$300,$B25&amp;"/*",История!$F$5:$F$300)+SUMIF(История!$B$5:$B$300,"*/"&amp;$B25,История!$E$5:$E$300),8))</f>
        <v/>
      </c>
      <c r="E25" s="339">
        <f>IF($B25="","",ROUND(C25-D25,8))</f>
        <v/>
      </c>
    </row>
    <row r="26" ht="22" customHeight="1">
      <c r="B26" s="320" t="n"/>
      <c r="C26" s="240">
        <f>IF($B26="","",ROUND(SUMIF(Торговля!$E$5:$E$300,$B26&amp;"/*",Торговля!$F$5:$F$300)+SUMIF(Торговля!$E$5:$E$300,"*/"&amp;$B26,Торговля!$K$5:$K$300)+SUMIF(Лэндинг!$E$5:$E$300,$B26&amp;"/*",Лэндинг!$F$5:$F$300)+SUMIF(Лэндинг!$E$5:$E$300,"*/"&amp;$B26,Лэндинг!$K$5:$K$300)+SUMIF(Закрытые!$E$5:$E$300,$B26&amp;"/*",Закрытые!$F$5:$F$300)+SUMIF(Закрытые!$E$5:$E$300,"*/"&amp;$B26,Закрытые!$K$5:$K$300)+SUMIF(История!$B$5:$B$300,$B26&amp;"/*",История!$C$5:$C$300)+SUMIF(История!$B$5:$B$300,"*/"&amp;$B26,История!$H$5:$H$300),8))</f>
        <v/>
      </c>
      <c r="D26" s="240">
        <f>IF($B26="","",ROUND(SUMIF(Торговля!$E$5:$E$300,$B26&amp;"/*",Торговля!$I$5:$I$300)+SUMIF(Торговля!$E$5:$E$300,"*/"&amp;$B26,Торговля!$H$5:$H$300)+SUMIF(Лэндинг!$E$5:$E$300,$B26&amp;"/*",Лэндинг!$I$5:$I$300)+SUMIF(Лэндинг!$E$5:$E$300,"*/"&amp;$B26,Лэндинг!$H$5:$H$300)+SUMIF(Закрытые!$E$5:$E$300,$B26&amp;"/*",Закрытые!$I$5:$I$300)+SUMIF(Закрытые!$E$5:$E$300,"*/"&amp;$B26,Закрытые!$H$5:$H$300)+SUMIF(История!$B$5:$B$300,$B26&amp;"/*",История!$F$5:$F$300)+SUMIF(История!$B$5:$B$300,"*/"&amp;$B26,История!$E$5:$E$300),8))</f>
        <v/>
      </c>
      <c r="E26" s="339">
        <f>IF($B26="","",ROUND(C26-D26,8))</f>
        <v/>
      </c>
    </row>
    <row r="27" ht="22" customHeight="1">
      <c r="B27" s="315" t="n"/>
      <c r="C27" s="240">
        <f>IF($B27="","",ROUND(SUMIF(Торговля!$E$5:$E$300,$B27&amp;"/*",Торговля!$F$5:$F$300)+SUMIF(Торговля!$E$5:$E$300,"*/"&amp;$B27,Торговля!$K$5:$K$300)+SUMIF(Лэндинг!$E$5:$E$300,$B27&amp;"/*",Лэндинг!$F$5:$F$300)+SUMIF(Лэндинг!$E$5:$E$300,"*/"&amp;$B27,Лэндинг!$K$5:$K$300)+SUMIF(Закрытые!$E$5:$E$300,$B27&amp;"/*",Закрытые!$F$5:$F$300)+SUMIF(Закрытые!$E$5:$E$300,"*/"&amp;$B27,Закрытые!$K$5:$K$300)+SUMIF(История!$B$5:$B$300,$B27&amp;"/*",История!$C$5:$C$300)+SUMIF(История!$B$5:$B$300,"*/"&amp;$B27,История!$H$5:$H$300),8))</f>
        <v/>
      </c>
      <c r="D27" s="240">
        <f>IF($B27="","",ROUND(SUMIF(Торговля!$E$5:$E$300,$B27&amp;"/*",Торговля!$I$5:$I$300)+SUMIF(Торговля!$E$5:$E$300,"*/"&amp;$B27,Торговля!$H$5:$H$300)+SUMIF(Лэндинг!$E$5:$E$300,$B27&amp;"/*",Лэндинг!$I$5:$I$300)+SUMIF(Лэндинг!$E$5:$E$300,"*/"&amp;$B27,Лэндинг!$H$5:$H$300)+SUMIF(Закрытые!$E$5:$E$300,$B27&amp;"/*",Закрытые!$I$5:$I$300)+SUMIF(Закрытые!$E$5:$E$300,"*/"&amp;$B27,Закрытые!$H$5:$H$300)+SUMIF(История!$B$5:$B$300,$B27&amp;"/*",История!$F$5:$F$300)+SUMIF(История!$B$5:$B$300,"*/"&amp;$B27,История!$E$5:$E$300),8))</f>
        <v/>
      </c>
      <c r="E27" s="339">
        <f>IF($B27="","",ROUND(C27-D27,8))</f>
        <v/>
      </c>
    </row>
    <row r="28" ht="22" customHeight="1">
      <c r="B28" s="320" t="n"/>
      <c r="C28" s="240">
        <f>IF($B28="","",ROUND(SUMIF(Торговля!$E$5:$E$300,$B28&amp;"/*",Торговля!$F$5:$F$300)+SUMIF(Торговля!$E$5:$E$300,"*/"&amp;$B28,Торговля!$K$5:$K$300)+SUMIF(Лэндинг!$E$5:$E$300,$B28&amp;"/*",Лэндинг!$F$5:$F$300)+SUMIF(Лэндинг!$E$5:$E$300,"*/"&amp;$B28,Лэндинг!$K$5:$K$300)+SUMIF(Закрытые!$E$5:$E$300,$B28&amp;"/*",Закрытые!$F$5:$F$300)+SUMIF(Закрытые!$E$5:$E$300,"*/"&amp;$B28,Закрытые!$K$5:$K$300)+SUMIF(История!$B$5:$B$300,$B28&amp;"/*",История!$C$5:$C$300)+SUMIF(История!$B$5:$B$300,"*/"&amp;$B28,История!$H$5:$H$300),8))</f>
        <v/>
      </c>
      <c r="D28" s="240">
        <f>IF($B28="","",ROUND(SUMIF(Торговля!$E$5:$E$300,$B28&amp;"/*",Торговля!$I$5:$I$300)+SUMIF(Торговля!$E$5:$E$300,"*/"&amp;$B28,Торговля!$H$5:$H$300)+SUMIF(Лэндинг!$E$5:$E$300,$B28&amp;"/*",Лэндинг!$I$5:$I$300)+SUMIF(Лэндинг!$E$5:$E$300,"*/"&amp;$B28,Лэндинг!$H$5:$H$300)+SUMIF(Закрытые!$E$5:$E$300,$B28&amp;"/*",Закрытые!$I$5:$I$300)+SUMIF(Закрытые!$E$5:$E$300,"*/"&amp;$B28,Закрытые!$H$5:$H$300)+SUMIF(История!$B$5:$B$300,$B28&amp;"/*",История!$F$5:$F$300)+SUMIF(История!$B$5:$B$300,"*/"&amp;$B28,История!$E$5:$E$300),8))</f>
        <v/>
      </c>
      <c r="E28" s="339">
        <f>IF($B28="","",ROUND(C28-D28,8))</f>
        <v/>
      </c>
    </row>
    <row r="29" ht="22" customHeight="1">
      <c r="B29" s="315" t="n"/>
      <c r="C29" s="240">
        <f>IF($B29="","",ROUND(SUMIF(Торговля!$E$5:$E$300,$B29&amp;"/*",Торговля!$F$5:$F$300)+SUMIF(Торговля!$E$5:$E$300,"*/"&amp;$B29,Торговля!$K$5:$K$300)+SUMIF(Лэндинг!$E$5:$E$300,$B29&amp;"/*",Лэндинг!$F$5:$F$300)+SUMIF(Лэндинг!$E$5:$E$300,"*/"&amp;$B29,Лэндинг!$K$5:$K$300)+SUMIF(Закрытые!$E$5:$E$300,$B29&amp;"/*",Закрытые!$F$5:$F$300)+SUMIF(Закрытые!$E$5:$E$300,"*/"&amp;$B29,Закрытые!$K$5:$K$300)+SUMIF(История!$B$5:$B$300,$B29&amp;"/*",История!$C$5:$C$300)+SUMIF(История!$B$5:$B$300,"*/"&amp;$B29,История!$H$5:$H$300),8))</f>
        <v/>
      </c>
      <c r="D29" s="240">
        <f>IF($B29="","",ROUND(SUMIF(Торговля!$E$5:$E$300,$B29&amp;"/*",Торговля!$I$5:$I$300)+SUMIF(Торговля!$E$5:$E$300,"*/"&amp;$B29,Торговля!$H$5:$H$300)+SUMIF(Лэндинг!$E$5:$E$300,$B29&amp;"/*",Лэндинг!$I$5:$I$300)+SUMIF(Лэндинг!$E$5:$E$300,"*/"&amp;$B29,Лэндинг!$H$5:$H$300)+SUMIF(Закрытые!$E$5:$E$300,$B29&amp;"/*",Закрытые!$I$5:$I$300)+SUMIF(Закрытые!$E$5:$E$300,"*/"&amp;$B29,Закрытые!$H$5:$H$300)+SUMIF(История!$B$5:$B$300,$B29&amp;"/*",История!$F$5:$F$300)+SUMIF(История!$B$5:$B$300,"*/"&amp;$B29,История!$E$5:$E$300),8))</f>
        <v/>
      </c>
      <c r="E29" s="339">
        <f>IF($B29="","",ROUND(C29-D29,8))</f>
        <v/>
      </c>
    </row>
    <row r="30" ht="22" customHeight="1">
      <c r="B30" s="320" t="n"/>
      <c r="C30" s="240">
        <f>IF($B30="","",ROUND(SUMIF(Торговля!$E$5:$E$300,$B30&amp;"/*",Торговля!$F$5:$F$300)+SUMIF(Торговля!$E$5:$E$300,"*/"&amp;$B30,Торговля!$K$5:$K$300)+SUMIF(Лэндинг!$E$5:$E$300,$B30&amp;"/*",Лэндинг!$F$5:$F$300)+SUMIF(Лэндинг!$E$5:$E$300,"*/"&amp;$B30,Лэндинг!$K$5:$K$300)+SUMIF(Закрытые!$E$5:$E$300,$B30&amp;"/*",Закрытые!$F$5:$F$300)+SUMIF(Закрытые!$E$5:$E$300,"*/"&amp;$B30,Закрытые!$K$5:$K$300)+SUMIF(История!$B$5:$B$300,$B30&amp;"/*",История!$C$5:$C$300)+SUMIF(История!$B$5:$B$300,"*/"&amp;$B30,История!$H$5:$H$300),8))</f>
        <v/>
      </c>
      <c r="D30" s="240">
        <f>IF($B30="","",ROUND(SUMIF(Торговля!$E$5:$E$300,$B30&amp;"/*",Торговля!$I$5:$I$300)+SUMIF(Торговля!$E$5:$E$300,"*/"&amp;$B30,Торговля!$H$5:$H$300)+SUMIF(Лэндинг!$E$5:$E$300,$B30&amp;"/*",Лэндинг!$I$5:$I$300)+SUMIF(Лэндинг!$E$5:$E$300,"*/"&amp;$B30,Лэндинг!$H$5:$H$300)+SUMIF(Закрытые!$E$5:$E$300,$B30&amp;"/*",Закрытые!$I$5:$I$300)+SUMIF(Закрытые!$E$5:$E$300,"*/"&amp;$B30,Закрытые!$H$5:$H$300)+SUMIF(История!$B$5:$B$300,$B30&amp;"/*",История!$F$5:$F$300)+SUMIF(История!$B$5:$B$300,"*/"&amp;$B30,История!$E$5:$E$300),8))</f>
        <v/>
      </c>
      <c r="E30" s="339">
        <f>IF($B30="","",ROUND(C30-D30,8))</f>
        <v/>
      </c>
    </row>
    <row r="31" ht="22" customHeight="1">
      <c r="B31" s="315" t="n"/>
      <c r="C31" s="240">
        <f>IF($B31="","",ROUND(SUMIF(Торговля!$E$5:$E$300,$B31&amp;"/*",Торговля!$F$5:$F$300)+SUMIF(Торговля!$E$5:$E$300,"*/"&amp;$B31,Торговля!$K$5:$K$300)+SUMIF(Лэндинг!$E$5:$E$300,$B31&amp;"/*",Лэндинг!$F$5:$F$300)+SUMIF(Лэндинг!$E$5:$E$300,"*/"&amp;$B31,Лэндинг!$K$5:$K$300)+SUMIF(Закрытые!$E$5:$E$300,$B31&amp;"/*",Закрытые!$F$5:$F$300)+SUMIF(Закрытые!$E$5:$E$300,"*/"&amp;$B31,Закрытые!$K$5:$K$300)+SUMIF(История!$B$5:$B$300,$B31&amp;"/*",История!$C$5:$C$300)+SUMIF(История!$B$5:$B$300,"*/"&amp;$B31,История!$H$5:$H$300),8))</f>
        <v/>
      </c>
      <c r="D31" s="240">
        <f>IF($B31="","",ROUND(SUMIF(Торговля!$E$5:$E$300,$B31&amp;"/*",Торговля!$I$5:$I$300)+SUMIF(Торговля!$E$5:$E$300,"*/"&amp;$B31,Торговля!$H$5:$H$300)+SUMIF(Лэндинг!$E$5:$E$300,$B31&amp;"/*",Лэндинг!$I$5:$I$300)+SUMIF(Лэндинг!$E$5:$E$300,"*/"&amp;$B31,Лэндинг!$H$5:$H$300)+SUMIF(Закрытые!$E$5:$E$300,$B31&amp;"/*",Закрытые!$I$5:$I$300)+SUMIF(Закрытые!$E$5:$E$300,"*/"&amp;$B31,Закрытые!$H$5:$H$300)+SUMIF(История!$B$5:$B$300,$B31&amp;"/*",История!$F$5:$F$300)+SUMIF(История!$B$5:$B$300,"*/"&amp;$B31,История!$E$5:$E$300),8))</f>
        <v/>
      </c>
      <c r="E31" s="339">
        <f>IF($B31="","",ROUND(C31-D31,8))</f>
        <v/>
      </c>
    </row>
    <row r="32" ht="22" customHeight="1">
      <c r="B32" s="320" t="n"/>
      <c r="C32" s="240">
        <f>IF($B32="","",ROUND(SUMIF(Торговля!$E$5:$E$300,$B32&amp;"/*",Торговля!$F$5:$F$300)+SUMIF(Торговля!$E$5:$E$300,"*/"&amp;$B32,Торговля!$K$5:$K$300)+SUMIF(Лэндинг!$E$5:$E$300,$B32&amp;"/*",Лэндинг!$F$5:$F$300)+SUMIF(Лэндинг!$E$5:$E$300,"*/"&amp;$B32,Лэндинг!$K$5:$K$300)+SUMIF(Закрытые!$E$5:$E$300,$B32&amp;"/*",Закрытые!$F$5:$F$300)+SUMIF(Закрытые!$E$5:$E$300,"*/"&amp;$B32,Закрытые!$K$5:$K$300)+SUMIF(История!$B$5:$B$300,$B32&amp;"/*",История!$C$5:$C$300)+SUMIF(История!$B$5:$B$300,"*/"&amp;$B32,История!$H$5:$H$300),8))</f>
        <v/>
      </c>
      <c r="D32" s="240">
        <f>IF($B32="","",ROUND(SUMIF(Торговля!$E$5:$E$300,$B32&amp;"/*",Торговля!$I$5:$I$300)+SUMIF(Торговля!$E$5:$E$300,"*/"&amp;$B32,Торговля!$H$5:$H$300)+SUMIF(Лэндинг!$E$5:$E$300,$B32&amp;"/*",Лэндинг!$I$5:$I$300)+SUMIF(Лэндинг!$E$5:$E$300,"*/"&amp;$B32,Лэндинг!$H$5:$H$300)+SUMIF(Закрытые!$E$5:$E$300,$B32&amp;"/*",Закрытые!$I$5:$I$300)+SUMIF(Закрытые!$E$5:$E$300,"*/"&amp;$B32,Закрытые!$H$5:$H$300)+SUMIF(История!$B$5:$B$300,$B32&amp;"/*",История!$F$5:$F$300)+SUMIF(История!$B$5:$B$300,"*/"&amp;$B32,История!$E$5:$E$300),8))</f>
        <v/>
      </c>
      <c r="E32" s="339">
        <f>IF($B32="","",ROUND(C32-D32,8))</f>
        <v/>
      </c>
    </row>
    <row r="33" ht="22" customHeight="1">
      <c r="B33" s="315" t="n"/>
      <c r="C33" s="240">
        <f>IF($B33="","",ROUND(SUMIF(Торговля!$E$5:$E$300,$B33&amp;"/*",Торговля!$F$5:$F$300)+SUMIF(Торговля!$E$5:$E$300,"*/"&amp;$B33,Торговля!$K$5:$K$300)+SUMIF(Лэндинг!$E$5:$E$300,$B33&amp;"/*",Лэндинг!$F$5:$F$300)+SUMIF(Лэндинг!$E$5:$E$300,"*/"&amp;$B33,Лэндинг!$K$5:$K$300)+SUMIF(Закрытые!$E$5:$E$300,$B33&amp;"/*",Закрытые!$F$5:$F$300)+SUMIF(Закрытые!$E$5:$E$300,"*/"&amp;$B33,Закрытые!$K$5:$K$300)+SUMIF(История!$B$5:$B$300,$B33&amp;"/*",История!$C$5:$C$300)+SUMIF(История!$B$5:$B$300,"*/"&amp;$B33,История!$H$5:$H$300),8))</f>
        <v/>
      </c>
      <c r="D33" s="240">
        <f>IF($B33="","",ROUND(SUMIF(Торговля!$E$5:$E$300,$B33&amp;"/*",Торговля!$I$5:$I$300)+SUMIF(Торговля!$E$5:$E$300,"*/"&amp;$B33,Торговля!$H$5:$H$300)+SUMIF(Лэндинг!$E$5:$E$300,$B33&amp;"/*",Лэндинг!$I$5:$I$300)+SUMIF(Лэндинг!$E$5:$E$300,"*/"&amp;$B33,Лэндинг!$H$5:$H$300)+SUMIF(Закрытые!$E$5:$E$300,$B33&amp;"/*",Закрытые!$I$5:$I$300)+SUMIF(Закрытые!$E$5:$E$300,"*/"&amp;$B33,Закрытые!$H$5:$H$300)+SUMIF(История!$B$5:$B$300,$B33&amp;"/*",История!$F$5:$F$300)+SUMIF(История!$B$5:$B$300,"*/"&amp;$B33,История!$E$5:$E$300),8))</f>
        <v/>
      </c>
      <c r="E33" s="339">
        <f>IF($B33="","",ROUND(C33-D33,8))</f>
        <v/>
      </c>
    </row>
    <row r="34" ht="22" customHeight="1">
      <c r="B34" s="320" t="n"/>
      <c r="C34" s="240">
        <f>IF($B34="","",ROUND(SUMIF(Торговля!$E$5:$E$300,$B34&amp;"/*",Торговля!$F$5:$F$300)+SUMIF(Торговля!$E$5:$E$300,"*/"&amp;$B34,Торговля!$K$5:$K$300)+SUMIF(Лэндинг!$E$5:$E$300,$B34&amp;"/*",Лэндинг!$F$5:$F$300)+SUMIF(Лэндинг!$E$5:$E$300,"*/"&amp;$B34,Лэндинг!$K$5:$K$300)+SUMIF(Закрытые!$E$5:$E$300,$B34&amp;"/*",Закрытые!$F$5:$F$300)+SUMIF(Закрытые!$E$5:$E$300,"*/"&amp;$B34,Закрытые!$K$5:$K$300)+SUMIF(История!$B$5:$B$300,$B34&amp;"/*",История!$C$5:$C$300)+SUMIF(История!$B$5:$B$300,"*/"&amp;$B34,История!$H$5:$H$300),8))</f>
        <v/>
      </c>
      <c r="D34" s="240">
        <f>IF($B34="","",ROUND(SUMIF(Торговля!$E$5:$E$300,$B34&amp;"/*",Торговля!$I$5:$I$300)+SUMIF(Торговля!$E$5:$E$300,"*/"&amp;$B34,Торговля!$H$5:$H$300)+SUMIF(Лэндинг!$E$5:$E$300,$B34&amp;"/*",Лэндинг!$I$5:$I$300)+SUMIF(Лэндинг!$E$5:$E$300,"*/"&amp;$B34,Лэндинг!$H$5:$H$300)+SUMIF(Закрытые!$E$5:$E$300,$B34&amp;"/*",Закрытые!$I$5:$I$300)+SUMIF(Закрытые!$E$5:$E$300,"*/"&amp;$B34,Закрытые!$H$5:$H$300)+SUMIF(История!$B$5:$B$300,$B34&amp;"/*",История!$F$5:$F$300)+SUMIF(История!$B$5:$B$300,"*/"&amp;$B34,История!$E$5:$E$300),8))</f>
        <v/>
      </c>
      <c r="E34" s="339">
        <f>IF($B34="","",ROUND(C34-D34,8))</f>
        <v/>
      </c>
    </row>
    <row r="35" ht="22" customHeight="1">
      <c r="B35" s="315" t="n"/>
      <c r="C35" s="240">
        <f>IF($B35="","",ROUND(SUMIF(Торговля!$E$5:$E$300,$B35&amp;"/*",Торговля!$F$5:$F$300)+SUMIF(Торговля!$E$5:$E$300,"*/"&amp;$B35,Торговля!$K$5:$K$300)+SUMIF(Лэндинг!$E$5:$E$300,$B35&amp;"/*",Лэндинг!$F$5:$F$300)+SUMIF(Лэндинг!$E$5:$E$300,"*/"&amp;$B35,Лэндинг!$K$5:$K$300)+SUMIF(Закрытые!$E$5:$E$300,$B35&amp;"/*",Закрытые!$F$5:$F$300)+SUMIF(Закрытые!$E$5:$E$300,"*/"&amp;$B35,Закрытые!$K$5:$K$300)+SUMIF(История!$B$5:$B$300,$B35&amp;"/*",История!$C$5:$C$300)+SUMIF(История!$B$5:$B$300,"*/"&amp;$B35,История!$H$5:$H$300),8))</f>
        <v/>
      </c>
      <c r="D35" s="240">
        <f>IF($B35="","",ROUND(SUMIF(Торговля!$E$5:$E$300,$B35&amp;"/*",Торговля!$I$5:$I$300)+SUMIF(Торговля!$E$5:$E$300,"*/"&amp;$B35,Торговля!$H$5:$H$300)+SUMIF(Лэндинг!$E$5:$E$300,$B35&amp;"/*",Лэндинг!$I$5:$I$300)+SUMIF(Лэндинг!$E$5:$E$300,"*/"&amp;$B35,Лэндинг!$H$5:$H$300)+SUMIF(Закрытые!$E$5:$E$300,$B35&amp;"/*",Закрытые!$I$5:$I$300)+SUMIF(Закрытые!$E$5:$E$300,"*/"&amp;$B35,Закрытые!$H$5:$H$300)+SUMIF(История!$B$5:$B$300,$B35&amp;"/*",История!$F$5:$F$300)+SUMIF(История!$B$5:$B$300,"*/"&amp;$B35,История!$E$5:$E$300),8))</f>
        <v/>
      </c>
      <c r="E35" s="339">
        <f>IF($B35="","",ROUND(C35-D35,8))</f>
        <v/>
      </c>
    </row>
    <row r="36" ht="22" customHeight="1">
      <c r="B36" s="320" t="n"/>
      <c r="C36" s="240">
        <f>IF($B36="","",ROUND(SUMIF(Торговля!$E$5:$E$300,$B36&amp;"/*",Торговля!$F$5:$F$300)+SUMIF(Торговля!$E$5:$E$300,"*/"&amp;$B36,Торговля!$K$5:$K$300)+SUMIF(Лэндинг!$E$5:$E$300,$B36&amp;"/*",Лэндинг!$F$5:$F$300)+SUMIF(Лэндинг!$E$5:$E$300,"*/"&amp;$B36,Лэндинг!$K$5:$K$300)+SUMIF(Закрытые!$E$5:$E$300,$B36&amp;"/*",Закрытые!$F$5:$F$300)+SUMIF(Закрытые!$E$5:$E$300,"*/"&amp;$B36,Закрытые!$K$5:$K$300)+SUMIF(История!$B$5:$B$300,$B36&amp;"/*",История!$C$5:$C$300)+SUMIF(История!$B$5:$B$300,"*/"&amp;$B36,История!$H$5:$H$300),8))</f>
        <v/>
      </c>
      <c r="D36" s="240">
        <f>IF($B36="","",ROUND(SUMIF(Торговля!$E$5:$E$300,$B36&amp;"/*",Торговля!$I$5:$I$300)+SUMIF(Торговля!$E$5:$E$300,"*/"&amp;$B36,Торговля!$H$5:$H$300)+SUMIF(Лэндинг!$E$5:$E$300,$B36&amp;"/*",Лэндинг!$I$5:$I$300)+SUMIF(Лэндинг!$E$5:$E$300,"*/"&amp;$B36,Лэндинг!$H$5:$H$300)+SUMIF(Закрытые!$E$5:$E$300,$B36&amp;"/*",Закрытые!$I$5:$I$300)+SUMIF(Закрытые!$E$5:$E$300,"*/"&amp;$B36,Закрытые!$H$5:$H$300)+SUMIF(История!$B$5:$B$300,$B36&amp;"/*",История!$F$5:$F$300)+SUMIF(История!$B$5:$B$300,"*/"&amp;$B36,История!$E$5:$E$300),8))</f>
        <v/>
      </c>
      <c r="E36" s="339">
        <f>IF($B36="","",ROUND(C36-D36,8))</f>
        <v/>
      </c>
    </row>
    <row r="37" ht="22" customHeight="1">
      <c r="B37" s="315" t="n"/>
      <c r="C37" s="240">
        <f>IF($B37="","",ROUND(SUMIF(Торговля!$E$5:$E$300,$B37&amp;"/*",Торговля!$F$5:$F$300)+SUMIF(Торговля!$E$5:$E$300,"*/"&amp;$B37,Торговля!$K$5:$K$300)+SUMIF(Лэндинг!$E$5:$E$300,$B37&amp;"/*",Лэндинг!$F$5:$F$300)+SUMIF(Лэндинг!$E$5:$E$300,"*/"&amp;$B37,Лэндинг!$K$5:$K$300)+SUMIF(Закрытые!$E$5:$E$300,$B37&amp;"/*",Закрытые!$F$5:$F$300)+SUMIF(Закрытые!$E$5:$E$300,"*/"&amp;$B37,Закрытые!$K$5:$K$300)+SUMIF(История!$B$5:$B$300,$B37&amp;"/*",История!$C$5:$C$300)+SUMIF(История!$B$5:$B$300,"*/"&amp;$B37,История!$H$5:$H$300),8))</f>
        <v/>
      </c>
      <c r="D37" s="240">
        <f>IF($B37="","",ROUND(SUMIF(Торговля!$E$5:$E$300,$B37&amp;"/*",Торговля!$I$5:$I$300)+SUMIF(Торговля!$E$5:$E$300,"*/"&amp;$B37,Торговля!$H$5:$H$300)+SUMIF(Лэндинг!$E$5:$E$300,$B37&amp;"/*",Лэндинг!$I$5:$I$300)+SUMIF(Лэндинг!$E$5:$E$300,"*/"&amp;$B37,Лэндинг!$H$5:$H$300)+SUMIF(Закрытые!$E$5:$E$300,$B37&amp;"/*",Закрытые!$I$5:$I$300)+SUMIF(Закрытые!$E$5:$E$300,"*/"&amp;$B37,Закрытые!$H$5:$H$300)+SUMIF(История!$B$5:$B$300,$B37&amp;"/*",История!$F$5:$F$300)+SUMIF(История!$B$5:$B$300,"*/"&amp;$B37,История!$E$5:$E$300),8))</f>
        <v/>
      </c>
      <c r="E37" s="339">
        <f>IF($B37="","",ROUND(C37-D37,8))</f>
        <v/>
      </c>
    </row>
    <row r="38" ht="22" customHeight="1">
      <c r="B38" s="320" t="n"/>
      <c r="C38" s="240">
        <f>IF($B38="","",ROUND(SUMIF(Торговля!$E$5:$E$300,$B38&amp;"/*",Торговля!$F$5:$F$300)+SUMIF(Торговля!$E$5:$E$300,"*/"&amp;$B38,Торговля!$K$5:$K$300)+SUMIF(Лэндинг!$E$5:$E$300,$B38&amp;"/*",Лэндинг!$F$5:$F$300)+SUMIF(Лэндинг!$E$5:$E$300,"*/"&amp;$B38,Лэндинг!$K$5:$K$300)+SUMIF(Закрытые!$E$5:$E$300,$B38&amp;"/*",Закрытые!$F$5:$F$300)+SUMIF(Закрытые!$E$5:$E$300,"*/"&amp;$B38,Закрытые!$K$5:$K$300)+SUMIF(История!$B$5:$B$300,$B38&amp;"/*",История!$C$5:$C$300)+SUMIF(История!$B$5:$B$300,"*/"&amp;$B38,История!$H$5:$H$300),8))</f>
        <v/>
      </c>
      <c r="D38" s="240">
        <f>IF($B38="","",ROUND(SUMIF(Торговля!$E$5:$E$300,$B38&amp;"/*",Торговля!$I$5:$I$300)+SUMIF(Торговля!$E$5:$E$300,"*/"&amp;$B38,Торговля!$H$5:$H$300)+SUMIF(Лэндинг!$E$5:$E$300,$B38&amp;"/*",Лэндинг!$I$5:$I$300)+SUMIF(Лэндинг!$E$5:$E$300,"*/"&amp;$B38,Лэндинг!$H$5:$H$300)+SUMIF(Закрытые!$E$5:$E$300,$B38&amp;"/*",Закрытые!$I$5:$I$300)+SUMIF(Закрытые!$E$5:$E$300,"*/"&amp;$B38,Закрытые!$H$5:$H$300)+SUMIF(История!$B$5:$B$300,$B38&amp;"/*",История!$F$5:$F$300)+SUMIF(История!$B$5:$B$300,"*/"&amp;$B38,История!$E$5:$E$300),8))</f>
        <v/>
      </c>
      <c r="E38" s="339">
        <f>IF($B38="","",ROUND(C38-D38,8))</f>
        <v/>
      </c>
    </row>
    <row r="39" ht="22" customHeight="1">
      <c r="B39" s="315" t="n"/>
      <c r="C39" s="240">
        <f>IF($B39="","",ROUND(SUMIF(Торговля!$E$5:$E$300,$B39&amp;"/*",Торговля!$F$5:$F$300)+SUMIF(Торговля!$E$5:$E$300,"*/"&amp;$B39,Торговля!$K$5:$K$300)+SUMIF(Лэндинг!$E$5:$E$300,$B39&amp;"/*",Лэндинг!$F$5:$F$300)+SUMIF(Лэндинг!$E$5:$E$300,"*/"&amp;$B39,Лэндинг!$K$5:$K$300)+SUMIF(Закрытые!$E$5:$E$300,$B39&amp;"/*",Закрытые!$F$5:$F$300)+SUMIF(Закрытые!$E$5:$E$300,"*/"&amp;$B39,Закрытые!$K$5:$K$300)+SUMIF(История!$B$5:$B$300,$B39&amp;"/*",История!$C$5:$C$300)+SUMIF(История!$B$5:$B$300,"*/"&amp;$B39,История!$H$5:$H$300),8))</f>
        <v/>
      </c>
      <c r="D39" s="240">
        <f>IF($B39="","",ROUND(SUMIF(Торговля!$E$5:$E$300,$B39&amp;"/*",Торговля!$I$5:$I$300)+SUMIF(Торговля!$E$5:$E$300,"*/"&amp;$B39,Торговля!$H$5:$H$300)+SUMIF(Лэндинг!$E$5:$E$300,$B39&amp;"/*",Лэндинг!$I$5:$I$300)+SUMIF(Лэндинг!$E$5:$E$300,"*/"&amp;$B39,Лэндинг!$H$5:$H$300)+SUMIF(Закрытые!$E$5:$E$300,$B39&amp;"/*",Закрытые!$I$5:$I$300)+SUMIF(Закрытые!$E$5:$E$300,"*/"&amp;$B39,Закрытые!$H$5:$H$300)+SUMIF(История!$B$5:$B$300,$B39&amp;"/*",История!$F$5:$F$300)+SUMIF(История!$B$5:$B$300,"*/"&amp;$B39,История!$E$5:$E$300),8))</f>
        <v/>
      </c>
      <c r="E39" s="339">
        <f>IF($B39="","",ROUND(C39-D39,8))</f>
        <v/>
      </c>
    </row>
    <row r="40" ht="22" customHeight="1">
      <c r="B40" s="320" t="n"/>
      <c r="C40" s="240">
        <f>IF($B40="","",ROUND(SUMIF(Торговля!$E$5:$E$300,$B40&amp;"/*",Торговля!$F$5:$F$300)+SUMIF(Торговля!$E$5:$E$300,"*/"&amp;$B40,Торговля!$K$5:$K$300)+SUMIF(Лэндинг!$E$5:$E$300,$B40&amp;"/*",Лэндинг!$F$5:$F$300)+SUMIF(Лэндинг!$E$5:$E$300,"*/"&amp;$B40,Лэндинг!$K$5:$K$300)+SUMIF(Закрытые!$E$5:$E$300,$B40&amp;"/*",Закрытые!$F$5:$F$300)+SUMIF(Закрытые!$E$5:$E$300,"*/"&amp;$B40,Закрытые!$K$5:$K$300)+SUMIF(История!$B$5:$B$300,$B40&amp;"/*",История!$C$5:$C$300)+SUMIF(История!$B$5:$B$300,"*/"&amp;$B40,История!$H$5:$H$300),8))</f>
        <v/>
      </c>
      <c r="D40" s="240">
        <f>IF($B40="","",ROUND(SUMIF(Торговля!$E$5:$E$300,$B40&amp;"/*",Торговля!$I$5:$I$300)+SUMIF(Торговля!$E$5:$E$300,"*/"&amp;$B40,Торговля!$H$5:$H$300)+SUMIF(Лэндинг!$E$5:$E$300,$B40&amp;"/*",Лэндинг!$I$5:$I$300)+SUMIF(Лэндинг!$E$5:$E$300,"*/"&amp;$B40,Лэндинг!$H$5:$H$300)+SUMIF(Закрытые!$E$5:$E$300,$B40&amp;"/*",Закрытые!$I$5:$I$300)+SUMIF(Закрытые!$E$5:$E$300,"*/"&amp;$B40,Закрытые!$H$5:$H$300)+SUMIF(История!$B$5:$B$300,$B40&amp;"/*",История!$F$5:$F$300)+SUMIF(История!$B$5:$B$300,"*/"&amp;$B40,История!$E$5:$E$300),8))</f>
        <v/>
      </c>
      <c r="E40" s="339">
        <f>IF($B40="","",ROUND(C40-D40,8))</f>
        <v/>
      </c>
    </row>
    <row r="41" ht="22" customHeight="1">
      <c r="B41" s="315" t="n"/>
      <c r="C41" s="240">
        <f>IF($B41="","",ROUND(SUMIF(Торговля!$E$5:$E$300,$B41&amp;"/*",Торговля!$F$5:$F$300)+SUMIF(Торговля!$E$5:$E$300,"*/"&amp;$B41,Торговля!$K$5:$K$300)+SUMIF(Лэндинг!$E$5:$E$300,$B41&amp;"/*",Лэндинг!$F$5:$F$300)+SUMIF(Лэндинг!$E$5:$E$300,"*/"&amp;$B41,Лэндинг!$K$5:$K$300)+SUMIF(Закрытые!$E$5:$E$300,$B41&amp;"/*",Закрытые!$F$5:$F$300)+SUMIF(Закрытые!$E$5:$E$300,"*/"&amp;$B41,Закрытые!$K$5:$K$300)+SUMIF(История!$B$5:$B$300,$B41&amp;"/*",История!$C$5:$C$300)+SUMIF(История!$B$5:$B$300,"*/"&amp;$B41,История!$H$5:$H$300),8))</f>
        <v/>
      </c>
      <c r="D41" s="240">
        <f>IF($B41="","",ROUND(SUMIF(Торговля!$E$5:$E$300,$B41&amp;"/*",Торговля!$I$5:$I$300)+SUMIF(Торговля!$E$5:$E$300,"*/"&amp;$B41,Торговля!$H$5:$H$300)+SUMIF(Лэндинг!$E$5:$E$300,$B41&amp;"/*",Лэндинг!$I$5:$I$300)+SUMIF(Лэндинг!$E$5:$E$300,"*/"&amp;$B41,Лэндинг!$H$5:$H$300)+SUMIF(Закрытые!$E$5:$E$300,$B41&amp;"/*",Закрытые!$I$5:$I$300)+SUMIF(Закрытые!$E$5:$E$300,"*/"&amp;$B41,Закрытые!$H$5:$H$300)+SUMIF(История!$B$5:$B$300,$B41&amp;"/*",История!$F$5:$F$300)+SUMIF(История!$B$5:$B$300,"*/"&amp;$B41,История!$E$5:$E$300),8))</f>
        <v/>
      </c>
      <c r="E41" s="339">
        <f>IF($B41="","",ROUND(C41-D41,8))</f>
        <v/>
      </c>
    </row>
    <row r="42" ht="22" customHeight="1">
      <c r="B42" s="320" t="n"/>
      <c r="C42" s="240">
        <f>IF($B42="","",ROUND(SUMIF(Торговля!$E$5:$E$300,$B42&amp;"/*",Торговля!$F$5:$F$300)+SUMIF(Торговля!$E$5:$E$300,"*/"&amp;$B42,Торговля!$K$5:$K$300)+SUMIF(Лэндинг!$E$5:$E$300,$B42&amp;"/*",Лэндинг!$F$5:$F$300)+SUMIF(Лэндинг!$E$5:$E$300,"*/"&amp;$B42,Лэндинг!$K$5:$K$300)+SUMIF(Закрытые!$E$5:$E$300,$B42&amp;"/*",Закрытые!$F$5:$F$300)+SUMIF(Закрытые!$E$5:$E$300,"*/"&amp;$B42,Закрытые!$K$5:$K$300)+SUMIF(История!$B$5:$B$300,$B42&amp;"/*",История!$C$5:$C$300)+SUMIF(История!$B$5:$B$300,"*/"&amp;$B42,История!$H$5:$H$300),8))</f>
        <v/>
      </c>
      <c r="D42" s="240">
        <f>IF($B42="","",ROUND(SUMIF(Торговля!$E$5:$E$300,$B42&amp;"/*",Торговля!$I$5:$I$300)+SUMIF(Торговля!$E$5:$E$300,"*/"&amp;$B42,Торговля!$H$5:$H$300)+SUMIF(Лэндинг!$E$5:$E$300,$B42&amp;"/*",Лэндинг!$I$5:$I$300)+SUMIF(Лэндинг!$E$5:$E$300,"*/"&amp;$B42,Лэндинг!$H$5:$H$300)+SUMIF(Закрытые!$E$5:$E$300,$B42&amp;"/*",Закрытые!$I$5:$I$300)+SUMIF(Закрытые!$E$5:$E$300,"*/"&amp;$B42,Закрытые!$H$5:$H$300)+SUMIF(История!$B$5:$B$300,$B42&amp;"/*",История!$F$5:$F$300)+SUMIF(История!$B$5:$B$300,"*/"&amp;$B42,История!$E$5:$E$300),8))</f>
        <v/>
      </c>
      <c r="E42" s="339">
        <f>IF($B42="","",ROUND(C42-D42,8))</f>
        <v/>
      </c>
    </row>
    <row r="43" ht="22" customHeight="1">
      <c r="B43" s="315" t="n"/>
      <c r="C43" s="240">
        <f>IF($B43="","",ROUND(SUMIF(Торговля!$E$5:$E$300,$B43&amp;"/*",Торговля!$F$5:$F$300)+SUMIF(Торговля!$E$5:$E$300,"*/"&amp;$B43,Торговля!$K$5:$K$300)+SUMIF(Лэндинг!$E$5:$E$300,$B43&amp;"/*",Лэндинг!$F$5:$F$300)+SUMIF(Лэндинг!$E$5:$E$300,"*/"&amp;$B43,Лэндинг!$K$5:$K$300)+SUMIF(Закрытые!$E$5:$E$300,$B43&amp;"/*",Закрытые!$F$5:$F$300)+SUMIF(Закрытые!$E$5:$E$300,"*/"&amp;$B43,Закрытые!$K$5:$K$300)+SUMIF(История!$B$5:$B$300,$B43&amp;"/*",История!$C$5:$C$300)+SUMIF(История!$B$5:$B$300,"*/"&amp;$B43,История!$H$5:$H$300),8))</f>
        <v/>
      </c>
      <c r="D43" s="240">
        <f>IF($B43="","",ROUND(SUMIF(Торговля!$E$5:$E$300,$B43&amp;"/*",Торговля!$I$5:$I$300)+SUMIF(Торговля!$E$5:$E$300,"*/"&amp;$B43,Торговля!$H$5:$H$300)+SUMIF(Лэндинг!$E$5:$E$300,$B43&amp;"/*",Лэндинг!$I$5:$I$300)+SUMIF(Лэндинг!$E$5:$E$300,"*/"&amp;$B43,Лэндинг!$H$5:$H$300)+SUMIF(Закрытые!$E$5:$E$300,$B43&amp;"/*",Закрытые!$I$5:$I$300)+SUMIF(Закрытые!$E$5:$E$300,"*/"&amp;$B43,Закрытые!$H$5:$H$300)+SUMIF(История!$B$5:$B$300,$B43&amp;"/*",История!$F$5:$F$300)+SUMIF(История!$B$5:$B$300,"*/"&amp;$B43,История!$E$5:$E$300),8))</f>
        <v/>
      </c>
      <c r="E43" s="339">
        <f>IF($B43="","",ROUND(C43-D43,8))</f>
        <v/>
      </c>
    </row>
    <row r="44" ht="22" customHeight="1">
      <c r="B44" s="320" t="n"/>
      <c r="C44" s="240">
        <f>IF($B44="","",ROUND(SUMIF(Торговля!$E$5:$E$300,$B44&amp;"/*",Торговля!$F$5:$F$300)+SUMIF(Торговля!$E$5:$E$300,"*/"&amp;$B44,Торговля!$K$5:$K$300)+SUMIF(Лэндинг!$E$5:$E$300,$B44&amp;"/*",Лэндинг!$F$5:$F$300)+SUMIF(Лэндинг!$E$5:$E$300,"*/"&amp;$B44,Лэндинг!$K$5:$K$300)+SUMIF(Закрытые!$E$5:$E$300,$B44&amp;"/*",Закрытые!$F$5:$F$300)+SUMIF(Закрытые!$E$5:$E$300,"*/"&amp;$B44,Закрытые!$K$5:$K$300)+SUMIF(История!$B$5:$B$300,$B44&amp;"/*",История!$C$5:$C$300)+SUMIF(История!$B$5:$B$300,"*/"&amp;$B44,История!$H$5:$H$300),8))</f>
        <v/>
      </c>
      <c r="D44" s="240">
        <f>IF($B44="","",ROUND(SUMIF(Торговля!$E$5:$E$300,$B44&amp;"/*",Торговля!$I$5:$I$300)+SUMIF(Торговля!$E$5:$E$300,"*/"&amp;$B44,Торговля!$H$5:$H$300)+SUMIF(Лэндинг!$E$5:$E$300,$B44&amp;"/*",Лэндинг!$I$5:$I$300)+SUMIF(Лэндинг!$E$5:$E$300,"*/"&amp;$B44,Лэндинг!$H$5:$H$300)+SUMIF(Закрытые!$E$5:$E$300,$B44&amp;"/*",Закрытые!$I$5:$I$300)+SUMIF(Закрытые!$E$5:$E$300,"*/"&amp;$B44,Закрытые!$H$5:$H$300)+SUMIF(История!$B$5:$B$300,$B44&amp;"/*",История!$F$5:$F$300)+SUMIF(История!$B$5:$B$300,"*/"&amp;$B44,История!$E$5:$E$300),8))</f>
        <v/>
      </c>
      <c r="E44" s="339">
        <f>IF($B44="","",ROUND(C44-D44,8))</f>
        <v/>
      </c>
    </row>
    <row r="45" ht="22" customHeight="1">
      <c r="B45" s="315" t="n"/>
      <c r="C45" s="240">
        <f>IF($B45="","",ROUND(SUMIF(Торговля!$E$5:$E$300,$B45&amp;"/*",Торговля!$F$5:$F$300)+SUMIF(Торговля!$E$5:$E$300,"*/"&amp;$B45,Торговля!$K$5:$K$300)+SUMIF(Лэндинг!$E$5:$E$300,$B45&amp;"/*",Лэндинг!$F$5:$F$300)+SUMIF(Лэндинг!$E$5:$E$300,"*/"&amp;$B45,Лэндинг!$K$5:$K$300)+SUMIF(Закрытые!$E$5:$E$300,$B45&amp;"/*",Закрытые!$F$5:$F$300)+SUMIF(Закрытые!$E$5:$E$300,"*/"&amp;$B45,Закрытые!$K$5:$K$300)+SUMIF(История!$B$5:$B$300,$B45&amp;"/*",История!$C$5:$C$300)+SUMIF(История!$B$5:$B$300,"*/"&amp;$B45,История!$H$5:$H$300),8))</f>
        <v/>
      </c>
      <c r="D45" s="240">
        <f>IF($B45="","",ROUND(SUMIF(Торговля!$E$5:$E$300,$B45&amp;"/*",Торговля!$I$5:$I$300)+SUMIF(Торговля!$E$5:$E$300,"*/"&amp;$B45,Торговля!$H$5:$H$300)+SUMIF(Лэндинг!$E$5:$E$300,$B45&amp;"/*",Лэндинг!$I$5:$I$300)+SUMIF(Лэндинг!$E$5:$E$300,"*/"&amp;$B45,Лэндинг!$H$5:$H$300)+SUMIF(Закрытые!$E$5:$E$300,$B45&amp;"/*",Закрытые!$I$5:$I$300)+SUMIF(Закрытые!$E$5:$E$300,"*/"&amp;$B45,Закрытые!$H$5:$H$300)+SUMIF(История!$B$5:$B$300,$B45&amp;"/*",История!$F$5:$F$300)+SUMIF(История!$B$5:$B$300,"*/"&amp;$B45,История!$E$5:$E$300),8))</f>
        <v/>
      </c>
      <c r="E45" s="339">
        <f>IF($B45="","",ROUND(C45-D45,8))</f>
        <v/>
      </c>
    </row>
    <row r="46" ht="22" customHeight="1">
      <c r="B46" s="320" t="n"/>
      <c r="C46" s="240">
        <f>IF($B46="","",ROUND(SUMIF(Торговля!$E$5:$E$300,$B46&amp;"/*",Торговля!$F$5:$F$300)+SUMIF(Торговля!$E$5:$E$300,"*/"&amp;$B46,Торговля!$K$5:$K$300)+SUMIF(Лэндинг!$E$5:$E$300,$B46&amp;"/*",Лэндинг!$F$5:$F$300)+SUMIF(Лэндинг!$E$5:$E$300,"*/"&amp;$B46,Лэндинг!$K$5:$K$300)+SUMIF(Закрытые!$E$5:$E$300,$B46&amp;"/*",Закрытые!$F$5:$F$300)+SUMIF(Закрытые!$E$5:$E$300,"*/"&amp;$B46,Закрытые!$K$5:$K$300)+SUMIF(История!$B$5:$B$300,$B46&amp;"/*",История!$C$5:$C$300)+SUMIF(История!$B$5:$B$300,"*/"&amp;$B46,История!$H$5:$H$300),8))</f>
        <v/>
      </c>
      <c r="D46" s="240">
        <f>IF($B46="","",ROUND(SUMIF(Торговля!$E$5:$E$300,$B46&amp;"/*",Торговля!$I$5:$I$300)+SUMIF(Торговля!$E$5:$E$300,"*/"&amp;$B46,Торговля!$H$5:$H$300)+SUMIF(Лэндинг!$E$5:$E$300,$B46&amp;"/*",Лэндинг!$I$5:$I$300)+SUMIF(Лэндинг!$E$5:$E$300,"*/"&amp;$B46,Лэндинг!$H$5:$H$300)+SUMIF(Закрытые!$E$5:$E$300,$B46&amp;"/*",Закрытые!$I$5:$I$300)+SUMIF(Закрытые!$E$5:$E$300,"*/"&amp;$B46,Закрытые!$H$5:$H$300)+SUMIF(История!$B$5:$B$300,$B46&amp;"/*",История!$F$5:$F$300)+SUMIF(История!$B$5:$B$300,"*/"&amp;$B46,История!$E$5:$E$300),8))</f>
        <v/>
      </c>
      <c r="E46" s="339">
        <f>IF($B46="","",ROUND(C46-D46,8))</f>
        <v/>
      </c>
    </row>
    <row r="47" ht="22" customHeight="1">
      <c r="B47" s="315" t="n"/>
      <c r="C47" s="240">
        <f>IF($B47="","",ROUND(SUMIF(Торговля!$E$5:$E$300,$B47&amp;"/*",Торговля!$F$5:$F$300)+SUMIF(Торговля!$E$5:$E$300,"*/"&amp;$B47,Торговля!$K$5:$K$300)+SUMIF(Лэндинг!$E$5:$E$300,$B47&amp;"/*",Лэндинг!$F$5:$F$300)+SUMIF(Лэндинг!$E$5:$E$300,"*/"&amp;$B47,Лэндинг!$K$5:$K$300)+SUMIF(Закрытые!$E$5:$E$300,$B47&amp;"/*",Закрытые!$F$5:$F$300)+SUMIF(Закрытые!$E$5:$E$300,"*/"&amp;$B47,Закрытые!$K$5:$K$300)+SUMIF(История!$B$5:$B$300,$B47&amp;"/*",История!$C$5:$C$300)+SUMIF(История!$B$5:$B$300,"*/"&amp;$B47,История!$H$5:$H$300),8))</f>
        <v/>
      </c>
      <c r="D47" s="240">
        <f>IF($B47="","",ROUND(SUMIF(Торговля!$E$5:$E$300,$B47&amp;"/*",Торговля!$I$5:$I$300)+SUMIF(Торговля!$E$5:$E$300,"*/"&amp;$B47,Торговля!$H$5:$H$300)+SUMIF(Лэндинг!$E$5:$E$300,$B47&amp;"/*",Лэндинг!$I$5:$I$300)+SUMIF(Лэндинг!$E$5:$E$300,"*/"&amp;$B47,Лэндинг!$H$5:$H$300)+SUMIF(Закрытые!$E$5:$E$300,$B47&amp;"/*",Закрытые!$I$5:$I$300)+SUMIF(Закрытые!$E$5:$E$300,"*/"&amp;$B47,Закрытые!$H$5:$H$300)+SUMIF(История!$B$5:$B$300,$B47&amp;"/*",История!$F$5:$F$300)+SUMIF(История!$B$5:$B$300,"*/"&amp;$B47,История!$E$5:$E$300),8))</f>
        <v/>
      </c>
      <c r="E47" s="339">
        <f>IF($B47="","",ROUND(C47-D47,8))</f>
        <v/>
      </c>
    </row>
    <row r="48" ht="22" customHeight="1">
      <c r="B48" s="320" t="n"/>
      <c r="C48" s="240">
        <f>IF($B48="","",ROUND(SUMIF(Торговля!$E$5:$E$300,$B48&amp;"/*",Торговля!$F$5:$F$300)+SUMIF(Торговля!$E$5:$E$300,"*/"&amp;$B48,Торговля!$K$5:$K$300)+SUMIF(Лэндинг!$E$5:$E$300,$B48&amp;"/*",Лэндинг!$F$5:$F$300)+SUMIF(Лэндинг!$E$5:$E$300,"*/"&amp;$B48,Лэндинг!$K$5:$K$300)+SUMIF(Закрытые!$E$5:$E$300,$B48&amp;"/*",Закрытые!$F$5:$F$300)+SUMIF(Закрытые!$E$5:$E$300,"*/"&amp;$B48,Закрытые!$K$5:$K$300)+SUMIF(История!$B$5:$B$300,$B48&amp;"/*",История!$C$5:$C$300)+SUMIF(История!$B$5:$B$300,"*/"&amp;$B48,История!$H$5:$H$300),8))</f>
        <v/>
      </c>
      <c r="D48" s="240">
        <f>IF($B48="","",ROUND(SUMIF(Торговля!$E$5:$E$300,$B48&amp;"/*",Торговля!$I$5:$I$300)+SUMIF(Торговля!$E$5:$E$300,"*/"&amp;$B48,Торговля!$H$5:$H$300)+SUMIF(Лэндинг!$E$5:$E$300,$B48&amp;"/*",Лэндинг!$I$5:$I$300)+SUMIF(Лэндинг!$E$5:$E$300,"*/"&amp;$B48,Лэндинг!$H$5:$H$300)+SUMIF(Закрытые!$E$5:$E$300,$B48&amp;"/*",Закрытые!$I$5:$I$300)+SUMIF(Закрытые!$E$5:$E$300,"*/"&amp;$B48,Закрытые!$H$5:$H$300)+SUMIF(История!$B$5:$B$300,$B48&amp;"/*",История!$F$5:$F$300)+SUMIF(История!$B$5:$B$300,"*/"&amp;$B48,История!$E$5:$E$300),8))</f>
        <v/>
      </c>
      <c r="E48" s="339">
        <f>IF($B48="","",ROUND(C48-D48,8))</f>
        <v/>
      </c>
    </row>
    <row r="49" ht="22" customHeight="1">
      <c r="B49" s="315" t="n"/>
      <c r="C49" s="240">
        <f>IF($B49="","",ROUND(SUMIF(Торговля!$E$5:$E$300,$B49&amp;"/*",Торговля!$F$5:$F$300)+SUMIF(Торговля!$E$5:$E$300,"*/"&amp;$B49,Торговля!$K$5:$K$300)+SUMIF(Лэндинг!$E$5:$E$300,$B49&amp;"/*",Лэндинг!$F$5:$F$300)+SUMIF(Лэндинг!$E$5:$E$300,"*/"&amp;$B49,Лэндинг!$K$5:$K$300)+SUMIF(Закрытые!$E$5:$E$300,$B49&amp;"/*",Закрытые!$F$5:$F$300)+SUMIF(Закрытые!$E$5:$E$300,"*/"&amp;$B49,Закрытые!$K$5:$K$300)+SUMIF(История!$B$5:$B$300,$B49&amp;"/*",История!$C$5:$C$300)+SUMIF(История!$B$5:$B$300,"*/"&amp;$B49,История!$H$5:$H$300),8))</f>
        <v/>
      </c>
      <c r="D49" s="240">
        <f>IF($B49="","",ROUND(SUMIF(Торговля!$E$5:$E$300,$B49&amp;"/*",Торговля!$I$5:$I$300)+SUMIF(Торговля!$E$5:$E$300,"*/"&amp;$B49,Торговля!$H$5:$H$300)+SUMIF(Лэндинг!$E$5:$E$300,$B49&amp;"/*",Лэндинг!$I$5:$I$300)+SUMIF(Лэндинг!$E$5:$E$300,"*/"&amp;$B49,Лэндинг!$H$5:$H$300)+SUMIF(Закрытые!$E$5:$E$300,$B49&amp;"/*",Закрытые!$I$5:$I$300)+SUMIF(Закрытые!$E$5:$E$300,"*/"&amp;$B49,Закрытые!$H$5:$H$300)+SUMIF(История!$B$5:$B$300,$B49&amp;"/*",История!$F$5:$F$300)+SUMIF(История!$B$5:$B$300,"*/"&amp;$B49,История!$E$5:$E$300),8))</f>
        <v/>
      </c>
      <c r="E49" s="339">
        <f>IF($B49="","",ROUND(C49-D49,8))</f>
        <v/>
      </c>
    </row>
    <row r="50" ht="22" customHeight="1">
      <c r="B50" s="320" t="n"/>
      <c r="C50" s="240">
        <f>IF($B50="","",ROUND(SUMIF(Торговля!$E$5:$E$300,$B50&amp;"/*",Торговля!$F$5:$F$300)+SUMIF(Торговля!$E$5:$E$300,"*/"&amp;$B50,Торговля!$K$5:$K$300)+SUMIF(Лэндинг!$E$5:$E$300,$B50&amp;"/*",Лэндинг!$F$5:$F$300)+SUMIF(Лэндинг!$E$5:$E$300,"*/"&amp;$B50,Лэндинг!$K$5:$K$300)+SUMIF(Закрытые!$E$5:$E$300,$B50&amp;"/*",Закрытые!$F$5:$F$300)+SUMIF(Закрытые!$E$5:$E$300,"*/"&amp;$B50,Закрытые!$K$5:$K$300)+SUMIF(История!$B$5:$B$300,$B50&amp;"/*",История!$C$5:$C$300)+SUMIF(История!$B$5:$B$300,"*/"&amp;$B50,История!$H$5:$H$300),8))</f>
        <v/>
      </c>
      <c r="D50" s="240">
        <f>IF($B50="","",ROUND(SUMIF(Торговля!$E$5:$E$300,$B50&amp;"/*",Торговля!$I$5:$I$300)+SUMIF(Торговля!$E$5:$E$300,"*/"&amp;$B50,Торговля!$H$5:$H$300)+SUMIF(Лэндинг!$E$5:$E$300,$B50&amp;"/*",Лэндинг!$I$5:$I$300)+SUMIF(Лэндинг!$E$5:$E$300,"*/"&amp;$B50,Лэндинг!$H$5:$H$300)+SUMIF(Закрытые!$E$5:$E$300,$B50&amp;"/*",Закрытые!$I$5:$I$300)+SUMIF(Закрытые!$E$5:$E$300,"*/"&amp;$B50,Закрытые!$H$5:$H$300)+SUMIF(История!$B$5:$B$300,$B50&amp;"/*",История!$F$5:$F$300)+SUMIF(История!$B$5:$B$300,"*/"&amp;$B50,История!$E$5:$E$300),8))</f>
        <v/>
      </c>
      <c r="E50" s="339">
        <f>IF($B50="","",ROUND(C50-D50,8))</f>
        <v/>
      </c>
    </row>
    <row r="51" ht="22" customHeight="1">
      <c r="B51" s="315" t="n"/>
      <c r="C51" s="240">
        <f>IF($B51="","",ROUND(SUMIF(Торговля!$E$5:$E$300,$B51&amp;"/*",Торговля!$F$5:$F$300)+SUMIF(Торговля!$E$5:$E$300,"*/"&amp;$B51,Торговля!$K$5:$K$300)+SUMIF(Лэндинг!$E$5:$E$300,$B51&amp;"/*",Лэндинг!$F$5:$F$300)+SUMIF(Лэндинг!$E$5:$E$300,"*/"&amp;$B51,Лэндинг!$K$5:$K$300)+SUMIF(Закрытые!$E$5:$E$300,$B51&amp;"/*",Закрытые!$F$5:$F$300)+SUMIF(Закрытые!$E$5:$E$300,"*/"&amp;$B51,Закрытые!$K$5:$K$300)+SUMIF(История!$B$5:$B$300,$B51&amp;"/*",История!$C$5:$C$300)+SUMIF(История!$B$5:$B$300,"*/"&amp;$B51,История!$H$5:$H$300),8))</f>
        <v/>
      </c>
      <c r="D51" s="240">
        <f>IF($B51="","",ROUND(SUMIF(Торговля!$E$5:$E$300,$B51&amp;"/*",Торговля!$I$5:$I$300)+SUMIF(Торговля!$E$5:$E$300,"*/"&amp;$B51,Торговля!$H$5:$H$300)+SUMIF(Лэндинг!$E$5:$E$300,$B51&amp;"/*",Лэндинг!$I$5:$I$300)+SUMIF(Лэндинг!$E$5:$E$300,"*/"&amp;$B51,Лэндинг!$H$5:$H$300)+SUMIF(Закрытые!$E$5:$E$300,$B51&amp;"/*",Закрытые!$I$5:$I$300)+SUMIF(Закрытые!$E$5:$E$300,"*/"&amp;$B51,Закрытые!$H$5:$H$300)+SUMIF(История!$B$5:$B$300,$B51&amp;"/*",История!$F$5:$F$300)+SUMIF(История!$B$5:$B$300,"*/"&amp;$B51,История!$E$5:$E$300),8))</f>
        <v/>
      </c>
      <c r="E51" s="339">
        <f>IF($B51="","",ROUND(C51-D51,8))</f>
        <v/>
      </c>
    </row>
    <row r="52" ht="22" customHeight="1">
      <c r="B52" s="320" t="n"/>
      <c r="C52" s="240">
        <f>IF($B52="","",ROUND(SUMIF(Торговля!$E$5:$E$300,$B52&amp;"/*",Торговля!$F$5:$F$300)+SUMIF(Торговля!$E$5:$E$300,"*/"&amp;$B52,Торговля!$K$5:$K$300)+SUMIF(Лэндинг!$E$5:$E$300,$B52&amp;"/*",Лэндинг!$F$5:$F$300)+SUMIF(Лэндинг!$E$5:$E$300,"*/"&amp;$B52,Лэндинг!$K$5:$K$300)+SUMIF(Закрытые!$E$5:$E$300,$B52&amp;"/*",Закрытые!$F$5:$F$300)+SUMIF(Закрытые!$E$5:$E$300,"*/"&amp;$B52,Закрытые!$K$5:$K$300)+SUMIF(История!$B$5:$B$300,$B52&amp;"/*",История!$C$5:$C$300)+SUMIF(История!$B$5:$B$300,"*/"&amp;$B52,История!$H$5:$H$300),8))</f>
        <v/>
      </c>
      <c r="D52" s="240">
        <f>IF($B52="","",ROUND(SUMIF(Торговля!$E$5:$E$300,$B52&amp;"/*",Торговля!$I$5:$I$300)+SUMIF(Торговля!$E$5:$E$300,"*/"&amp;$B52,Торговля!$H$5:$H$300)+SUMIF(Лэндинг!$E$5:$E$300,$B52&amp;"/*",Лэндинг!$I$5:$I$300)+SUMIF(Лэндинг!$E$5:$E$300,"*/"&amp;$B52,Лэндинг!$H$5:$H$300)+SUMIF(Закрытые!$E$5:$E$300,$B52&amp;"/*",Закрытые!$I$5:$I$300)+SUMIF(Закрытые!$E$5:$E$300,"*/"&amp;$B52,Закрытые!$H$5:$H$300)+SUMIF(История!$B$5:$B$300,$B52&amp;"/*",История!$F$5:$F$300)+SUMIF(История!$B$5:$B$300,"*/"&amp;$B52,История!$E$5:$E$300),8))</f>
        <v/>
      </c>
      <c r="E52" s="339">
        <f>IF($B52="","",ROUND(C52-D52,8))</f>
        <v/>
      </c>
    </row>
    <row r="53" ht="22" customHeight="1">
      <c r="B53" s="315" t="n"/>
      <c r="C53" s="240">
        <f>IF($B53="","",ROUND(SUMIF(Торговля!$E$5:$E$300,$B53&amp;"/*",Торговля!$F$5:$F$300)+SUMIF(Торговля!$E$5:$E$300,"*/"&amp;$B53,Торговля!$K$5:$K$300)+SUMIF(Лэндинг!$E$5:$E$300,$B53&amp;"/*",Лэндинг!$F$5:$F$300)+SUMIF(Лэндинг!$E$5:$E$300,"*/"&amp;$B53,Лэндинг!$K$5:$K$300)+SUMIF(Закрытые!$E$5:$E$300,$B53&amp;"/*",Закрытые!$F$5:$F$300)+SUMIF(Закрытые!$E$5:$E$300,"*/"&amp;$B53,Закрытые!$K$5:$K$300)+SUMIF(История!$B$5:$B$300,$B53&amp;"/*",История!$C$5:$C$300)+SUMIF(История!$B$5:$B$300,"*/"&amp;$B53,История!$H$5:$H$300),8))</f>
        <v/>
      </c>
      <c r="D53" s="240">
        <f>IF($B53="","",ROUND(SUMIF(Торговля!$E$5:$E$300,$B53&amp;"/*",Торговля!$I$5:$I$300)+SUMIF(Торговля!$E$5:$E$300,"*/"&amp;$B53,Торговля!$H$5:$H$300)+SUMIF(Лэндинг!$E$5:$E$300,$B53&amp;"/*",Лэндинг!$I$5:$I$300)+SUMIF(Лэндинг!$E$5:$E$300,"*/"&amp;$B53,Лэндинг!$H$5:$H$300)+SUMIF(Закрытые!$E$5:$E$300,$B53&amp;"/*",Закрытые!$I$5:$I$300)+SUMIF(Закрытые!$E$5:$E$300,"*/"&amp;$B53,Закрытые!$H$5:$H$300)+SUMIF(История!$B$5:$B$300,$B53&amp;"/*",История!$F$5:$F$300)+SUMIF(История!$B$5:$B$300,"*/"&amp;$B53,История!$E$5:$E$300),8))</f>
        <v/>
      </c>
      <c r="E53" s="339">
        <f>IF($B53="","",ROUND(C53-D53,8))</f>
        <v/>
      </c>
    </row>
    <row r="54" ht="22" customHeight="1">
      <c r="B54" s="320" t="n"/>
      <c r="C54" s="240">
        <f>IF($B54="","",ROUND(SUMIF(Торговля!$E$5:$E$300,$B54&amp;"/*",Торговля!$F$5:$F$300)+SUMIF(Торговля!$E$5:$E$300,"*/"&amp;$B54,Торговля!$K$5:$K$300)+SUMIF(Лэндинг!$E$5:$E$300,$B54&amp;"/*",Лэндинг!$F$5:$F$300)+SUMIF(Лэндинг!$E$5:$E$300,"*/"&amp;$B54,Лэндинг!$K$5:$K$300)+SUMIF(Закрытые!$E$5:$E$300,$B54&amp;"/*",Закрытые!$F$5:$F$300)+SUMIF(Закрытые!$E$5:$E$300,"*/"&amp;$B54,Закрытые!$K$5:$K$300)+SUMIF(История!$B$5:$B$300,$B54&amp;"/*",История!$C$5:$C$300)+SUMIF(История!$B$5:$B$300,"*/"&amp;$B54,История!$H$5:$H$300),8))</f>
        <v/>
      </c>
      <c r="D54" s="240">
        <f>IF($B54="","",ROUND(SUMIF(Торговля!$E$5:$E$300,$B54&amp;"/*",Торговля!$I$5:$I$300)+SUMIF(Торговля!$E$5:$E$300,"*/"&amp;$B54,Торговля!$H$5:$H$300)+SUMIF(Лэндинг!$E$5:$E$300,$B54&amp;"/*",Лэндинг!$I$5:$I$300)+SUMIF(Лэндинг!$E$5:$E$300,"*/"&amp;$B54,Лэндинг!$H$5:$H$300)+SUMIF(Закрытые!$E$5:$E$300,$B54&amp;"/*",Закрытые!$I$5:$I$300)+SUMIF(Закрытые!$E$5:$E$300,"*/"&amp;$B54,Закрытые!$H$5:$H$300)+SUMIF(История!$B$5:$B$300,$B54&amp;"/*",История!$F$5:$F$300)+SUMIF(История!$B$5:$B$300,"*/"&amp;$B54,История!$E$5:$E$300),8))</f>
        <v/>
      </c>
      <c r="E54" s="339">
        <f>IF($B54="","",ROUND(C54-D54,8))</f>
        <v/>
      </c>
    </row>
    <row r="55" ht="22" customHeight="1">
      <c r="B55" s="315" t="n"/>
      <c r="C55" s="240">
        <f>IF($B55="","",ROUND(SUMIF(Торговля!$E$5:$E$300,$B55&amp;"/*",Торговля!$F$5:$F$300)+SUMIF(Торговля!$E$5:$E$300,"*/"&amp;$B55,Торговля!$K$5:$K$300)+SUMIF(Лэндинг!$E$5:$E$300,$B55&amp;"/*",Лэндинг!$F$5:$F$300)+SUMIF(Лэндинг!$E$5:$E$300,"*/"&amp;$B55,Лэндинг!$K$5:$K$300)+SUMIF(Закрытые!$E$5:$E$300,$B55&amp;"/*",Закрытые!$F$5:$F$300)+SUMIF(Закрытые!$E$5:$E$300,"*/"&amp;$B55,Закрытые!$K$5:$K$300)+SUMIF(История!$B$5:$B$300,$B55&amp;"/*",История!$C$5:$C$300)+SUMIF(История!$B$5:$B$300,"*/"&amp;$B55,История!$H$5:$H$300),8))</f>
        <v/>
      </c>
      <c r="D55" s="240">
        <f>IF($B55="","",ROUND(SUMIF(Торговля!$E$5:$E$300,$B55&amp;"/*",Торговля!$I$5:$I$300)+SUMIF(Торговля!$E$5:$E$300,"*/"&amp;$B55,Торговля!$H$5:$H$300)+SUMIF(Лэндинг!$E$5:$E$300,$B55&amp;"/*",Лэндинг!$I$5:$I$300)+SUMIF(Лэндинг!$E$5:$E$300,"*/"&amp;$B55,Лэндинг!$H$5:$H$300)+SUMIF(Закрытые!$E$5:$E$300,$B55&amp;"/*",Закрытые!$I$5:$I$300)+SUMIF(Закрытые!$E$5:$E$300,"*/"&amp;$B55,Закрытые!$H$5:$H$300)+SUMIF(История!$B$5:$B$300,$B55&amp;"/*",История!$F$5:$F$300)+SUMIF(История!$B$5:$B$300,"*/"&amp;$B55,История!$E$5:$E$300),8))</f>
        <v/>
      </c>
      <c r="E55" s="339">
        <f>IF($B55="","",ROUND(C55-D55,8))</f>
        <v/>
      </c>
    </row>
    <row r="56" ht="22" customHeight="1">
      <c r="B56" s="320" t="n"/>
      <c r="C56" s="240">
        <f>IF($B56="","",ROUND(SUMIF(Торговля!$E$5:$E$300,$B56&amp;"/*",Торговля!$F$5:$F$300)+SUMIF(Торговля!$E$5:$E$300,"*/"&amp;$B56,Торговля!$K$5:$K$300)+SUMIF(Лэндинг!$E$5:$E$300,$B56&amp;"/*",Лэндинг!$F$5:$F$300)+SUMIF(Лэндинг!$E$5:$E$300,"*/"&amp;$B56,Лэндинг!$K$5:$K$300)+SUMIF(Закрытые!$E$5:$E$300,$B56&amp;"/*",Закрытые!$F$5:$F$300)+SUMIF(Закрытые!$E$5:$E$300,"*/"&amp;$B56,Закрытые!$K$5:$K$300)+SUMIF(История!$B$5:$B$300,$B56&amp;"/*",История!$C$5:$C$300)+SUMIF(История!$B$5:$B$300,"*/"&amp;$B56,История!$H$5:$H$300),8))</f>
        <v/>
      </c>
      <c r="D56" s="240">
        <f>IF($B56="","",ROUND(SUMIF(Торговля!$E$5:$E$300,$B56&amp;"/*",Торговля!$I$5:$I$300)+SUMIF(Торговля!$E$5:$E$300,"*/"&amp;$B56,Торговля!$H$5:$H$300)+SUMIF(Лэндинг!$E$5:$E$300,$B56&amp;"/*",Лэндинг!$I$5:$I$300)+SUMIF(Лэндинг!$E$5:$E$300,"*/"&amp;$B56,Лэндинг!$H$5:$H$300)+SUMIF(Закрытые!$E$5:$E$300,$B56&amp;"/*",Закрытые!$I$5:$I$300)+SUMIF(Закрытые!$E$5:$E$300,"*/"&amp;$B56,Закрытые!$H$5:$H$300)+SUMIF(История!$B$5:$B$300,$B56&amp;"/*",История!$F$5:$F$300)+SUMIF(История!$B$5:$B$300,"*/"&amp;$B56,История!$E$5:$E$300),8))</f>
        <v/>
      </c>
      <c r="E56" s="339">
        <f>IF($B56="","",ROUND(C56-D56,8))</f>
        <v/>
      </c>
    </row>
    <row r="57" ht="22" customHeight="1">
      <c r="B57" s="315" t="n"/>
      <c r="C57" s="240">
        <f>IF($B57="","",ROUND(SUMIF(Торговля!$E$5:$E$300,$B57&amp;"/*",Торговля!$F$5:$F$300)+SUMIF(Торговля!$E$5:$E$300,"*/"&amp;$B57,Торговля!$K$5:$K$300)+SUMIF(Лэндинг!$E$5:$E$300,$B57&amp;"/*",Лэндинг!$F$5:$F$300)+SUMIF(Лэндинг!$E$5:$E$300,"*/"&amp;$B57,Лэндинг!$K$5:$K$300)+SUMIF(Закрытые!$E$5:$E$300,$B57&amp;"/*",Закрытые!$F$5:$F$300)+SUMIF(Закрытые!$E$5:$E$300,"*/"&amp;$B57,Закрытые!$K$5:$K$300)+SUMIF(История!$B$5:$B$300,$B57&amp;"/*",История!$C$5:$C$300)+SUMIF(История!$B$5:$B$300,"*/"&amp;$B57,История!$H$5:$H$300),8))</f>
        <v/>
      </c>
      <c r="D57" s="240">
        <f>IF($B57="","",ROUND(SUMIF(Торговля!$E$5:$E$300,$B57&amp;"/*",Торговля!$I$5:$I$300)+SUMIF(Торговля!$E$5:$E$300,"*/"&amp;$B57,Торговля!$H$5:$H$300)+SUMIF(Лэндинг!$E$5:$E$300,$B57&amp;"/*",Лэндинг!$I$5:$I$300)+SUMIF(Лэндинг!$E$5:$E$300,"*/"&amp;$B57,Лэндинг!$H$5:$H$300)+SUMIF(Закрытые!$E$5:$E$300,$B57&amp;"/*",Закрытые!$I$5:$I$300)+SUMIF(Закрытые!$E$5:$E$300,"*/"&amp;$B57,Закрытые!$H$5:$H$300)+SUMIF(История!$B$5:$B$300,$B57&amp;"/*",История!$F$5:$F$300)+SUMIF(История!$B$5:$B$300,"*/"&amp;$B57,История!$E$5:$E$300),8))</f>
        <v/>
      </c>
      <c r="E57" s="339">
        <f>IF($B57="","",ROUND(C57-D57,8))</f>
        <v/>
      </c>
    </row>
    <row r="58" ht="22" customHeight="1">
      <c r="B58" s="320" t="n"/>
      <c r="C58" s="240">
        <f>IF($B58="","",ROUND(SUMIF(Торговля!$E$5:$E$300,$B58&amp;"/*",Торговля!$F$5:$F$300)+SUMIF(Торговля!$E$5:$E$300,"*/"&amp;$B58,Торговля!$K$5:$K$300)+SUMIF(Лэндинг!$E$5:$E$300,$B58&amp;"/*",Лэндинг!$F$5:$F$300)+SUMIF(Лэндинг!$E$5:$E$300,"*/"&amp;$B58,Лэндинг!$K$5:$K$300)+SUMIF(Закрытые!$E$5:$E$300,$B58&amp;"/*",Закрытые!$F$5:$F$300)+SUMIF(Закрытые!$E$5:$E$300,"*/"&amp;$B58,Закрытые!$K$5:$K$300)+SUMIF(История!$B$5:$B$300,$B58&amp;"/*",История!$C$5:$C$300)+SUMIF(История!$B$5:$B$300,"*/"&amp;$B58,История!$H$5:$H$300),8))</f>
        <v/>
      </c>
      <c r="D58" s="240">
        <f>IF($B58="","",ROUND(SUMIF(Торговля!$E$5:$E$300,$B58&amp;"/*",Торговля!$I$5:$I$300)+SUMIF(Торговля!$E$5:$E$300,"*/"&amp;$B58,Торговля!$H$5:$H$300)+SUMIF(Лэндинг!$E$5:$E$300,$B58&amp;"/*",Лэндинг!$I$5:$I$300)+SUMIF(Лэндинг!$E$5:$E$300,"*/"&amp;$B58,Лэндинг!$H$5:$H$300)+SUMIF(Закрытые!$E$5:$E$300,$B58&amp;"/*",Закрытые!$I$5:$I$300)+SUMIF(Закрытые!$E$5:$E$300,"*/"&amp;$B58,Закрытые!$H$5:$H$300)+SUMIF(История!$B$5:$B$300,$B58&amp;"/*",История!$F$5:$F$300)+SUMIF(История!$B$5:$B$300,"*/"&amp;$B58,История!$E$5:$E$300),8))</f>
        <v/>
      </c>
      <c r="E58" s="339">
        <f>IF($B58="","",ROUND(C58-D58,8))</f>
        <v/>
      </c>
    </row>
    <row r="59" ht="22" customHeight="1">
      <c r="B59" s="315" t="n"/>
      <c r="C59" s="240">
        <f>IF($B59="","",ROUND(SUMIF(Торговля!$E$5:$E$300,$B59&amp;"/*",Торговля!$F$5:$F$300)+SUMIF(Торговля!$E$5:$E$300,"*/"&amp;$B59,Торговля!$K$5:$K$300)+SUMIF(Лэндинг!$E$5:$E$300,$B59&amp;"/*",Лэндинг!$F$5:$F$300)+SUMIF(Лэндинг!$E$5:$E$300,"*/"&amp;$B59,Лэндинг!$K$5:$K$300)+SUMIF(Закрытые!$E$5:$E$300,$B59&amp;"/*",Закрытые!$F$5:$F$300)+SUMIF(Закрытые!$E$5:$E$300,"*/"&amp;$B59,Закрытые!$K$5:$K$300)+SUMIF(История!$B$5:$B$300,$B59&amp;"/*",История!$C$5:$C$300)+SUMIF(История!$B$5:$B$300,"*/"&amp;$B59,История!$H$5:$H$300),8))</f>
        <v/>
      </c>
      <c r="D59" s="240">
        <f>IF($B59="","",ROUND(SUMIF(Торговля!$E$5:$E$300,$B59&amp;"/*",Торговля!$I$5:$I$300)+SUMIF(Торговля!$E$5:$E$300,"*/"&amp;$B59,Торговля!$H$5:$H$300)+SUMIF(Лэндинг!$E$5:$E$300,$B59&amp;"/*",Лэндинг!$I$5:$I$300)+SUMIF(Лэндинг!$E$5:$E$300,"*/"&amp;$B59,Лэндинг!$H$5:$H$300)+SUMIF(Закрытые!$E$5:$E$300,$B59&amp;"/*",Закрытые!$I$5:$I$300)+SUMIF(Закрытые!$E$5:$E$300,"*/"&amp;$B59,Закрытые!$H$5:$H$300)+SUMIF(История!$B$5:$B$300,$B59&amp;"/*",История!$F$5:$F$300)+SUMIF(История!$B$5:$B$300,"*/"&amp;$B59,История!$E$5:$E$300),8))</f>
        <v/>
      </c>
      <c r="E59" s="339">
        <f>IF($B59="","",ROUND(C59-D59,8))</f>
        <v/>
      </c>
    </row>
    <row r="60" ht="22" customHeight="1">
      <c r="B60" s="320" t="n"/>
      <c r="C60" s="240">
        <f>IF($B60="","",ROUND(SUMIF(Торговля!$E$5:$E$300,$B60&amp;"/*",Торговля!$F$5:$F$300)+SUMIF(Торговля!$E$5:$E$300,"*/"&amp;$B60,Торговля!$K$5:$K$300)+SUMIF(Лэндинг!$E$5:$E$300,$B60&amp;"/*",Лэндинг!$F$5:$F$300)+SUMIF(Лэндинг!$E$5:$E$300,"*/"&amp;$B60,Лэндинг!$K$5:$K$300)+SUMIF(Закрытые!$E$5:$E$300,$B60&amp;"/*",Закрытые!$F$5:$F$300)+SUMIF(Закрытые!$E$5:$E$300,"*/"&amp;$B60,Закрытые!$K$5:$K$300)+SUMIF(История!$B$5:$B$300,$B60&amp;"/*",История!$C$5:$C$300)+SUMIF(История!$B$5:$B$300,"*/"&amp;$B60,История!$H$5:$H$300),8))</f>
        <v/>
      </c>
      <c r="D60" s="240">
        <f>IF($B60="","",ROUND(SUMIF(Торговля!$E$5:$E$300,$B60&amp;"/*",Торговля!$I$5:$I$300)+SUMIF(Торговля!$E$5:$E$300,"*/"&amp;$B60,Торговля!$H$5:$H$300)+SUMIF(Лэндинг!$E$5:$E$300,$B60&amp;"/*",Лэндинг!$I$5:$I$300)+SUMIF(Лэндинг!$E$5:$E$300,"*/"&amp;$B60,Лэндинг!$H$5:$H$300)+SUMIF(Закрытые!$E$5:$E$300,$B60&amp;"/*",Закрытые!$I$5:$I$300)+SUMIF(Закрытые!$E$5:$E$300,"*/"&amp;$B60,Закрытые!$H$5:$H$300)+SUMIF(История!$B$5:$B$300,$B60&amp;"/*",История!$F$5:$F$300)+SUMIF(История!$B$5:$B$300,"*/"&amp;$B60,История!$E$5:$E$300),8))</f>
        <v/>
      </c>
      <c r="E60" s="339">
        <f>IF($B60="","",ROUND(C60-D60,8))</f>
        <v/>
      </c>
    </row>
    <row r="61" ht="22" customHeight="1">
      <c r="B61" s="315" t="n"/>
      <c r="C61" s="240">
        <f>IF($B61="","",ROUND(SUMIF(Торговля!$E$5:$E$300,$B61&amp;"/*",Торговля!$F$5:$F$300)+SUMIF(Торговля!$E$5:$E$300,"*/"&amp;$B61,Торговля!$K$5:$K$300)+SUMIF(Лэндинг!$E$5:$E$300,$B61&amp;"/*",Лэндинг!$F$5:$F$300)+SUMIF(Лэндинг!$E$5:$E$300,"*/"&amp;$B61,Лэндинг!$K$5:$K$300)+SUMIF(Закрытые!$E$5:$E$300,$B61&amp;"/*",Закрытые!$F$5:$F$300)+SUMIF(Закрытые!$E$5:$E$300,"*/"&amp;$B61,Закрытые!$K$5:$K$300)+SUMIF(История!$B$5:$B$300,$B61&amp;"/*",История!$C$5:$C$300)+SUMIF(История!$B$5:$B$300,"*/"&amp;$B61,История!$H$5:$H$300),8))</f>
        <v/>
      </c>
      <c r="D61" s="240">
        <f>IF($B61="","",ROUND(SUMIF(Торговля!$E$5:$E$300,$B61&amp;"/*",Торговля!$I$5:$I$300)+SUMIF(Торговля!$E$5:$E$300,"*/"&amp;$B61,Торговля!$H$5:$H$300)+SUMIF(Лэндинг!$E$5:$E$300,$B61&amp;"/*",Лэндинг!$I$5:$I$300)+SUMIF(Лэндинг!$E$5:$E$300,"*/"&amp;$B61,Лэндинг!$H$5:$H$300)+SUMIF(Закрытые!$E$5:$E$300,$B61&amp;"/*",Закрытые!$I$5:$I$300)+SUMIF(Закрытые!$E$5:$E$300,"*/"&amp;$B61,Закрытые!$H$5:$H$300)+SUMIF(История!$B$5:$B$300,$B61&amp;"/*",История!$F$5:$F$300)+SUMIF(История!$B$5:$B$300,"*/"&amp;$B61,История!$E$5:$E$300),8))</f>
        <v/>
      </c>
      <c r="E61" s="339">
        <f>IF($B61="","",ROUND(C61-D61,8))</f>
        <v/>
      </c>
    </row>
    <row r="62" ht="22" customHeight="1">
      <c r="B62" s="320" t="n"/>
      <c r="C62" s="240">
        <f>IF($B62="","",ROUND(SUMIF(Торговля!$E$5:$E$300,$B62&amp;"/*",Торговля!$F$5:$F$300)+SUMIF(Торговля!$E$5:$E$300,"*/"&amp;$B62,Торговля!$K$5:$K$300)+SUMIF(Лэндинг!$E$5:$E$300,$B62&amp;"/*",Лэндинг!$F$5:$F$300)+SUMIF(Лэндинг!$E$5:$E$300,"*/"&amp;$B62,Лэндинг!$K$5:$K$300)+SUMIF(Закрытые!$E$5:$E$300,$B62&amp;"/*",Закрытые!$F$5:$F$300)+SUMIF(Закрытые!$E$5:$E$300,"*/"&amp;$B62,Закрытые!$K$5:$K$300)+SUMIF(История!$B$5:$B$300,$B62&amp;"/*",История!$C$5:$C$300)+SUMIF(История!$B$5:$B$300,"*/"&amp;$B62,История!$H$5:$H$300),8))</f>
        <v/>
      </c>
      <c r="D62" s="240">
        <f>IF($B62="","",ROUND(SUMIF(Торговля!$E$5:$E$300,$B62&amp;"/*",Торговля!$I$5:$I$300)+SUMIF(Торговля!$E$5:$E$300,"*/"&amp;$B62,Торговля!$H$5:$H$300)+SUMIF(Лэндинг!$E$5:$E$300,$B62&amp;"/*",Лэндинг!$I$5:$I$300)+SUMIF(Лэндинг!$E$5:$E$300,"*/"&amp;$B62,Лэндинг!$H$5:$H$300)+SUMIF(Закрытые!$E$5:$E$300,$B62&amp;"/*",Закрытые!$I$5:$I$300)+SUMIF(Закрытые!$E$5:$E$300,"*/"&amp;$B62,Закрытые!$H$5:$H$300)+SUMIF(История!$B$5:$B$300,$B62&amp;"/*",История!$F$5:$F$300)+SUMIF(История!$B$5:$B$300,"*/"&amp;$B62,История!$E$5:$E$300),8))</f>
        <v/>
      </c>
      <c r="E62" s="339">
        <f>IF($B62="","",ROUND(C62-D62,8))</f>
        <v/>
      </c>
    </row>
    <row r="63" ht="22" customHeight="1">
      <c r="B63" s="315" t="n"/>
      <c r="C63" s="240">
        <f>IF($B63="","",ROUND(SUMIF(Торговля!$E$5:$E$300,$B63&amp;"/*",Торговля!$F$5:$F$300)+SUMIF(Торговля!$E$5:$E$300,"*/"&amp;$B63,Торговля!$K$5:$K$300)+SUMIF(Лэндинг!$E$5:$E$300,$B63&amp;"/*",Лэндинг!$F$5:$F$300)+SUMIF(Лэндинг!$E$5:$E$300,"*/"&amp;$B63,Лэндинг!$K$5:$K$300)+SUMIF(Закрытые!$E$5:$E$300,$B63&amp;"/*",Закрытые!$F$5:$F$300)+SUMIF(Закрытые!$E$5:$E$300,"*/"&amp;$B63,Закрытые!$K$5:$K$300)+SUMIF(История!$B$5:$B$300,$B63&amp;"/*",История!$C$5:$C$300)+SUMIF(История!$B$5:$B$300,"*/"&amp;$B63,История!$H$5:$H$300),8))</f>
        <v/>
      </c>
      <c r="D63" s="240">
        <f>IF($B63="","",ROUND(SUMIF(Торговля!$E$5:$E$300,$B63&amp;"/*",Торговля!$I$5:$I$300)+SUMIF(Торговля!$E$5:$E$300,"*/"&amp;$B63,Торговля!$H$5:$H$300)+SUMIF(Лэндинг!$E$5:$E$300,$B63&amp;"/*",Лэндинг!$I$5:$I$300)+SUMIF(Лэндинг!$E$5:$E$300,"*/"&amp;$B63,Лэндинг!$H$5:$H$300)+SUMIF(Закрытые!$E$5:$E$300,$B63&amp;"/*",Закрытые!$I$5:$I$300)+SUMIF(Закрытые!$E$5:$E$300,"*/"&amp;$B63,Закрытые!$H$5:$H$300)+SUMIF(История!$B$5:$B$300,$B63&amp;"/*",История!$F$5:$F$300)+SUMIF(История!$B$5:$B$300,"*/"&amp;$B63,История!$E$5:$E$300),8))</f>
        <v/>
      </c>
      <c r="E63" s="339">
        <f>IF($B63="","",ROUND(C63-D63,8))</f>
        <v/>
      </c>
    </row>
    <row r="64" ht="22" customHeight="1">
      <c r="B64" s="320" t="n"/>
      <c r="C64" s="240">
        <f>IF($B64="","",ROUND(SUMIF(Торговля!$E$5:$E$300,$B64&amp;"/*",Торговля!$F$5:$F$300)+SUMIF(Торговля!$E$5:$E$300,"*/"&amp;$B64,Торговля!$K$5:$K$300)+SUMIF(Лэндинг!$E$5:$E$300,$B64&amp;"/*",Лэндинг!$F$5:$F$300)+SUMIF(Лэндинг!$E$5:$E$300,"*/"&amp;$B64,Лэндинг!$K$5:$K$300)+SUMIF(Закрытые!$E$5:$E$300,$B64&amp;"/*",Закрытые!$F$5:$F$300)+SUMIF(Закрытые!$E$5:$E$300,"*/"&amp;$B64,Закрытые!$K$5:$K$300)+SUMIF(История!$B$5:$B$300,$B64&amp;"/*",История!$C$5:$C$300)+SUMIF(История!$B$5:$B$300,"*/"&amp;$B64,История!$H$5:$H$300),8))</f>
        <v/>
      </c>
      <c r="D64" s="240">
        <f>IF($B64="","",ROUND(SUMIF(Торговля!$E$5:$E$300,$B64&amp;"/*",Торговля!$I$5:$I$300)+SUMIF(Торговля!$E$5:$E$300,"*/"&amp;$B64,Торговля!$H$5:$H$300)+SUMIF(Лэндинг!$E$5:$E$300,$B64&amp;"/*",Лэндинг!$I$5:$I$300)+SUMIF(Лэндинг!$E$5:$E$300,"*/"&amp;$B64,Лэндинг!$H$5:$H$300)+SUMIF(Закрытые!$E$5:$E$300,$B64&amp;"/*",Закрытые!$I$5:$I$300)+SUMIF(Закрытые!$E$5:$E$300,"*/"&amp;$B64,Закрытые!$H$5:$H$300)+SUMIF(История!$B$5:$B$300,$B64&amp;"/*",История!$F$5:$F$300)+SUMIF(История!$B$5:$B$300,"*/"&amp;$B64,История!$E$5:$E$300),8))</f>
        <v/>
      </c>
      <c r="E64" s="339">
        <f>IF($B64="","",ROUND(C64-D64,8))</f>
        <v/>
      </c>
    </row>
    <row r="65" ht="22" customHeight="1">
      <c r="B65" s="315" t="n"/>
      <c r="C65" s="240">
        <f>IF($B65="","",ROUND(SUMIF(Торговля!$E$5:$E$300,$B65&amp;"/*",Торговля!$F$5:$F$300)+SUMIF(Торговля!$E$5:$E$300,"*/"&amp;$B65,Торговля!$K$5:$K$300)+SUMIF(Лэндинг!$E$5:$E$300,$B65&amp;"/*",Лэндинг!$F$5:$F$300)+SUMIF(Лэндинг!$E$5:$E$300,"*/"&amp;$B65,Лэндинг!$K$5:$K$300)+SUMIF(Закрытые!$E$5:$E$300,$B65&amp;"/*",Закрытые!$F$5:$F$300)+SUMIF(Закрытые!$E$5:$E$300,"*/"&amp;$B65,Закрытые!$K$5:$K$300)+SUMIF(История!$B$5:$B$300,$B65&amp;"/*",История!$C$5:$C$300)+SUMIF(История!$B$5:$B$300,"*/"&amp;$B65,История!$H$5:$H$300),8))</f>
        <v/>
      </c>
      <c r="D65" s="240">
        <f>IF($B65="","",ROUND(SUMIF(Торговля!$E$5:$E$300,$B65&amp;"/*",Торговля!$I$5:$I$300)+SUMIF(Торговля!$E$5:$E$300,"*/"&amp;$B65,Торговля!$H$5:$H$300)+SUMIF(Лэндинг!$E$5:$E$300,$B65&amp;"/*",Лэндинг!$I$5:$I$300)+SUMIF(Лэндинг!$E$5:$E$300,"*/"&amp;$B65,Лэндинг!$H$5:$H$300)+SUMIF(Закрытые!$E$5:$E$300,$B65&amp;"/*",Закрытые!$I$5:$I$300)+SUMIF(Закрытые!$E$5:$E$300,"*/"&amp;$B65,Закрытые!$H$5:$H$300)+SUMIF(История!$B$5:$B$300,$B65&amp;"/*",История!$F$5:$F$300)+SUMIF(История!$B$5:$B$300,"*/"&amp;$B65,История!$E$5:$E$300),8))</f>
        <v/>
      </c>
      <c r="E65" s="339">
        <f>IF($B65="","",ROUND(C65-D65,8))</f>
        <v/>
      </c>
    </row>
    <row r="66" ht="22" customHeight="1">
      <c r="B66" s="320" t="n"/>
      <c r="C66" s="240">
        <f>IF($B66="","",ROUND(SUMIF(Торговля!$E$5:$E$300,$B66&amp;"/*",Торговля!$F$5:$F$300)+SUMIF(Торговля!$E$5:$E$300,"*/"&amp;$B66,Торговля!$K$5:$K$300)+SUMIF(Лэндинг!$E$5:$E$300,$B66&amp;"/*",Лэндинг!$F$5:$F$300)+SUMIF(Лэндинг!$E$5:$E$300,"*/"&amp;$B66,Лэндинг!$K$5:$K$300)+SUMIF(Закрытые!$E$5:$E$300,$B66&amp;"/*",Закрытые!$F$5:$F$300)+SUMIF(Закрытые!$E$5:$E$300,"*/"&amp;$B66,Закрытые!$K$5:$K$300)+SUMIF(История!$B$5:$B$300,$B66&amp;"/*",История!$C$5:$C$300)+SUMIF(История!$B$5:$B$300,"*/"&amp;$B66,История!$H$5:$H$300),8))</f>
        <v/>
      </c>
      <c r="D66" s="240">
        <f>IF($B66="","",ROUND(SUMIF(Торговля!$E$5:$E$300,$B66&amp;"/*",Торговля!$I$5:$I$300)+SUMIF(Торговля!$E$5:$E$300,"*/"&amp;$B66,Торговля!$H$5:$H$300)+SUMIF(Лэндинг!$E$5:$E$300,$B66&amp;"/*",Лэндинг!$I$5:$I$300)+SUMIF(Лэндинг!$E$5:$E$300,"*/"&amp;$B66,Лэндинг!$H$5:$H$300)+SUMIF(Закрытые!$E$5:$E$300,$B66&amp;"/*",Закрытые!$I$5:$I$300)+SUMIF(Закрытые!$E$5:$E$300,"*/"&amp;$B66,Закрытые!$H$5:$H$300)+SUMIF(История!$B$5:$B$300,$B66&amp;"/*",История!$F$5:$F$300)+SUMIF(История!$B$5:$B$300,"*/"&amp;$B66,История!$E$5:$E$300),8))</f>
        <v/>
      </c>
      <c r="E66" s="339">
        <f>IF($B66="","",ROUND(C66-D66,8))</f>
        <v/>
      </c>
    </row>
    <row r="67" ht="22" customHeight="1">
      <c r="B67" s="315" t="n"/>
      <c r="C67" s="240">
        <f>IF($B67="","",ROUND(SUMIF(Торговля!$E$5:$E$300,$B67&amp;"/*",Торговля!$F$5:$F$300)+SUMIF(Торговля!$E$5:$E$300,"*/"&amp;$B67,Торговля!$K$5:$K$300)+SUMIF(Лэндинг!$E$5:$E$300,$B67&amp;"/*",Лэндинг!$F$5:$F$300)+SUMIF(Лэндинг!$E$5:$E$300,"*/"&amp;$B67,Лэндинг!$K$5:$K$300)+SUMIF(Закрытые!$E$5:$E$300,$B67&amp;"/*",Закрытые!$F$5:$F$300)+SUMIF(Закрытые!$E$5:$E$300,"*/"&amp;$B67,Закрытые!$K$5:$K$300)+SUMIF(История!$B$5:$B$300,$B67&amp;"/*",История!$C$5:$C$300)+SUMIF(История!$B$5:$B$300,"*/"&amp;$B67,История!$H$5:$H$300),8))</f>
        <v/>
      </c>
      <c r="D67" s="240">
        <f>IF($B67="","",ROUND(SUMIF(Торговля!$E$5:$E$300,$B67&amp;"/*",Торговля!$I$5:$I$300)+SUMIF(Торговля!$E$5:$E$300,"*/"&amp;$B67,Торговля!$H$5:$H$300)+SUMIF(Лэндинг!$E$5:$E$300,$B67&amp;"/*",Лэндинг!$I$5:$I$300)+SUMIF(Лэндинг!$E$5:$E$300,"*/"&amp;$B67,Лэндинг!$H$5:$H$300)+SUMIF(Закрытые!$E$5:$E$300,$B67&amp;"/*",Закрытые!$I$5:$I$300)+SUMIF(Закрытые!$E$5:$E$300,"*/"&amp;$B67,Закрытые!$H$5:$H$300)+SUMIF(История!$B$5:$B$300,$B67&amp;"/*",История!$F$5:$F$300)+SUMIF(История!$B$5:$B$300,"*/"&amp;$B67,История!$E$5:$E$300),8))</f>
        <v/>
      </c>
      <c r="E67" s="339">
        <f>IF($B67="","",ROUND(C67-D67,8))</f>
        <v/>
      </c>
    </row>
    <row r="68" ht="22" customHeight="1">
      <c r="B68" s="320" t="n"/>
      <c r="C68" s="240">
        <f>IF($B68="","",ROUND(SUMIF(Торговля!$E$5:$E$300,$B68&amp;"/*",Торговля!$F$5:$F$300)+SUMIF(Торговля!$E$5:$E$300,"*/"&amp;$B68,Торговля!$K$5:$K$300)+SUMIF(Лэндинг!$E$5:$E$300,$B68&amp;"/*",Лэндинг!$F$5:$F$300)+SUMIF(Лэндинг!$E$5:$E$300,"*/"&amp;$B68,Лэндинг!$K$5:$K$300)+SUMIF(Закрытые!$E$5:$E$300,$B68&amp;"/*",Закрытые!$F$5:$F$300)+SUMIF(Закрытые!$E$5:$E$300,"*/"&amp;$B68,Закрытые!$K$5:$K$300)+SUMIF(История!$B$5:$B$300,$B68&amp;"/*",История!$C$5:$C$300)+SUMIF(История!$B$5:$B$300,"*/"&amp;$B68,История!$H$5:$H$300),8))</f>
        <v/>
      </c>
      <c r="D68" s="240">
        <f>IF($B68="","",ROUND(SUMIF(Торговля!$E$5:$E$300,$B68&amp;"/*",Торговля!$I$5:$I$300)+SUMIF(Торговля!$E$5:$E$300,"*/"&amp;$B68,Торговля!$H$5:$H$300)+SUMIF(Лэндинг!$E$5:$E$300,$B68&amp;"/*",Лэндинг!$I$5:$I$300)+SUMIF(Лэндинг!$E$5:$E$300,"*/"&amp;$B68,Лэндинг!$H$5:$H$300)+SUMIF(Закрытые!$E$5:$E$300,$B68&amp;"/*",Закрытые!$I$5:$I$300)+SUMIF(Закрытые!$E$5:$E$300,"*/"&amp;$B68,Закрытые!$H$5:$H$300)+SUMIF(История!$B$5:$B$300,$B68&amp;"/*",История!$F$5:$F$300)+SUMIF(История!$B$5:$B$300,"*/"&amp;$B68,История!$E$5:$E$300),8))</f>
        <v/>
      </c>
      <c r="E68" s="339">
        <f>IF($B68="","",ROUND(C68-D68,8))</f>
        <v/>
      </c>
    </row>
    <row r="69" ht="22" customHeight="1">
      <c r="B69" s="315" t="n"/>
      <c r="C69" s="240">
        <f>IF($B69="","",ROUND(SUMIF(Торговля!$E$5:$E$300,$B69&amp;"/*",Торговля!$F$5:$F$300)+SUMIF(Торговля!$E$5:$E$300,"*/"&amp;$B69,Торговля!$K$5:$K$300)+SUMIF(Лэндинг!$E$5:$E$300,$B69&amp;"/*",Лэндинг!$F$5:$F$300)+SUMIF(Лэндинг!$E$5:$E$300,"*/"&amp;$B69,Лэндинг!$K$5:$K$300)+SUMIF(Закрытые!$E$5:$E$300,$B69&amp;"/*",Закрытые!$F$5:$F$300)+SUMIF(Закрытые!$E$5:$E$300,"*/"&amp;$B69,Закрытые!$K$5:$K$300)+SUMIF(История!$B$5:$B$300,$B69&amp;"/*",История!$C$5:$C$300)+SUMIF(История!$B$5:$B$300,"*/"&amp;$B69,История!$H$5:$H$300),8))</f>
        <v/>
      </c>
      <c r="D69" s="240">
        <f>IF($B69="","",ROUND(SUMIF(Торговля!$E$5:$E$300,$B69&amp;"/*",Торговля!$I$5:$I$300)+SUMIF(Торговля!$E$5:$E$300,"*/"&amp;$B69,Торговля!$H$5:$H$300)+SUMIF(Лэндинг!$E$5:$E$300,$B69&amp;"/*",Лэндинг!$I$5:$I$300)+SUMIF(Лэндинг!$E$5:$E$300,"*/"&amp;$B69,Лэндинг!$H$5:$H$300)+SUMIF(Закрытые!$E$5:$E$300,$B69&amp;"/*",Закрытые!$I$5:$I$300)+SUMIF(Закрытые!$E$5:$E$300,"*/"&amp;$B69,Закрытые!$H$5:$H$300)+SUMIF(История!$B$5:$B$300,$B69&amp;"/*",История!$F$5:$F$300)+SUMIF(История!$B$5:$B$300,"*/"&amp;$B69,История!$E$5:$E$300),8))</f>
        <v/>
      </c>
      <c r="E69" s="339">
        <f>IF($B69="","",ROUND(C69-D69,8))</f>
        <v/>
      </c>
    </row>
    <row r="70" ht="22" customHeight="1">
      <c r="B70" s="320" t="n"/>
      <c r="C70" s="240">
        <f>IF($B70="","",ROUND(SUMIF(Торговля!$E$5:$E$300,$B70&amp;"/*",Торговля!$F$5:$F$300)+SUMIF(Торговля!$E$5:$E$300,"*/"&amp;$B70,Торговля!$K$5:$K$300)+SUMIF(Лэндинг!$E$5:$E$300,$B70&amp;"/*",Лэндинг!$F$5:$F$300)+SUMIF(Лэндинг!$E$5:$E$300,"*/"&amp;$B70,Лэндинг!$K$5:$K$300)+SUMIF(Закрытые!$E$5:$E$300,$B70&amp;"/*",Закрытые!$F$5:$F$300)+SUMIF(Закрытые!$E$5:$E$300,"*/"&amp;$B70,Закрытые!$K$5:$K$300)+SUMIF(История!$B$5:$B$300,$B70&amp;"/*",История!$C$5:$C$300)+SUMIF(История!$B$5:$B$300,"*/"&amp;$B70,История!$H$5:$H$300),8))</f>
        <v/>
      </c>
      <c r="D70" s="240">
        <f>IF($B70="","",ROUND(SUMIF(Торговля!$E$5:$E$300,$B70&amp;"/*",Торговля!$I$5:$I$300)+SUMIF(Торговля!$E$5:$E$300,"*/"&amp;$B70,Торговля!$H$5:$H$300)+SUMIF(Лэндинг!$E$5:$E$300,$B70&amp;"/*",Лэндинг!$I$5:$I$300)+SUMIF(Лэндинг!$E$5:$E$300,"*/"&amp;$B70,Лэндинг!$H$5:$H$300)+SUMIF(Закрытые!$E$5:$E$300,$B70&amp;"/*",Закрытые!$I$5:$I$300)+SUMIF(Закрытые!$E$5:$E$300,"*/"&amp;$B70,Закрытые!$H$5:$H$300)+SUMIF(История!$B$5:$B$300,$B70&amp;"/*",История!$F$5:$F$300)+SUMIF(История!$B$5:$B$300,"*/"&amp;$B70,История!$E$5:$E$300),8))</f>
        <v/>
      </c>
      <c r="E70" s="339">
        <f>IF($B70="","",ROUND(C70-D70,8))</f>
        <v/>
      </c>
    </row>
    <row r="71" ht="22" customHeight="1">
      <c r="B71" s="315" t="n"/>
      <c r="C71" s="240">
        <f>IF($B71="","",ROUND(SUMIF(Торговля!$E$5:$E$300,$B71&amp;"/*",Торговля!$F$5:$F$300)+SUMIF(Торговля!$E$5:$E$300,"*/"&amp;$B71,Торговля!$K$5:$K$300)+SUMIF(Лэндинг!$E$5:$E$300,$B71&amp;"/*",Лэндинг!$F$5:$F$300)+SUMIF(Лэндинг!$E$5:$E$300,"*/"&amp;$B71,Лэндинг!$K$5:$K$300)+SUMIF(Закрытые!$E$5:$E$300,$B71&amp;"/*",Закрытые!$F$5:$F$300)+SUMIF(Закрытые!$E$5:$E$300,"*/"&amp;$B71,Закрытые!$K$5:$K$300)+SUMIF(История!$B$5:$B$300,$B71&amp;"/*",История!$C$5:$C$300)+SUMIF(История!$B$5:$B$300,"*/"&amp;$B71,История!$H$5:$H$300),8))</f>
        <v/>
      </c>
      <c r="D71" s="240">
        <f>IF($B71="","",ROUND(SUMIF(Торговля!$E$5:$E$300,$B71&amp;"/*",Торговля!$I$5:$I$300)+SUMIF(Торговля!$E$5:$E$300,"*/"&amp;$B71,Торговля!$H$5:$H$300)+SUMIF(Лэндинг!$E$5:$E$300,$B71&amp;"/*",Лэндинг!$I$5:$I$300)+SUMIF(Лэндинг!$E$5:$E$300,"*/"&amp;$B71,Лэндинг!$H$5:$H$300)+SUMIF(Закрытые!$E$5:$E$300,$B71&amp;"/*",Закрытые!$I$5:$I$300)+SUMIF(Закрытые!$E$5:$E$300,"*/"&amp;$B71,Закрытые!$H$5:$H$300)+SUMIF(История!$B$5:$B$300,$B71&amp;"/*",История!$F$5:$F$300)+SUMIF(История!$B$5:$B$300,"*/"&amp;$B71,История!$E$5:$E$300),8))</f>
        <v/>
      </c>
      <c r="E71" s="339">
        <f>IF($B71="","",ROUND(C71-D71,8))</f>
        <v/>
      </c>
    </row>
    <row r="72" ht="22" customHeight="1">
      <c r="B72" s="320" t="n"/>
      <c r="C72" s="240">
        <f>IF($B72="","",ROUND(SUMIF(Торговля!$E$5:$E$300,$B72&amp;"/*",Торговля!$F$5:$F$300)+SUMIF(Торговля!$E$5:$E$300,"*/"&amp;$B72,Торговля!$K$5:$K$300)+SUMIF(Лэндинг!$E$5:$E$300,$B72&amp;"/*",Лэндинг!$F$5:$F$300)+SUMIF(Лэндинг!$E$5:$E$300,"*/"&amp;$B72,Лэндинг!$K$5:$K$300)+SUMIF(Закрытые!$E$5:$E$300,$B72&amp;"/*",Закрытые!$F$5:$F$300)+SUMIF(Закрытые!$E$5:$E$300,"*/"&amp;$B72,Закрытые!$K$5:$K$300)+SUMIF(История!$B$5:$B$300,$B72&amp;"/*",История!$C$5:$C$300)+SUMIF(История!$B$5:$B$300,"*/"&amp;$B72,История!$H$5:$H$300),8))</f>
        <v/>
      </c>
      <c r="D72" s="240">
        <f>IF($B72="","",ROUND(SUMIF(Торговля!$E$5:$E$300,$B72&amp;"/*",Торговля!$I$5:$I$300)+SUMIF(Торговля!$E$5:$E$300,"*/"&amp;$B72,Торговля!$H$5:$H$300)+SUMIF(Лэндинг!$E$5:$E$300,$B72&amp;"/*",Лэндинг!$I$5:$I$300)+SUMIF(Лэндинг!$E$5:$E$300,"*/"&amp;$B72,Лэндинг!$H$5:$H$300)+SUMIF(Закрытые!$E$5:$E$300,$B72&amp;"/*",Закрытые!$I$5:$I$300)+SUMIF(Закрытые!$E$5:$E$300,"*/"&amp;$B72,Закрытые!$H$5:$H$300)+SUMIF(История!$B$5:$B$300,$B72&amp;"/*",История!$F$5:$F$300)+SUMIF(История!$B$5:$B$300,"*/"&amp;$B72,История!$E$5:$E$300),8))</f>
        <v/>
      </c>
      <c r="E72" s="339">
        <f>IF($B72="","",ROUND(C72-D72,8))</f>
        <v/>
      </c>
    </row>
    <row r="73" ht="22" customHeight="1">
      <c r="B73" s="315" t="n"/>
      <c r="C73" s="240">
        <f>IF($B73="","",ROUND(SUMIF(Торговля!$E$5:$E$300,$B73&amp;"/*",Торговля!$F$5:$F$300)+SUMIF(Торговля!$E$5:$E$300,"*/"&amp;$B73,Торговля!$K$5:$K$300)+SUMIF(Лэндинг!$E$5:$E$300,$B73&amp;"/*",Лэндинг!$F$5:$F$300)+SUMIF(Лэндинг!$E$5:$E$300,"*/"&amp;$B73,Лэндинг!$K$5:$K$300)+SUMIF(Закрытые!$E$5:$E$300,$B73&amp;"/*",Закрытые!$F$5:$F$300)+SUMIF(Закрытые!$E$5:$E$300,"*/"&amp;$B73,Закрытые!$K$5:$K$300)+SUMIF(История!$B$5:$B$300,$B73&amp;"/*",История!$C$5:$C$300)+SUMIF(История!$B$5:$B$300,"*/"&amp;$B73,История!$H$5:$H$300),8))</f>
        <v/>
      </c>
      <c r="D73" s="240">
        <f>IF($B73="","",ROUND(SUMIF(Торговля!$E$5:$E$300,$B73&amp;"/*",Торговля!$I$5:$I$300)+SUMIF(Торговля!$E$5:$E$300,"*/"&amp;$B73,Торговля!$H$5:$H$300)+SUMIF(Лэндинг!$E$5:$E$300,$B73&amp;"/*",Лэндинг!$I$5:$I$300)+SUMIF(Лэндинг!$E$5:$E$300,"*/"&amp;$B73,Лэндинг!$H$5:$H$300)+SUMIF(Закрытые!$E$5:$E$300,$B73&amp;"/*",Закрытые!$I$5:$I$300)+SUMIF(Закрытые!$E$5:$E$300,"*/"&amp;$B73,Закрытые!$H$5:$H$300)+SUMIF(История!$B$5:$B$300,$B73&amp;"/*",История!$F$5:$F$300)+SUMIF(История!$B$5:$B$300,"*/"&amp;$B73,История!$E$5:$E$300),8))</f>
        <v/>
      </c>
      <c r="E73" s="339">
        <f>IF($B73="","",ROUND(C73-D73,8))</f>
        <v/>
      </c>
    </row>
    <row r="74" ht="22" customHeight="1">
      <c r="B74" s="320" t="n"/>
      <c r="C74" s="240">
        <f>IF($B74="","",ROUND(SUMIF(Торговля!$E$5:$E$300,$B74&amp;"/*",Торговля!$F$5:$F$300)+SUMIF(Торговля!$E$5:$E$300,"*/"&amp;$B74,Торговля!$K$5:$K$300)+SUMIF(Лэндинг!$E$5:$E$300,$B74&amp;"/*",Лэндинг!$F$5:$F$300)+SUMIF(Лэндинг!$E$5:$E$300,"*/"&amp;$B74,Лэндинг!$K$5:$K$300)+SUMIF(Закрытые!$E$5:$E$300,$B74&amp;"/*",Закрытые!$F$5:$F$300)+SUMIF(Закрытые!$E$5:$E$300,"*/"&amp;$B74,Закрытые!$K$5:$K$300)+SUMIF(История!$B$5:$B$300,$B74&amp;"/*",История!$C$5:$C$300)+SUMIF(История!$B$5:$B$300,"*/"&amp;$B74,История!$H$5:$H$300),8))</f>
        <v/>
      </c>
      <c r="D74" s="240">
        <f>IF($B74="","",ROUND(SUMIF(Торговля!$E$5:$E$300,$B74&amp;"/*",Торговля!$I$5:$I$300)+SUMIF(Торговля!$E$5:$E$300,"*/"&amp;$B74,Торговля!$H$5:$H$300)+SUMIF(Лэндинг!$E$5:$E$300,$B74&amp;"/*",Лэндинг!$I$5:$I$300)+SUMIF(Лэндинг!$E$5:$E$300,"*/"&amp;$B74,Лэндинг!$H$5:$H$300)+SUMIF(Закрытые!$E$5:$E$300,$B74&amp;"/*",Закрытые!$I$5:$I$300)+SUMIF(Закрытые!$E$5:$E$300,"*/"&amp;$B74,Закрытые!$H$5:$H$300)+SUMIF(История!$B$5:$B$300,$B74&amp;"/*",История!$F$5:$F$300)+SUMIF(История!$B$5:$B$300,"*/"&amp;$B74,История!$E$5:$E$300),8))</f>
        <v/>
      </c>
      <c r="E74" s="339">
        <f>IF($B74="","",ROUND(C74-D74,8))</f>
        <v/>
      </c>
    </row>
    <row r="75" ht="22" customHeight="1">
      <c r="B75" s="315" t="n"/>
      <c r="C75" s="240">
        <f>IF($B75="","",ROUND(SUMIF(Торговля!$E$5:$E$300,$B75&amp;"/*",Торговля!$F$5:$F$300)+SUMIF(Торговля!$E$5:$E$300,"*/"&amp;$B75,Торговля!$K$5:$K$300)+SUMIF(Лэндинг!$E$5:$E$300,$B75&amp;"/*",Лэндинг!$F$5:$F$300)+SUMIF(Лэндинг!$E$5:$E$300,"*/"&amp;$B75,Лэндинг!$K$5:$K$300)+SUMIF(Закрытые!$E$5:$E$300,$B75&amp;"/*",Закрытые!$F$5:$F$300)+SUMIF(Закрытые!$E$5:$E$300,"*/"&amp;$B75,Закрытые!$K$5:$K$300)+SUMIF(История!$B$5:$B$300,$B75&amp;"/*",История!$C$5:$C$300)+SUMIF(История!$B$5:$B$300,"*/"&amp;$B75,История!$H$5:$H$300),8))</f>
        <v/>
      </c>
      <c r="D75" s="240">
        <f>IF($B75="","",ROUND(SUMIF(Торговля!$E$5:$E$300,$B75&amp;"/*",Торговля!$I$5:$I$300)+SUMIF(Торговля!$E$5:$E$300,"*/"&amp;$B75,Торговля!$H$5:$H$300)+SUMIF(Лэндинг!$E$5:$E$300,$B75&amp;"/*",Лэндинг!$I$5:$I$300)+SUMIF(Лэндинг!$E$5:$E$300,"*/"&amp;$B75,Лэндинг!$H$5:$H$300)+SUMIF(Закрытые!$E$5:$E$300,$B75&amp;"/*",Закрытые!$I$5:$I$300)+SUMIF(Закрытые!$E$5:$E$300,"*/"&amp;$B75,Закрытые!$H$5:$H$300)+SUMIF(История!$B$5:$B$300,$B75&amp;"/*",История!$F$5:$F$300)+SUMIF(История!$B$5:$B$300,"*/"&amp;$B75,История!$E$5:$E$300),8))</f>
        <v/>
      </c>
      <c r="E75" s="339">
        <f>IF($B75="","",ROUND(C75-D75,8))</f>
        <v/>
      </c>
    </row>
    <row r="76" ht="22" customHeight="1">
      <c r="B76" s="320" t="n"/>
      <c r="C76" s="240">
        <f>IF($B76="","",ROUND(SUMIF(Торговля!$E$5:$E$300,$B76&amp;"/*",Торговля!$F$5:$F$300)+SUMIF(Торговля!$E$5:$E$300,"*/"&amp;$B76,Торговля!$K$5:$K$300)+SUMIF(Лэндинг!$E$5:$E$300,$B76&amp;"/*",Лэндинг!$F$5:$F$300)+SUMIF(Лэндинг!$E$5:$E$300,"*/"&amp;$B76,Лэндинг!$K$5:$K$300)+SUMIF(Закрытые!$E$5:$E$300,$B76&amp;"/*",Закрытые!$F$5:$F$300)+SUMIF(Закрытые!$E$5:$E$300,"*/"&amp;$B76,Закрытые!$K$5:$K$300)+SUMIF(История!$B$5:$B$300,$B76&amp;"/*",История!$C$5:$C$300)+SUMIF(История!$B$5:$B$300,"*/"&amp;$B76,История!$H$5:$H$300),8))</f>
        <v/>
      </c>
      <c r="D76" s="240">
        <f>IF($B76="","",ROUND(SUMIF(Торговля!$E$5:$E$300,$B76&amp;"/*",Торговля!$I$5:$I$300)+SUMIF(Торговля!$E$5:$E$300,"*/"&amp;$B76,Торговля!$H$5:$H$300)+SUMIF(Лэндинг!$E$5:$E$300,$B76&amp;"/*",Лэндинг!$I$5:$I$300)+SUMIF(Лэндинг!$E$5:$E$300,"*/"&amp;$B76,Лэндинг!$H$5:$H$300)+SUMIF(Закрытые!$E$5:$E$300,$B76&amp;"/*",Закрытые!$I$5:$I$300)+SUMIF(Закрытые!$E$5:$E$300,"*/"&amp;$B76,Закрытые!$H$5:$H$300)+SUMIF(История!$B$5:$B$300,$B76&amp;"/*",История!$F$5:$F$300)+SUMIF(История!$B$5:$B$300,"*/"&amp;$B76,История!$E$5:$E$300),8))</f>
        <v/>
      </c>
      <c r="E76" s="339">
        <f>IF($B76="","",ROUND(C76-D76,8))</f>
        <v/>
      </c>
    </row>
    <row r="77" ht="22" customHeight="1">
      <c r="B77" s="315" t="n"/>
      <c r="C77" s="240">
        <f>IF($B77="","",ROUND(SUMIF(Торговля!$E$5:$E$300,$B77&amp;"/*",Торговля!$F$5:$F$300)+SUMIF(Торговля!$E$5:$E$300,"*/"&amp;$B77,Торговля!$K$5:$K$300)+SUMIF(Лэндинг!$E$5:$E$300,$B77&amp;"/*",Лэндинг!$F$5:$F$300)+SUMIF(Лэндинг!$E$5:$E$300,"*/"&amp;$B77,Лэндинг!$K$5:$K$300)+SUMIF(Закрытые!$E$5:$E$300,$B77&amp;"/*",Закрытые!$F$5:$F$300)+SUMIF(Закрытые!$E$5:$E$300,"*/"&amp;$B77,Закрытые!$K$5:$K$300)+SUMIF(История!$B$5:$B$300,$B77&amp;"/*",История!$C$5:$C$300)+SUMIF(История!$B$5:$B$300,"*/"&amp;$B77,История!$H$5:$H$300),8))</f>
        <v/>
      </c>
      <c r="D77" s="240">
        <f>IF($B77="","",ROUND(SUMIF(Торговля!$E$5:$E$300,$B77&amp;"/*",Торговля!$I$5:$I$300)+SUMIF(Торговля!$E$5:$E$300,"*/"&amp;$B77,Торговля!$H$5:$H$300)+SUMIF(Лэндинг!$E$5:$E$300,$B77&amp;"/*",Лэндинг!$I$5:$I$300)+SUMIF(Лэндинг!$E$5:$E$300,"*/"&amp;$B77,Лэндинг!$H$5:$H$300)+SUMIF(Закрытые!$E$5:$E$300,$B77&amp;"/*",Закрытые!$I$5:$I$300)+SUMIF(Закрытые!$E$5:$E$300,"*/"&amp;$B77,Закрытые!$H$5:$H$300)+SUMIF(История!$B$5:$B$300,$B77&amp;"/*",История!$F$5:$F$300)+SUMIF(История!$B$5:$B$300,"*/"&amp;$B77,История!$E$5:$E$300),8))</f>
        <v/>
      </c>
      <c r="E77" s="339">
        <f>IF($B77="","",ROUND(C77-D77,8))</f>
        <v/>
      </c>
    </row>
    <row r="78" ht="22" customHeight="1">
      <c r="B78" s="320" t="n"/>
      <c r="C78" s="240">
        <f>IF($B78="","",ROUND(SUMIF(Торговля!$E$5:$E$300,$B78&amp;"/*",Торговля!$F$5:$F$300)+SUMIF(Торговля!$E$5:$E$300,"*/"&amp;$B78,Торговля!$K$5:$K$300)+SUMIF(Лэндинг!$E$5:$E$300,$B78&amp;"/*",Лэндинг!$F$5:$F$300)+SUMIF(Лэндинг!$E$5:$E$300,"*/"&amp;$B78,Лэндинг!$K$5:$K$300)+SUMIF(Закрытые!$E$5:$E$300,$B78&amp;"/*",Закрытые!$F$5:$F$300)+SUMIF(Закрытые!$E$5:$E$300,"*/"&amp;$B78,Закрытые!$K$5:$K$300)+SUMIF(История!$B$5:$B$300,$B78&amp;"/*",История!$C$5:$C$300)+SUMIF(История!$B$5:$B$300,"*/"&amp;$B78,История!$H$5:$H$300),8))</f>
        <v/>
      </c>
      <c r="D78" s="240">
        <f>IF($B78="","",ROUND(SUMIF(Торговля!$E$5:$E$300,$B78&amp;"/*",Торговля!$I$5:$I$300)+SUMIF(Торговля!$E$5:$E$300,"*/"&amp;$B78,Торговля!$H$5:$H$300)+SUMIF(Лэндинг!$E$5:$E$300,$B78&amp;"/*",Лэндинг!$I$5:$I$300)+SUMIF(Лэндинг!$E$5:$E$300,"*/"&amp;$B78,Лэндинг!$H$5:$H$300)+SUMIF(Закрытые!$E$5:$E$300,$B78&amp;"/*",Закрытые!$I$5:$I$300)+SUMIF(Закрытые!$E$5:$E$300,"*/"&amp;$B78,Закрытые!$H$5:$H$300)+SUMIF(История!$B$5:$B$300,$B78&amp;"/*",История!$F$5:$F$300)+SUMIF(История!$B$5:$B$300,"*/"&amp;$B78,История!$E$5:$E$300),8))</f>
        <v/>
      </c>
      <c r="E78" s="339">
        <f>IF($B78="","",ROUND(C78-D78,8))</f>
        <v/>
      </c>
    </row>
    <row r="79" ht="22" customHeight="1">
      <c r="B79" s="315" t="n"/>
      <c r="C79" s="240">
        <f>IF($B79="","",ROUND(SUMIF(Торговля!$E$5:$E$300,$B79&amp;"/*",Торговля!$F$5:$F$300)+SUMIF(Торговля!$E$5:$E$300,"*/"&amp;$B79,Торговля!$K$5:$K$300)+SUMIF(Лэндинг!$E$5:$E$300,$B79&amp;"/*",Лэндинг!$F$5:$F$300)+SUMIF(Лэндинг!$E$5:$E$300,"*/"&amp;$B79,Лэндинг!$K$5:$K$300)+SUMIF(Закрытые!$E$5:$E$300,$B79&amp;"/*",Закрытые!$F$5:$F$300)+SUMIF(Закрытые!$E$5:$E$300,"*/"&amp;$B79,Закрытые!$K$5:$K$300)+SUMIF(История!$B$5:$B$300,$B79&amp;"/*",История!$C$5:$C$300)+SUMIF(История!$B$5:$B$300,"*/"&amp;$B79,История!$H$5:$H$300),8))</f>
        <v/>
      </c>
      <c r="D79" s="240">
        <f>IF($B79="","",ROUND(SUMIF(Торговля!$E$5:$E$300,$B79&amp;"/*",Торговля!$I$5:$I$300)+SUMIF(Торговля!$E$5:$E$300,"*/"&amp;$B79,Торговля!$H$5:$H$300)+SUMIF(Лэндинг!$E$5:$E$300,$B79&amp;"/*",Лэндинг!$I$5:$I$300)+SUMIF(Лэндинг!$E$5:$E$300,"*/"&amp;$B79,Лэндинг!$H$5:$H$300)+SUMIF(Закрытые!$E$5:$E$300,$B79&amp;"/*",Закрытые!$I$5:$I$300)+SUMIF(Закрытые!$E$5:$E$300,"*/"&amp;$B79,Закрытые!$H$5:$H$300)+SUMIF(История!$B$5:$B$300,$B79&amp;"/*",История!$F$5:$F$300)+SUMIF(История!$B$5:$B$300,"*/"&amp;$B79,История!$E$5:$E$300),8))</f>
        <v/>
      </c>
      <c r="E79" s="339">
        <f>IF($B79="","",ROUND(C79-D79,8))</f>
        <v/>
      </c>
    </row>
    <row r="80" ht="22" customHeight="1">
      <c r="B80" s="320" t="n"/>
      <c r="C80" s="240">
        <f>IF($B80="","",ROUND(SUMIF(Торговля!$E$5:$E$300,$B80&amp;"/*",Торговля!$F$5:$F$300)+SUMIF(Торговля!$E$5:$E$300,"*/"&amp;$B80,Торговля!$K$5:$K$300)+SUMIF(Лэндинг!$E$5:$E$300,$B80&amp;"/*",Лэндинг!$F$5:$F$300)+SUMIF(Лэндинг!$E$5:$E$300,"*/"&amp;$B80,Лэндинг!$K$5:$K$300)+SUMIF(Закрытые!$E$5:$E$300,$B80&amp;"/*",Закрытые!$F$5:$F$300)+SUMIF(Закрытые!$E$5:$E$300,"*/"&amp;$B80,Закрытые!$K$5:$K$300)+SUMIF(История!$B$5:$B$300,$B80&amp;"/*",История!$C$5:$C$300)+SUMIF(История!$B$5:$B$300,"*/"&amp;$B80,История!$H$5:$H$300),8))</f>
        <v/>
      </c>
      <c r="D80" s="240">
        <f>IF($B80="","",ROUND(SUMIF(Торговля!$E$5:$E$300,$B80&amp;"/*",Торговля!$I$5:$I$300)+SUMIF(Торговля!$E$5:$E$300,"*/"&amp;$B80,Торговля!$H$5:$H$300)+SUMIF(Лэндинг!$E$5:$E$300,$B80&amp;"/*",Лэндинг!$I$5:$I$300)+SUMIF(Лэндинг!$E$5:$E$300,"*/"&amp;$B80,Лэндинг!$H$5:$H$300)+SUMIF(Закрытые!$E$5:$E$300,$B80&amp;"/*",Закрытые!$I$5:$I$300)+SUMIF(Закрытые!$E$5:$E$300,"*/"&amp;$B80,Закрытые!$H$5:$H$300)+SUMIF(История!$B$5:$B$300,$B80&amp;"/*",История!$F$5:$F$300)+SUMIF(История!$B$5:$B$300,"*/"&amp;$B80,История!$E$5:$E$300),8))</f>
        <v/>
      </c>
      <c r="E80" s="339">
        <f>IF($B80="","",ROUND(C80-D80,8))</f>
        <v/>
      </c>
    </row>
    <row r="81" ht="22" customHeight="1">
      <c r="B81" s="315" t="n"/>
      <c r="C81" s="240">
        <f>IF($B81="","",ROUND(SUMIF(Торговля!$E$5:$E$300,$B81&amp;"/*",Торговля!$F$5:$F$300)+SUMIF(Торговля!$E$5:$E$300,"*/"&amp;$B81,Торговля!$K$5:$K$300)+SUMIF(Лэндинг!$E$5:$E$300,$B81&amp;"/*",Лэндинг!$F$5:$F$300)+SUMIF(Лэндинг!$E$5:$E$300,"*/"&amp;$B81,Лэндинг!$K$5:$K$300)+SUMIF(Закрытые!$E$5:$E$300,$B81&amp;"/*",Закрытые!$F$5:$F$300)+SUMIF(Закрытые!$E$5:$E$300,"*/"&amp;$B81,Закрытые!$K$5:$K$300)+SUMIF(История!$B$5:$B$300,$B81&amp;"/*",История!$C$5:$C$300)+SUMIF(История!$B$5:$B$300,"*/"&amp;$B81,История!$H$5:$H$300),8))</f>
        <v/>
      </c>
      <c r="D81" s="240">
        <f>IF($B81="","",ROUND(SUMIF(Торговля!$E$5:$E$300,$B81&amp;"/*",Торговля!$I$5:$I$300)+SUMIF(Торговля!$E$5:$E$300,"*/"&amp;$B81,Торговля!$H$5:$H$300)+SUMIF(Лэндинг!$E$5:$E$300,$B81&amp;"/*",Лэндинг!$I$5:$I$300)+SUMIF(Лэндинг!$E$5:$E$300,"*/"&amp;$B81,Лэндинг!$H$5:$H$300)+SUMIF(Закрытые!$E$5:$E$300,$B81&amp;"/*",Закрытые!$I$5:$I$300)+SUMIF(Закрытые!$E$5:$E$300,"*/"&amp;$B81,Закрытые!$H$5:$H$300)+SUMIF(История!$B$5:$B$300,$B81&amp;"/*",История!$F$5:$F$300)+SUMIF(История!$B$5:$B$300,"*/"&amp;$B81,История!$E$5:$E$300),8))</f>
        <v/>
      </c>
      <c r="E81" s="339">
        <f>IF($B81="","",ROUND(C81-D81,8))</f>
        <v/>
      </c>
    </row>
    <row r="82" ht="22" customHeight="1">
      <c r="B82" s="320" t="n"/>
      <c r="C82" s="240">
        <f>IF($B82="","",ROUND(SUMIF(Торговля!$E$5:$E$300,$B82&amp;"/*",Торговля!$F$5:$F$300)+SUMIF(Торговля!$E$5:$E$300,"*/"&amp;$B82,Торговля!$K$5:$K$300)+SUMIF(Лэндинг!$E$5:$E$300,$B82&amp;"/*",Лэндинг!$F$5:$F$300)+SUMIF(Лэндинг!$E$5:$E$300,"*/"&amp;$B82,Лэндинг!$K$5:$K$300)+SUMIF(Закрытые!$E$5:$E$300,$B82&amp;"/*",Закрытые!$F$5:$F$300)+SUMIF(Закрытые!$E$5:$E$300,"*/"&amp;$B82,Закрытые!$K$5:$K$300)+SUMIF(История!$B$5:$B$300,$B82&amp;"/*",История!$C$5:$C$300)+SUMIF(История!$B$5:$B$300,"*/"&amp;$B82,История!$H$5:$H$300),8))</f>
        <v/>
      </c>
      <c r="D82" s="240">
        <f>IF($B82="","",ROUND(SUMIF(Торговля!$E$5:$E$300,$B82&amp;"/*",Торговля!$I$5:$I$300)+SUMIF(Торговля!$E$5:$E$300,"*/"&amp;$B82,Торговля!$H$5:$H$300)+SUMIF(Лэндинг!$E$5:$E$300,$B82&amp;"/*",Лэндинг!$I$5:$I$300)+SUMIF(Лэндинг!$E$5:$E$300,"*/"&amp;$B82,Лэндинг!$H$5:$H$300)+SUMIF(Закрытые!$E$5:$E$300,$B82&amp;"/*",Закрытые!$I$5:$I$300)+SUMIF(Закрытые!$E$5:$E$300,"*/"&amp;$B82,Закрытые!$H$5:$H$300)+SUMIF(История!$B$5:$B$300,$B82&amp;"/*",История!$F$5:$F$300)+SUMIF(История!$B$5:$B$300,"*/"&amp;$B82,История!$E$5:$E$300),8))</f>
        <v/>
      </c>
      <c r="E82" s="339">
        <f>IF($B82="","",ROUND(C82-D82,8))</f>
        <v/>
      </c>
    </row>
    <row r="83" ht="22" customHeight="1">
      <c r="B83" s="315" t="n"/>
      <c r="C83" s="240">
        <f>IF($B83="","",ROUND(SUMIF(Торговля!$E$5:$E$300,$B83&amp;"/*",Торговля!$F$5:$F$300)+SUMIF(Торговля!$E$5:$E$300,"*/"&amp;$B83,Торговля!$K$5:$K$300)+SUMIF(Лэндинг!$E$5:$E$300,$B83&amp;"/*",Лэндинг!$F$5:$F$300)+SUMIF(Лэндинг!$E$5:$E$300,"*/"&amp;$B83,Лэндинг!$K$5:$K$300)+SUMIF(Закрытые!$E$5:$E$300,$B83&amp;"/*",Закрытые!$F$5:$F$300)+SUMIF(Закрытые!$E$5:$E$300,"*/"&amp;$B83,Закрытые!$K$5:$K$300)+SUMIF(История!$B$5:$B$300,$B83&amp;"/*",История!$C$5:$C$300)+SUMIF(История!$B$5:$B$300,"*/"&amp;$B83,История!$H$5:$H$300),8))</f>
        <v/>
      </c>
      <c r="D83" s="240">
        <f>IF($B83="","",ROUND(SUMIF(Торговля!$E$5:$E$300,$B83&amp;"/*",Торговля!$I$5:$I$300)+SUMIF(Торговля!$E$5:$E$300,"*/"&amp;$B83,Торговля!$H$5:$H$300)+SUMIF(Лэндинг!$E$5:$E$300,$B83&amp;"/*",Лэндинг!$I$5:$I$300)+SUMIF(Лэндинг!$E$5:$E$300,"*/"&amp;$B83,Лэндинг!$H$5:$H$300)+SUMIF(Закрытые!$E$5:$E$300,$B83&amp;"/*",Закрытые!$I$5:$I$300)+SUMIF(Закрытые!$E$5:$E$300,"*/"&amp;$B83,Закрытые!$H$5:$H$300)+SUMIF(История!$B$5:$B$300,$B83&amp;"/*",История!$F$5:$F$300)+SUMIF(История!$B$5:$B$300,"*/"&amp;$B83,История!$E$5:$E$300),8))</f>
        <v/>
      </c>
      <c r="E83" s="339">
        <f>IF($B83="","",ROUND(C83-D83,8))</f>
        <v/>
      </c>
    </row>
    <row r="84" ht="22" customHeight="1">
      <c r="B84" s="320" t="n"/>
      <c r="C84" s="240">
        <f>IF($B84="","",ROUND(SUMIF(Торговля!$E$5:$E$300,$B84&amp;"/*",Торговля!$F$5:$F$300)+SUMIF(Торговля!$E$5:$E$300,"*/"&amp;$B84,Торговля!$K$5:$K$300)+SUMIF(Лэндинг!$E$5:$E$300,$B84&amp;"/*",Лэндинг!$F$5:$F$300)+SUMIF(Лэндинг!$E$5:$E$300,"*/"&amp;$B84,Лэндинг!$K$5:$K$300)+SUMIF(Закрытые!$E$5:$E$300,$B84&amp;"/*",Закрытые!$F$5:$F$300)+SUMIF(Закрытые!$E$5:$E$300,"*/"&amp;$B84,Закрытые!$K$5:$K$300)+SUMIF(История!$B$5:$B$300,$B84&amp;"/*",История!$C$5:$C$300)+SUMIF(История!$B$5:$B$300,"*/"&amp;$B84,История!$H$5:$H$300),8))</f>
        <v/>
      </c>
      <c r="D84" s="240">
        <f>IF($B84="","",ROUND(SUMIF(Торговля!$E$5:$E$300,$B84&amp;"/*",Торговля!$I$5:$I$300)+SUMIF(Торговля!$E$5:$E$300,"*/"&amp;$B84,Торговля!$H$5:$H$300)+SUMIF(Лэндинг!$E$5:$E$300,$B84&amp;"/*",Лэндинг!$I$5:$I$300)+SUMIF(Лэндинг!$E$5:$E$300,"*/"&amp;$B84,Лэндинг!$H$5:$H$300)+SUMIF(Закрытые!$E$5:$E$300,$B84&amp;"/*",Закрытые!$I$5:$I$300)+SUMIF(Закрытые!$E$5:$E$300,"*/"&amp;$B84,Закрытые!$H$5:$H$300)+SUMIF(История!$B$5:$B$300,$B84&amp;"/*",История!$F$5:$F$300)+SUMIF(История!$B$5:$B$300,"*/"&amp;$B84,История!$E$5:$E$300),8))</f>
        <v/>
      </c>
      <c r="E84" s="339">
        <f>IF($B84="","",ROUND(C84-D84,8))</f>
        <v/>
      </c>
    </row>
    <row r="85" ht="22" customHeight="1">
      <c r="B85" s="315" t="n"/>
      <c r="C85" s="240">
        <f>IF($B85="","",ROUND(SUMIF(Торговля!$E$5:$E$300,$B85&amp;"/*",Торговля!$F$5:$F$300)+SUMIF(Торговля!$E$5:$E$300,"*/"&amp;$B85,Торговля!$K$5:$K$300)+SUMIF(Лэндинг!$E$5:$E$300,$B85&amp;"/*",Лэндинг!$F$5:$F$300)+SUMIF(Лэндинг!$E$5:$E$300,"*/"&amp;$B85,Лэндинг!$K$5:$K$300)+SUMIF(Закрытые!$E$5:$E$300,$B85&amp;"/*",Закрытые!$F$5:$F$300)+SUMIF(Закрытые!$E$5:$E$300,"*/"&amp;$B85,Закрытые!$K$5:$K$300)+SUMIF(История!$B$5:$B$300,$B85&amp;"/*",История!$C$5:$C$300)+SUMIF(История!$B$5:$B$300,"*/"&amp;$B85,История!$H$5:$H$300),8))</f>
        <v/>
      </c>
      <c r="D85" s="240">
        <f>IF($B85="","",ROUND(SUMIF(Торговля!$E$5:$E$300,$B85&amp;"/*",Торговля!$I$5:$I$300)+SUMIF(Торговля!$E$5:$E$300,"*/"&amp;$B85,Торговля!$H$5:$H$300)+SUMIF(Лэндинг!$E$5:$E$300,$B85&amp;"/*",Лэндинг!$I$5:$I$300)+SUMIF(Лэндинг!$E$5:$E$300,"*/"&amp;$B85,Лэндинг!$H$5:$H$300)+SUMIF(Закрытые!$E$5:$E$300,$B85&amp;"/*",Закрытые!$I$5:$I$300)+SUMIF(Закрытые!$E$5:$E$300,"*/"&amp;$B85,Закрытые!$H$5:$H$300)+SUMIF(История!$B$5:$B$300,$B85&amp;"/*",История!$F$5:$F$300)+SUMIF(История!$B$5:$B$300,"*/"&amp;$B85,История!$E$5:$E$300),8))</f>
        <v/>
      </c>
      <c r="E85" s="339">
        <f>IF($B85="","",ROUND(C85-D85,8))</f>
        <v/>
      </c>
    </row>
    <row r="86" ht="22" customHeight="1">
      <c r="B86" s="320" t="n"/>
      <c r="C86" s="240">
        <f>IF($B86="","",ROUND(SUMIF(Торговля!$E$5:$E$300,$B86&amp;"/*",Торговля!$F$5:$F$300)+SUMIF(Торговля!$E$5:$E$300,"*/"&amp;$B86,Торговля!$K$5:$K$300)+SUMIF(Лэндинг!$E$5:$E$300,$B86&amp;"/*",Лэндинг!$F$5:$F$300)+SUMIF(Лэндинг!$E$5:$E$300,"*/"&amp;$B86,Лэндинг!$K$5:$K$300)+SUMIF(Закрытые!$E$5:$E$300,$B86&amp;"/*",Закрытые!$F$5:$F$300)+SUMIF(Закрытые!$E$5:$E$300,"*/"&amp;$B86,Закрытые!$K$5:$K$300)+SUMIF(История!$B$5:$B$300,$B86&amp;"/*",История!$C$5:$C$300)+SUMIF(История!$B$5:$B$300,"*/"&amp;$B86,История!$H$5:$H$300),8))</f>
        <v/>
      </c>
      <c r="D86" s="240">
        <f>IF($B86="","",ROUND(SUMIF(Торговля!$E$5:$E$300,$B86&amp;"/*",Торговля!$I$5:$I$300)+SUMIF(Торговля!$E$5:$E$300,"*/"&amp;$B86,Торговля!$H$5:$H$300)+SUMIF(Лэндинг!$E$5:$E$300,$B86&amp;"/*",Лэндинг!$I$5:$I$300)+SUMIF(Лэндинг!$E$5:$E$300,"*/"&amp;$B86,Лэндинг!$H$5:$H$300)+SUMIF(Закрытые!$E$5:$E$300,$B86&amp;"/*",Закрытые!$I$5:$I$300)+SUMIF(Закрытые!$E$5:$E$300,"*/"&amp;$B86,Закрытые!$H$5:$H$300)+SUMIF(История!$B$5:$B$300,$B86&amp;"/*",История!$F$5:$F$300)+SUMIF(История!$B$5:$B$300,"*/"&amp;$B86,История!$E$5:$E$300),8))</f>
        <v/>
      </c>
      <c r="E86" s="339">
        <f>IF($B86="","",ROUND(C86-D86,8))</f>
        <v/>
      </c>
    </row>
    <row r="87" ht="22" customHeight="1">
      <c r="B87" s="315" t="n"/>
      <c r="C87" s="240">
        <f>IF($B87="","",ROUND(SUMIF(Торговля!$E$5:$E$300,$B87&amp;"/*",Торговля!$F$5:$F$300)+SUMIF(Торговля!$E$5:$E$300,"*/"&amp;$B87,Торговля!$K$5:$K$300)+SUMIF(Лэндинг!$E$5:$E$300,$B87&amp;"/*",Лэндинг!$F$5:$F$300)+SUMIF(Лэндинг!$E$5:$E$300,"*/"&amp;$B87,Лэндинг!$K$5:$K$300)+SUMIF(Закрытые!$E$5:$E$300,$B87&amp;"/*",Закрытые!$F$5:$F$300)+SUMIF(Закрытые!$E$5:$E$300,"*/"&amp;$B87,Закрытые!$K$5:$K$300)+SUMIF(История!$B$5:$B$300,$B87&amp;"/*",История!$C$5:$C$300)+SUMIF(История!$B$5:$B$300,"*/"&amp;$B87,История!$H$5:$H$300),8))</f>
        <v/>
      </c>
      <c r="D87" s="240">
        <f>IF($B87="","",ROUND(SUMIF(Торговля!$E$5:$E$300,$B87&amp;"/*",Торговля!$I$5:$I$300)+SUMIF(Торговля!$E$5:$E$300,"*/"&amp;$B87,Торговля!$H$5:$H$300)+SUMIF(Лэндинг!$E$5:$E$300,$B87&amp;"/*",Лэндинг!$I$5:$I$300)+SUMIF(Лэндинг!$E$5:$E$300,"*/"&amp;$B87,Лэндинг!$H$5:$H$300)+SUMIF(Закрытые!$E$5:$E$300,$B87&amp;"/*",Закрытые!$I$5:$I$300)+SUMIF(Закрытые!$E$5:$E$300,"*/"&amp;$B87,Закрытые!$H$5:$H$300)+SUMIF(История!$B$5:$B$300,$B87&amp;"/*",История!$F$5:$F$300)+SUMIF(История!$B$5:$B$300,"*/"&amp;$B87,История!$E$5:$E$300),8))</f>
        <v/>
      </c>
      <c r="E87" s="339">
        <f>IF($B87="","",ROUND(C87-D87,8))</f>
        <v/>
      </c>
    </row>
    <row r="88" ht="22" customHeight="1">
      <c r="B88" s="320" t="n"/>
      <c r="C88" s="240">
        <f>IF($B88="","",ROUND(SUMIF(Торговля!$E$5:$E$300,$B88&amp;"/*",Торговля!$F$5:$F$300)+SUMIF(Торговля!$E$5:$E$300,"*/"&amp;$B88,Торговля!$K$5:$K$300)+SUMIF(Лэндинг!$E$5:$E$300,$B88&amp;"/*",Лэндинг!$F$5:$F$300)+SUMIF(Лэндинг!$E$5:$E$300,"*/"&amp;$B88,Лэндинг!$K$5:$K$300)+SUMIF(Закрытые!$E$5:$E$300,$B88&amp;"/*",Закрытые!$F$5:$F$300)+SUMIF(Закрытые!$E$5:$E$300,"*/"&amp;$B88,Закрытые!$K$5:$K$300)+SUMIF(История!$B$5:$B$300,$B88&amp;"/*",История!$C$5:$C$300)+SUMIF(История!$B$5:$B$300,"*/"&amp;$B88,История!$H$5:$H$300),8))</f>
        <v/>
      </c>
      <c r="D88" s="240">
        <f>IF($B88="","",ROUND(SUMIF(Торговля!$E$5:$E$300,$B88&amp;"/*",Торговля!$I$5:$I$300)+SUMIF(Торговля!$E$5:$E$300,"*/"&amp;$B88,Торговля!$H$5:$H$300)+SUMIF(Лэндинг!$E$5:$E$300,$B88&amp;"/*",Лэндинг!$I$5:$I$300)+SUMIF(Лэндинг!$E$5:$E$300,"*/"&amp;$B88,Лэндинг!$H$5:$H$300)+SUMIF(Закрытые!$E$5:$E$300,$B88&amp;"/*",Закрытые!$I$5:$I$300)+SUMIF(Закрытые!$E$5:$E$300,"*/"&amp;$B88,Закрытые!$H$5:$H$300)+SUMIF(История!$B$5:$B$300,$B88&amp;"/*",История!$F$5:$F$300)+SUMIF(История!$B$5:$B$300,"*/"&amp;$B88,История!$E$5:$E$300),8))</f>
        <v/>
      </c>
      <c r="E88" s="339">
        <f>IF($B88="","",ROUND(C88-D88,8))</f>
        <v/>
      </c>
    </row>
    <row r="89" ht="22" customHeight="1">
      <c r="B89" s="315" t="n"/>
      <c r="C89" s="240">
        <f>IF($B89="","",ROUND(SUMIF(Торговля!$E$5:$E$300,$B89&amp;"/*",Торговля!$F$5:$F$300)+SUMIF(Торговля!$E$5:$E$300,"*/"&amp;$B89,Торговля!$K$5:$K$300)+SUMIF(Лэндинг!$E$5:$E$300,$B89&amp;"/*",Лэндинг!$F$5:$F$300)+SUMIF(Лэндинг!$E$5:$E$300,"*/"&amp;$B89,Лэндинг!$K$5:$K$300)+SUMIF(Закрытые!$E$5:$E$300,$B89&amp;"/*",Закрытые!$F$5:$F$300)+SUMIF(Закрытые!$E$5:$E$300,"*/"&amp;$B89,Закрытые!$K$5:$K$300)+SUMIF(История!$B$5:$B$300,$B89&amp;"/*",История!$C$5:$C$300)+SUMIF(История!$B$5:$B$300,"*/"&amp;$B89,История!$H$5:$H$300),8))</f>
        <v/>
      </c>
      <c r="D89" s="240">
        <f>IF($B89="","",ROUND(SUMIF(Торговля!$E$5:$E$300,$B89&amp;"/*",Торговля!$I$5:$I$300)+SUMIF(Торговля!$E$5:$E$300,"*/"&amp;$B89,Торговля!$H$5:$H$300)+SUMIF(Лэндинг!$E$5:$E$300,$B89&amp;"/*",Лэндинг!$I$5:$I$300)+SUMIF(Лэндинг!$E$5:$E$300,"*/"&amp;$B89,Лэндинг!$H$5:$H$300)+SUMIF(Закрытые!$E$5:$E$300,$B89&amp;"/*",Закрытые!$I$5:$I$300)+SUMIF(Закрытые!$E$5:$E$300,"*/"&amp;$B89,Закрытые!$H$5:$H$300)+SUMIF(История!$B$5:$B$300,$B89&amp;"/*",История!$F$5:$F$300)+SUMIF(История!$B$5:$B$300,"*/"&amp;$B89,История!$E$5:$E$300),8))</f>
        <v/>
      </c>
      <c r="E89" s="339">
        <f>IF($B89="","",ROUND(C89-D89,8))</f>
        <v/>
      </c>
    </row>
    <row r="90" ht="22" customHeight="1">
      <c r="B90" s="320" t="n"/>
      <c r="C90" s="240">
        <f>IF($B90="","",ROUND(SUMIF(Торговля!$E$5:$E$300,$B90&amp;"/*",Торговля!$F$5:$F$300)+SUMIF(Торговля!$E$5:$E$300,"*/"&amp;$B90,Торговля!$K$5:$K$300)+SUMIF(Лэндинг!$E$5:$E$300,$B90&amp;"/*",Лэндинг!$F$5:$F$300)+SUMIF(Лэндинг!$E$5:$E$300,"*/"&amp;$B90,Лэндинг!$K$5:$K$300)+SUMIF(Закрытые!$E$5:$E$300,$B90&amp;"/*",Закрытые!$F$5:$F$300)+SUMIF(Закрытые!$E$5:$E$300,"*/"&amp;$B90,Закрытые!$K$5:$K$300)+SUMIF(История!$B$5:$B$300,$B90&amp;"/*",История!$C$5:$C$300)+SUMIF(История!$B$5:$B$300,"*/"&amp;$B90,История!$H$5:$H$300),8))</f>
        <v/>
      </c>
      <c r="D90" s="240">
        <f>IF($B90="","",ROUND(SUMIF(Торговля!$E$5:$E$300,$B90&amp;"/*",Торговля!$I$5:$I$300)+SUMIF(Торговля!$E$5:$E$300,"*/"&amp;$B90,Торговля!$H$5:$H$300)+SUMIF(Лэндинг!$E$5:$E$300,$B90&amp;"/*",Лэндинг!$I$5:$I$300)+SUMIF(Лэндинг!$E$5:$E$300,"*/"&amp;$B90,Лэндинг!$H$5:$H$300)+SUMIF(Закрытые!$E$5:$E$300,$B90&amp;"/*",Закрытые!$I$5:$I$300)+SUMIF(Закрытые!$E$5:$E$300,"*/"&amp;$B90,Закрытые!$H$5:$H$300)+SUMIF(История!$B$5:$B$300,$B90&amp;"/*",История!$F$5:$F$300)+SUMIF(История!$B$5:$B$300,"*/"&amp;$B90,История!$E$5:$E$300),8))</f>
        <v/>
      </c>
      <c r="E90" s="339">
        <f>IF($B90="","",ROUND(C90-D90,8))</f>
        <v/>
      </c>
    </row>
    <row r="91" ht="22" customHeight="1">
      <c r="B91" s="315" t="n"/>
      <c r="C91" s="240">
        <f>IF($B91="","",ROUND(SUMIF(Торговля!$E$5:$E$300,$B91&amp;"/*",Торговля!$F$5:$F$300)+SUMIF(Торговля!$E$5:$E$300,"*/"&amp;$B91,Торговля!$K$5:$K$300)+SUMIF(Лэндинг!$E$5:$E$300,$B91&amp;"/*",Лэндинг!$F$5:$F$300)+SUMIF(Лэндинг!$E$5:$E$300,"*/"&amp;$B91,Лэндинг!$K$5:$K$300)+SUMIF(Закрытые!$E$5:$E$300,$B91&amp;"/*",Закрытые!$F$5:$F$300)+SUMIF(Закрытые!$E$5:$E$300,"*/"&amp;$B91,Закрытые!$K$5:$K$300)+SUMIF(История!$B$5:$B$300,$B91&amp;"/*",История!$C$5:$C$300)+SUMIF(История!$B$5:$B$300,"*/"&amp;$B91,История!$H$5:$H$300),8))</f>
        <v/>
      </c>
      <c r="D91" s="240">
        <f>IF($B91="","",ROUND(SUMIF(Торговля!$E$5:$E$300,$B91&amp;"/*",Торговля!$I$5:$I$300)+SUMIF(Торговля!$E$5:$E$300,"*/"&amp;$B91,Торговля!$H$5:$H$300)+SUMIF(Лэндинг!$E$5:$E$300,$B91&amp;"/*",Лэндинг!$I$5:$I$300)+SUMIF(Лэндинг!$E$5:$E$300,"*/"&amp;$B91,Лэндинг!$H$5:$H$300)+SUMIF(Закрытые!$E$5:$E$300,$B91&amp;"/*",Закрытые!$I$5:$I$300)+SUMIF(Закрытые!$E$5:$E$300,"*/"&amp;$B91,Закрытые!$H$5:$H$300)+SUMIF(История!$B$5:$B$300,$B91&amp;"/*",История!$F$5:$F$300)+SUMIF(История!$B$5:$B$300,"*/"&amp;$B91,История!$E$5:$E$300),8))</f>
        <v/>
      </c>
      <c r="E91" s="339">
        <f>IF($B91="","",ROUND(C91-D91,8))</f>
        <v/>
      </c>
    </row>
    <row r="92" ht="22" customHeight="1">
      <c r="B92" s="320" t="n"/>
      <c r="C92" s="240">
        <f>IF($B92="","",ROUND(SUMIF(Торговля!$E$5:$E$300,$B92&amp;"/*",Торговля!$F$5:$F$300)+SUMIF(Торговля!$E$5:$E$300,"*/"&amp;$B92,Торговля!$K$5:$K$300)+SUMIF(Лэндинг!$E$5:$E$300,$B92&amp;"/*",Лэндинг!$F$5:$F$300)+SUMIF(Лэндинг!$E$5:$E$300,"*/"&amp;$B92,Лэндинг!$K$5:$K$300)+SUMIF(Закрытые!$E$5:$E$300,$B92&amp;"/*",Закрытые!$F$5:$F$300)+SUMIF(Закрытые!$E$5:$E$300,"*/"&amp;$B92,Закрытые!$K$5:$K$300)+SUMIF(История!$B$5:$B$300,$B92&amp;"/*",История!$C$5:$C$300)+SUMIF(История!$B$5:$B$300,"*/"&amp;$B92,История!$H$5:$H$300),8))</f>
        <v/>
      </c>
      <c r="D92" s="240">
        <f>IF($B92="","",ROUND(SUMIF(Торговля!$E$5:$E$300,$B92&amp;"/*",Торговля!$I$5:$I$300)+SUMIF(Торговля!$E$5:$E$300,"*/"&amp;$B92,Торговля!$H$5:$H$300)+SUMIF(Лэндинг!$E$5:$E$300,$B92&amp;"/*",Лэндинг!$I$5:$I$300)+SUMIF(Лэндинг!$E$5:$E$300,"*/"&amp;$B92,Лэндинг!$H$5:$H$300)+SUMIF(Закрытые!$E$5:$E$300,$B92&amp;"/*",Закрытые!$I$5:$I$300)+SUMIF(Закрытые!$E$5:$E$300,"*/"&amp;$B92,Закрытые!$H$5:$H$300)+SUMIF(История!$B$5:$B$300,$B92&amp;"/*",История!$F$5:$F$300)+SUMIF(История!$B$5:$B$300,"*/"&amp;$B92,История!$E$5:$E$300),8))</f>
        <v/>
      </c>
      <c r="E92" s="339">
        <f>IF($B92="","",ROUND(C92-D92,8))</f>
        <v/>
      </c>
    </row>
    <row r="93" ht="22" customHeight="1">
      <c r="B93" s="315" t="n"/>
      <c r="C93" s="240">
        <f>IF($B93="","",ROUND(SUMIF(Торговля!$E$5:$E$300,$B93&amp;"/*",Торговля!$F$5:$F$300)+SUMIF(Торговля!$E$5:$E$300,"*/"&amp;$B93,Торговля!$K$5:$K$300)+SUMIF(Лэндинг!$E$5:$E$300,$B93&amp;"/*",Лэндинг!$F$5:$F$300)+SUMIF(Лэндинг!$E$5:$E$300,"*/"&amp;$B93,Лэндинг!$K$5:$K$300)+SUMIF(Закрытые!$E$5:$E$300,$B93&amp;"/*",Закрытые!$F$5:$F$300)+SUMIF(Закрытые!$E$5:$E$300,"*/"&amp;$B93,Закрытые!$K$5:$K$300)+SUMIF(История!$B$5:$B$300,$B93&amp;"/*",История!$C$5:$C$300)+SUMIF(История!$B$5:$B$300,"*/"&amp;$B93,История!$H$5:$H$300),8))</f>
        <v/>
      </c>
      <c r="D93" s="240">
        <f>IF($B93="","",ROUND(SUMIF(Торговля!$E$5:$E$300,$B93&amp;"/*",Торговля!$I$5:$I$300)+SUMIF(Торговля!$E$5:$E$300,"*/"&amp;$B93,Торговля!$H$5:$H$300)+SUMIF(Лэндинг!$E$5:$E$300,$B93&amp;"/*",Лэндинг!$I$5:$I$300)+SUMIF(Лэндинг!$E$5:$E$300,"*/"&amp;$B93,Лэндинг!$H$5:$H$300)+SUMIF(Закрытые!$E$5:$E$300,$B93&amp;"/*",Закрытые!$I$5:$I$300)+SUMIF(Закрытые!$E$5:$E$300,"*/"&amp;$B93,Закрытые!$H$5:$H$300)+SUMIF(История!$B$5:$B$300,$B93&amp;"/*",История!$F$5:$F$300)+SUMIF(История!$B$5:$B$300,"*/"&amp;$B93,История!$E$5:$E$300),8))</f>
        <v/>
      </c>
      <c r="E93" s="339">
        <f>IF($B93="","",ROUND(C93-D93,8))</f>
        <v/>
      </c>
    </row>
    <row r="94" ht="22" customHeight="1">
      <c r="B94" s="320" t="n"/>
      <c r="C94" s="240">
        <f>IF($B94="","",ROUND(SUMIF(Торговля!$E$5:$E$300,$B94&amp;"/*",Торговля!$F$5:$F$300)+SUMIF(Торговля!$E$5:$E$300,"*/"&amp;$B94,Торговля!$K$5:$K$300)+SUMIF(Лэндинг!$E$5:$E$300,$B94&amp;"/*",Лэндинг!$F$5:$F$300)+SUMIF(Лэндинг!$E$5:$E$300,"*/"&amp;$B94,Лэндинг!$K$5:$K$300)+SUMIF(Закрытые!$E$5:$E$300,$B94&amp;"/*",Закрытые!$F$5:$F$300)+SUMIF(Закрытые!$E$5:$E$300,"*/"&amp;$B94,Закрытые!$K$5:$K$300)+SUMIF(История!$B$5:$B$300,$B94&amp;"/*",История!$C$5:$C$300)+SUMIF(История!$B$5:$B$300,"*/"&amp;$B94,История!$H$5:$H$300),8))</f>
        <v/>
      </c>
      <c r="D94" s="240">
        <f>IF($B94="","",ROUND(SUMIF(Торговля!$E$5:$E$300,$B94&amp;"/*",Торговля!$I$5:$I$300)+SUMIF(Торговля!$E$5:$E$300,"*/"&amp;$B94,Торговля!$H$5:$H$300)+SUMIF(Лэндинг!$E$5:$E$300,$B94&amp;"/*",Лэндинг!$I$5:$I$300)+SUMIF(Лэндинг!$E$5:$E$300,"*/"&amp;$B94,Лэндинг!$H$5:$H$300)+SUMIF(Закрытые!$E$5:$E$300,$B94&amp;"/*",Закрытые!$I$5:$I$300)+SUMIF(Закрытые!$E$5:$E$300,"*/"&amp;$B94,Закрытые!$H$5:$H$300)+SUMIF(История!$B$5:$B$300,$B94&amp;"/*",История!$F$5:$F$300)+SUMIF(История!$B$5:$B$300,"*/"&amp;$B94,История!$E$5:$E$300),8))</f>
        <v/>
      </c>
      <c r="E94" s="339">
        <f>IF($B94="","",ROUND(C94-D94,8))</f>
        <v/>
      </c>
    </row>
    <row r="95" ht="22" customHeight="1">
      <c r="B95" s="315" t="n"/>
      <c r="C95" s="240">
        <f>IF($B95="","",ROUND(SUMIF(Торговля!$E$5:$E$300,$B95&amp;"/*",Торговля!$F$5:$F$300)+SUMIF(Торговля!$E$5:$E$300,"*/"&amp;$B95,Торговля!$K$5:$K$300)+SUMIF(Лэндинг!$E$5:$E$300,$B95&amp;"/*",Лэндинг!$F$5:$F$300)+SUMIF(Лэндинг!$E$5:$E$300,"*/"&amp;$B95,Лэндинг!$K$5:$K$300)+SUMIF(Закрытые!$E$5:$E$300,$B95&amp;"/*",Закрытые!$F$5:$F$300)+SUMIF(Закрытые!$E$5:$E$300,"*/"&amp;$B95,Закрытые!$K$5:$K$300)+SUMIF(История!$B$5:$B$300,$B95&amp;"/*",История!$C$5:$C$300)+SUMIF(История!$B$5:$B$300,"*/"&amp;$B95,История!$H$5:$H$300),8))</f>
        <v/>
      </c>
      <c r="D95" s="240">
        <f>IF($B95="","",ROUND(SUMIF(Торговля!$E$5:$E$300,$B95&amp;"/*",Торговля!$I$5:$I$300)+SUMIF(Торговля!$E$5:$E$300,"*/"&amp;$B95,Торговля!$H$5:$H$300)+SUMIF(Лэндинг!$E$5:$E$300,$B95&amp;"/*",Лэндинг!$I$5:$I$300)+SUMIF(Лэндинг!$E$5:$E$300,"*/"&amp;$B95,Лэндинг!$H$5:$H$300)+SUMIF(Закрытые!$E$5:$E$300,$B95&amp;"/*",Закрытые!$I$5:$I$300)+SUMIF(Закрытые!$E$5:$E$300,"*/"&amp;$B95,Закрытые!$H$5:$H$300)+SUMIF(История!$B$5:$B$300,$B95&amp;"/*",История!$F$5:$F$300)+SUMIF(История!$B$5:$B$300,"*/"&amp;$B95,История!$E$5:$E$300),8))</f>
        <v/>
      </c>
      <c r="E95" s="339">
        <f>IF($B95="","",ROUND(C95-D95,8))</f>
        <v/>
      </c>
    </row>
    <row r="96" ht="22" customHeight="1">
      <c r="B96" s="320" t="n"/>
      <c r="C96" s="240">
        <f>IF($B96="","",ROUND(SUMIF(Торговля!$E$5:$E$300,$B96&amp;"/*",Торговля!$F$5:$F$300)+SUMIF(Торговля!$E$5:$E$300,"*/"&amp;$B96,Торговля!$K$5:$K$300)+SUMIF(Лэндинг!$E$5:$E$300,$B96&amp;"/*",Лэндинг!$F$5:$F$300)+SUMIF(Лэндинг!$E$5:$E$300,"*/"&amp;$B96,Лэндинг!$K$5:$K$300)+SUMIF(Закрытые!$E$5:$E$300,$B96&amp;"/*",Закрытые!$F$5:$F$300)+SUMIF(Закрытые!$E$5:$E$300,"*/"&amp;$B96,Закрытые!$K$5:$K$300)+SUMIF(История!$B$5:$B$300,$B96&amp;"/*",История!$C$5:$C$300)+SUMIF(История!$B$5:$B$300,"*/"&amp;$B96,История!$H$5:$H$300),8))</f>
        <v/>
      </c>
      <c r="D96" s="240">
        <f>IF($B96="","",ROUND(SUMIF(Торговля!$E$5:$E$300,$B96&amp;"/*",Торговля!$I$5:$I$300)+SUMIF(Торговля!$E$5:$E$300,"*/"&amp;$B96,Торговля!$H$5:$H$300)+SUMIF(Лэндинг!$E$5:$E$300,$B96&amp;"/*",Лэндинг!$I$5:$I$300)+SUMIF(Лэндинг!$E$5:$E$300,"*/"&amp;$B96,Лэндинг!$H$5:$H$300)+SUMIF(Закрытые!$E$5:$E$300,$B96&amp;"/*",Закрытые!$I$5:$I$300)+SUMIF(Закрытые!$E$5:$E$300,"*/"&amp;$B96,Закрытые!$H$5:$H$300)+SUMIF(История!$B$5:$B$300,$B96&amp;"/*",История!$F$5:$F$300)+SUMIF(История!$B$5:$B$300,"*/"&amp;$B96,История!$E$5:$E$300),8))</f>
        <v/>
      </c>
      <c r="E96" s="339">
        <f>IF($B96="","",ROUND(C96-D96,8))</f>
        <v/>
      </c>
    </row>
    <row r="97" ht="22" customHeight="1">
      <c r="B97" s="315" t="n"/>
      <c r="C97" s="240">
        <f>IF($B97="","",ROUND(SUMIF(Торговля!$E$5:$E$300,$B97&amp;"/*",Торговля!$F$5:$F$300)+SUMIF(Торговля!$E$5:$E$300,"*/"&amp;$B97,Торговля!$K$5:$K$300)+SUMIF(Лэндинг!$E$5:$E$300,$B97&amp;"/*",Лэндинг!$F$5:$F$300)+SUMIF(Лэндинг!$E$5:$E$300,"*/"&amp;$B97,Лэндинг!$K$5:$K$300)+SUMIF(Закрытые!$E$5:$E$300,$B97&amp;"/*",Закрытые!$F$5:$F$300)+SUMIF(Закрытые!$E$5:$E$300,"*/"&amp;$B97,Закрытые!$K$5:$K$300)+SUMIF(История!$B$5:$B$300,$B97&amp;"/*",История!$C$5:$C$300)+SUMIF(История!$B$5:$B$300,"*/"&amp;$B97,История!$H$5:$H$300),8))</f>
        <v/>
      </c>
      <c r="D97" s="240">
        <f>IF($B97="","",ROUND(SUMIF(Торговля!$E$5:$E$300,$B97&amp;"/*",Торговля!$I$5:$I$300)+SUMIF(Торговля!$E$5:$E$300,"*/"&amp;$B97,Торговля!$H$5:$H$300)+SUMIF(Лэндинг!$E$5:$E$300,$B97&amp;"/*",Лэндинг!$I$5:$I$300)+SUMIF(Лэндинг!$E$5:$E$300,"*/"&amp;$B97,Лэндинг!$H$5:$H$300)+SUMIF(Закрытые!$E$5:$E$300,$B97&amp;"/*",Закрытые!$I$5:$I$300)+SUMIF(Закрытые!$E$5:$E$300,"*/"&amp;$B97,Закрытые!$H$5:$H$300)+SUMIF(История!$B$5:$B$300,$B97&amp;"/*",История!$F$5:$F$300)+SUMIF(История!$B$5:$B$300,"*/"&amp;$B97,История!$E$5:$E$300),8))</f>
        <v/>
      </c>
      <c r="E97" s="339">
        <f>IF($B97="","",ROUND(C97-D97,8))</f>
        <v/>
      </c>
    </row>
    <row r="98" ht="22" customHeight="1">
      <c r="B98" s="320" t="n"/>
      <c r="C98" s="240">
        <f>IF($B98="","",ROUND(SUMIF(Торговля!$E$5:$E$300,$B98&amp;"/*",Торговля!$F$5:$F$300)+SUMIF(Торговля!$E$5:$E$300,"*/"&amp;$B98,Торговля!$K$5:$K$300)+SUMIF(Лэндинг!$E$5:$E$300,$B98&amp;"/*",Лэндинг!$F$5:$F$300)+SUMIF(Лэндинг!$E$5:$E$300,"*/"&amp;$B98,Лэндинг!$K$5:$K$300)+SUMIF(Закрытые!$E$5:$E$300,$B98&amp;"/*",Закрытые!$F$5:$F$300)+SUMIF(Закрытые!$E$5:$E$300,"*/"&amp;$B98,Закрытые!$K$5:$K$300)+SUMIF(История!$B$5:$B$300,$B98&amp;"/*",История!$C$5:$C$300)+SUMIF(История!$B$5:$B$300,"*/"&amp;$B98,История!$H$5:$H$300),8))</f>
        <v/>
      </c>
      <c r="D98" s="240">
        <f>IF($B98="","",ROUND(SUMIF(Торговля!$E$5:$E$300,$B98&amp;"/*",Торговля!$I$5:$I$300)+SUMIF(Торговля!$E$5:$E$300,"*/"&amp;$B98,Торговля!$H$5:$H$300)+SUMIF(Лэндинг!$E$5:$E$300,$B98&amp;"/*",Лэндинг!$I$5:$I$300)+SUMIF(Лэндинг!$E$5:$E$300,"*/"&amp;$B98,Лэндинг!$H$5:$H$300)+SUMIF(Закрытые!$E$5:$E$300,$B98&amp;"/*",Закрытые!$I$5:$I$300)+SUMIF(Закрытые!$E$5:$E$300,"*/"&amp;$B98,Закрытые!$H$5:$H$300)+SUMIF(История!$B$5:$B$300,$B98&amp;"/*",История!$F$5:$F$300)+SUMIF(История!$B$5:$B$300,"*/"&amp;$B98,История!$E$5:$E$300),8))</f>
        <v/>
      </c>
      <c r="E98" s="339">
        <f>IF($B98="","",ROUND(C98-D98,8))</f>
        <v/>
      </c>
    </row>
    <row r="99" ht="22" customHeight="1">
      <c r="B99" s="315" t="n"/>
      <c r="C99" s="240">
        <f>IF($B99="","",ROUND(SUMIF(Торговля!$E$5:$E$300,$B99&amp;"/*",Торговля!$F$5:$F$300)+SUMIF(Торговля!$E$5:$E$300,"*/"&amp;$B99,Торговля!$K$5:$K$300)+SUMIF(Лэндинг!$E$5:$E$300,$B99&amp;"/*",Лэндинг!$F$5:$F$300)+SUMIF(Лэндинг!$E$5:$E$300,"*/"&amp;$B99,Лэндинг!$K$5:$K$300)+SUMIF(Закрытые!$E$5:$E$300,$B99&amp;"/*",Закрытые!$F$5:$F$300)+SUMIF(Закрытые!$E$5:$E$300,"*/"&amp;$B99,Закрытые!$K$5:$K$300)+SUMIF(История!$B$5:$B$300,$B99&amp;"/*",История!$C$5:$C$300)+SUMIF(История!$B$5:$B$300,"*/"&amp;$B99,История!$H$5:$H$300),8))</f>
        <v/>
      </c>
      <c r="D99" s="240">
        <f>IF($B99="","",ROUND(SUMIF(Торговля!$E$5:$E$300,$B99&amp;"/*",Торговля!$I$5:$I$300)+SUMIF(Торговля!$E$5:$E$300,"*/"&amp;$B99,Торговля!$H$5:$H$300)+SUMIF(Лэндинг!$E$5:$E$300,$B99&amp;"/*",Лэндинг!$I$5:$I$300)+SUMIF(Лэндинг!$E$5:$E$300,"*/"&amp;$B99,Лэндинг!$H$5:$H$300)+SUMIF(Закрытые!$E$5:$E$300,$B99&amp;"/*",Закрытые!$I$5:$I$300)+SUMIF(Закрытые!$E$5:$E$300,"*/"&amp;$B99,Закрытые!$H$5:$H$300)+SUMIF(История!$B$5:$B$300,$B99&amp;"/*",История!$F$5:$F$300)+SUMIF(История!$B$5:$B$300,"*/"&amp;$B99,История!$E$5:$E$300),8))</f>
        <v/>
      </c>
      <c r="E99" s="339">
        <f>IF($B99="","",ROUND(C99-D99,8))</f>
        <v/>
      </c>
    </row>
    <row r="100" ht="22" customHeight="1">
      <c r="B100" s="320" t="n"/>
      <c r="C100" s="240">
        <f>IF($B100="","",ROUND(SUMIF(Торговля!$E$5:$E$300,$B100&amp;"/*",Торговля!$F$5:$F$300)+SUMIF(Торговля!$E$5:$E$300,"*/"&amp;$B100,Торговля!$K$5:$K$300)+SUMIF(Лэндинг!$E$5:$E$300,$B100&amp;"/*",Лэндинг!$F$5:$F$300)+SUMIF(Лэндинг!$E$5:$E$300,"*/"&amp;$B100,Лэндинг!$K$5:$K$300)+SUMIF(Закрытые!$E$5:$E$300,$B100&amp;"/*",Закрытые!$F$5:$F$300)+SUMIF(Закрытые!$E$5:$E$300,"*/"&amp;$B100,Закрытые!$K$5:$K$300)+SUMIF(История!$B$5:$B$300,$B100&amp;"/*",История!$C$5:$C$300)+SUMIF(История!$B$5:$B$300,"*/"&amp;$B100,История!$H$5:$H$300),8))</f>
        <v/>
      </c>
      <c r="D100" s="240">
        <f>IF($B100="","",ROUND(SUMIF(Торговля!$E$5:$E$300,$B100&amp;"/*",Торговля!$I$5:$I$300)+SUMIF(Торговля!$E$5:$E$300,"*/"&amp;$B100,Торговля!$H$5:$H$300)+SUMIF(Лэндинг!$E$5:$E$300,$B100&amp;"/*",Лэндинг!$I$5:$I$300)+SUMIF(Лэндинг!$E$5:$E$300,"*/"&amp;$B100,Лэндинг!$H$5:$H$300)+SUMIF(Закрытые!$E$5:$E$300,$B100&amp;"/*",Закрытые!$I$5:$I$300)+SUMIF(Закрытые!$E$5:$E$300,"*/"&amp;$B100,Закрытые!$H$5:$H$300)+SUMIF(История!$B$5:$B$300,$B100&amp;"/*",История!$F$5:$F$300)+SUMIF(История!$B$5:$B$300,"*/"&amp;$B100,История!$E$5:$E$300),8))</f>
        <v/>
      </c>
      <c r="E100" s="339">
        <f>IF($B100="","",ROUND(C100-D100,8))</f>
        <v/>
      </c>
    </row>
    <row r="101" ht="22" customHeight="1">
      <c r="B101" s="315" t="n"/>
      <c r="C101" s="240">
        <f>IF($B101="","",ROUND(SUMIF(Торговля!$E$5:$E$300,$B101&amp;"/*",Торговля!$F$5:$F$300)+SUMIF(Торговля!$E$5:$E$300,"*/"&amp;$B101,Торговля!$K$5:$K$300)+SUMIF(Лэндинг!$E$5:$E$300,$B101&amp;"/*",Лэндинг!$F$5:$F$300)+SUMIF(Лэндинг!$E$5:$E$300,"*/"&amp;$B101,Лэндинг!$K$5:$K$300)+SUMIF(Закрытые!$E$5:$E$300,$B101&amp;"/*",Закрытые!$F$5:$F$300)+SUMIF(Закрытые!$E$5:$E$300,"*/"&amp;$B101,Закрытые!$K$5:$K$300)+SUMIF(История!$B$5:$B$300,$B101&amp;"/*",История!$C$5:$C$300)+SUMIF(История!$B$5:$B$300,"*/"&amp;$B101,История!$H$5:$H$300),8))</f>
        <v/>
      </c>
      <c r="D101" s="240">
        <f>IF($B101="","",ROUND(SUMIF(Торговля!$E$5:$E$300,$B101&amp;"/*",Торговля!$I$5:$I$300)+SUMIF(Торговля!$E$5:$E$300,"*/"&amp;$B101,Торговля!$H$5:$H$300)+SUMIF(Лэндинг!$E$5:$E$300,$B101&amp;"/*",Лэндинг!$I$5:$I$300)+SUMIF(Лэндинг!$E$5:$E$300,"*/"&amp;$B101,Лэндинг!$H$5:$H$300)+SUMIF(Закрытые!$E$5:$E$300,$B101&amp;"/*",Закрытые!$I$5:$I$300)+SUMIF(Закрытые!$E$5:$E$300,"*/"&amp;$B101,Закрытые!$H$5:$H$300)+SUMIF(История!$B$5:$B$300,$B101&amp;"/*",История!$F$5:$F$300)+SUMIF(История!$B$5:$B$300,"*/"&amp;$B101,История!$E$5:$E$300),8))</f>
        <v/>
      </c>
      <c r="E101" s="339">
        <f>IF($B101="","",ROUND(C101-D101,8))</f>
        <v/>
      </c>
    </row>
    <row r="102" ht="22" customHeight="1">
      <c r="B102" s="320" t="n"/>
      <c r="C102" s="240">
        <f>IF($B102="","",ROUND(SUMIF(Торговля!$E$5:$E$300,$B102&amp;"/*",Торговля!$F$5:$F$300)+SUMIF(Торговля!$E$5:$E$300,"*/"&amp;$B102,Торговля!$K$5:$K$300)+SUMIF(Лэндинг!$E$5:$E$300,$B102&amp;"/*",Лэндинг!$F$5:$F$300)+SUMIF(Лэндинг!$E$5:$E$300,"*/"&amp;$B102,Лэндинг!$K$5:$K$300)+SUMIF(Закрытые!$E$5:$E$300,$B102&amp;"/*",Закрытые!$F$5:$F$300)+SUMIF(Закрытые!$E$5:$E$300,"*/"&amp;$B102,Закрытые!$K$5:$K$300)+SUMIF(История!$B$5:$B$300,$B102&amp;"/*",История!$C$5:$C$300)+SUMIF(История!$B$5:$B$300,"*/"&amp;$B102,История!$H$5:$H$300),8))</f>
        <v/>
      </c>
      <c r="D102" s="240">
        <f>IF($B102="","",ROUND(SUMIF(Торговля!$E$5:$E$300,$B102&amp;"/*",Торговля!$I$5:$I$300)+SUMIF(Торговля!$E$5:$E$300,"*/"&amp;$B102,Торговля!$H$5:$H$300)+SUMIF(Лэндинг!$E$5:$E$300,$B102&amp;"/*",Лэндинг!$I$5:$I$300)+SUMIF(Лэндинг!$E$5:$E$300,"*/"&amp;$B102,Лэндинг!$H$5:$H$300)+SUMIF(Закрытые!$E$5:$E$300,$B102&amp;"/*",Закрытые!$I$5:$I$300)+SUMIF(Закрытые!$E$5:$E$300,"*/"&amp;$B102,Закрытые!$H$5:$H$300)+SUMIF(История!$B$5:$B$300,$B102&amp;"/*",История!$F$5:$F$300)+SUMIF(История!$B$5:$B$300,"*/"&amp;$B102,История!$E$5:$E$300),8))</f>
        <v/>
      </c>
      <c r="E102" s="339">
        <f>IF($B102="","",ROUND(C102-D102,8))</f>
        <v/>
      </c>
    </row>
    <row r="103" ht="22" customHeight="1">
      <c r="B103" s="315" t="n"/>
      <c r="C103" s="240">
        <f>IF($B103="","",ROUND(SUMIF(Торговля!$E$5:$E$300,$B103&amp;"/*",Торговля!$F$5:$F$300)+SUMIF(Торговля!$E$5:$E$300,"*/"&amp;$B103,Торговля!$K$5:$K$300)+SUMIF(Лэндинг!$E$5:$E$300,$B103&amp;"/*",Лэндинг!$F$5:$F$300)+SUMIF(Лэндинг!$E$5:$E$300,"*/"&amp;$B103,Лэндинг!$K$5:$K$300)+SUMIF(Закрытые!$E$5:$E$300,$B103&amp;"/*",Закрытые!$F$5:$F$300)+SUMIF(Закрытые!$E$5:$E$300,"*/"&amp;$B103,Закрытые!$K$5:$K$300)+SUMIF(История!$B$5:$B$300,$B103&amp;"/*",История!$C$5:$C$300)+SUMIF(История!$B$5:$B$300,"*/"&amp;$B103,История!$H$5:$H$300),8))</f>
        <v/>
      </c>
      <c r="D103" s="240">
        <f>IF($B103="","",ROUND(SUMIF(Торговля!$E$5:$E$300,$B103&amp;"/*",Торговля!$I$5:$I$300)+SUMIF(Торговля!$E$5:$E$300,"*/"&amp;$B103,Торговля!$H$5:$H$300)+SUMIF(Лэндинг!$E$5:$E$300,$B103&amp;"/*",Лэндинг!$I$5:$I$300)+SUMIF(Лэндинг!$E$5:$E$300,"*/"&amp;$B103,Лэндинг!$H$5:$H$300)+SUMIF(Закрытые!$E$5:$E$300,$B103&amp;"/*",Закрытые!$I$5:$I$300)+SUMIF(Закрытые!$E$5:$E$300,"*/"&amp;$B103,Закрытые!$H$5:$H$300)+SUMIF(История!$B$5:$B$300,$B103&amp;"/*",История!$F$5:$F$300)+SUMIF(История!$B$5:$B$300,"*/"&amp;$B103,История!$E$5:$E$300),8))</f>
        <v/>
      </c>
      <c r="E103" s="339">
        <f>IF($B103="","",ROUND(C103-D103,8))</f>
        <v/>
      </c>
    </row>
    <row r="104" ht="22" customHeight="1">
      <c r="B104" s="320" t="n"/>
      <c r="C104" s="240">
        <f>IF($B104="","",ROUND(SUMIF(Торговля!$E$5:$E$300,$B104&amp;"/*",Торговля!$F$5:$F$300)+SUMIF(Торговля!$E$5:$E$300,"*/"&amp;$B104,Торговля!$K$5:$K$300)+SUMIF(Лэндинг!$E$5:$E$300,$B104&amp;"/*",Лэндинг!$F$5:$F$300)+SUMIF(Лэндинг!$E$5:$E$300,"*/"&amp;$B104,Лэндинг!$K$5:$K$300)+SUMIF(Закрытые!$E$5:$E$300,$B104&amp;"/*",Закрытые!$F$5:$F$300)+SUMIF(Закрытые!$E$5:$E$300,"*/"&amp;$B104,Закрытые!$K$5:$K$300)+SUMIF(История!$B$5:$B$300,$B104&amp;"/*",История!$C$5:$C$300)+SUMIF(История!$B$5:$B$300,"*/"&amp;$B104,История!$H$5:$H$300),8))</f>
        <v/>
      </c>
      <c r="D104" s="240">
        <f>IF($B104="","",ROUND(SUMIF(Торговля!$E$5:$E$300,$B104&amp;"/*",Торговля!$I$5:$I$300)+SUMIF(Торговля!$E$5:$E$300,"*/"&amp;$B104,Торговля!$H$5:$H$300)+SUMIF(Лэндинг!$E$5:$E$300,$B104&amp;"/*",Лэндинг!$I$5:$I$300)+SUMIF(Лэндинг!$E$5:$E$300,"*/"&amp;$B104,Лэндинг!$H$5:$H$300)+SUMIF(Закрытые!$E$5:$E$300,$B104&amp;"/*",Закрытые!$I$5:$I$300)+SUMIF(Закрытые!$E$5:$E$300,"*/"&amp;$B104,Закрытые!$H$5:$H$300)+SUMIF(История!$B$5:$B$300,$B104&amp;"/*",История!$F$5:$F$300)+SUMIF(История!$B$5:$B$300,"*/"&amp;$B104,История!$E$5:$E$300),8))</f>
        <v/>
      </c>
      <c r="E104" s="339">
        <f>IF($B104="","",ROUND(C104-D104,8))</f>
        <v/>
      </c>
    </row>
    <row r="105" ht="22" customHeight="1">
      <c r="B105" s="315" t="n"/>
      <c r="C105" s="240">
        <f>IF($B105="","",ROUND(SUMIF(Торговля!$E$5:$E$300,$B105&amp;"/*",Торговля!$F$5:$F$300)+SUMIF(Торговля!$E$5:$E$300,"*/"&amp;$B105,Торговля!$K$5:$K$300)+SUMIF(Лэндинг!$E$5:$E$300,$B105&amp;"/*",Лэндинг!$F$5:$F$300)+SUMIF(Лэндинг!$E$5:$E$300,"*/"&amp;$B105,Лэндинг!$K$5:$K$300)+SUMIF(Закрытые!$E$5:$E$300,$B105&amp;"/*",Закрытые!$F$5:$F$300)+SUMIF(Закрытые!$E$5:$E$300,"*/"&amp;$B105,Закрытые!$K$5:$K$300)+SUMIF(История!$B$5:$B$300,$B105&amp;"/*",История!$C$5:$C$300)+SUMIF(История!$B$5:$B$300,"*/"&amp;$B105,История!$H$5:$H$300),8))</f>
        <v/>
      </c>
      <c r="D105" s="240">
        <f>IF($B105="","",ROUND(SUMIF(Торговля!$E$5:$E$300,$B105&amp;"/*",Торговля!$I$5:$I$300)+SUMIF(Торговля!$E$5:$E$300,"*/"&amp;$B105,Торговля!$H$5:$H$300)+SUMIF(Лэндинг!$E$5:$E$300,$B105&amp;"/*",Лэндинг!$I$5:$I$300)+SUMIF(Лэндинг!$E$5:$E$300,"*/"&amp;$B105,Лэндинг!$H$5:$H$300)+SUMIF(Закрытые!$E$5:$E$300,$B105&amp;"/*",Закрытые!$I$5:$I$300)+SUMIF(Закрытые!$E$5:$E$300,"*/"&amp;$B105,Закрытые!$H$5:$H$300)+SUMIF(История!$B$5:$B$300,$B105&amp;"/*",История!$F$5:$F$300)+SUMIF(История!$B$5:$B$300,"*/"&amp;$B105,История!$E$5:$E$300),8))</f>
        <v/>
      </c>
      <c r="E105" s="339">
        <f>IF($B105="","",ROUND(C105-D105,8))</f>
        <v/>
      </c>
    </row>
    <row r="106" ht="22" customHeight="1">
      <c r="B106" s="320" t="n"/>
      <c r="C106" s="240">
        <f>IF($B106="","",ROUND(SUMIF(Торговля!$E$5:$E$300,$B106&amp;"/*",Торговля!$F$5:$F$300)+SUMIF(Торговля!$E$5:$E$300,"*/"&amp;$B106,Торговля!$K$5:$K$300)+SUMIF(Лэндинг!$E$5:$E$300,$B106&amp;"/*",Лэндинг!$F$5:$F$300)+SUMIF(Лэндинг!$E$5:$E$300,"*/"&amp;$B106,Лэндинг!$K$5:$K$300)+SUMIF(Закрытые!$E$5:$E$300,$B106&amp;"/*",Закрытые!$F$5:$F$300)+SUMIF(Закрытые!$E$5:$E$300,"*/"&amp;$B106,Закрытые!$K$5:$K$300)+SUMIF(История!$B$5:$B$300,$B106&amp;"/*",История!$C$5:$C$300)+SUMIF(История!$B$5:$B$300,"*/"&amp;$B106,История!$H$5:$H$300),8))</f>
        <v/>
      </c>
      <c r="D106" s="240">
        <f>IF($B106="","",ROUND(SUMIF(Торговля!$E$5:$E$300,$B106&amp;"/*",Торговля!$I$5:$I$300)+SUMIF(Торговля!$E$5:$E$300,"*/"&amp;$B106,Торговля!$H$5:$H$300)+SUMIF(Лэндинг!$E$5:$E$300,$B106&amp;"/*",Лэндинг!$I$5:$I$300)+SUMIF(Лэндинг!$E$5:$E$300,"*/"&amp;$B106,Лэндинг!$H$5:$H$300)+SUMIF(Закрытые!$E$5:$E$300,$B106&amp;"/*",Закрытые!$I$5:$I$300)+SUMIF(Закрытые!$E$5:$E$300,"*/"&amp;$B106,Закрытые!$H$5:$H$300)+SUMIF(История!$B$5:$B$300,$B106&amp;"/*",История!$F$5:$F$300)+SUMIF(История!$B$5:$B$300,"*/"&amp;$B106,История!$E$5:$E$300),8))</f>
        <v/>
      </c>
      <c r="E106" s="339">
        <f>IF($B106="","",ROUND(C106-D106,8))</f>
        <v/>
      </c>
    </row>
    <row r="107" ht="22" customHeight="1">
      <c r="B107" s="315" t="n"/>
      <c r="C107" s="240">
        <f>IF($B107="","",ROUND(SUMIF(Торговля!$E$5:$E$300,$B107&amp;"/*",Торговля!$F$5:$F$300)+SUMIF(Торговля!$E$5:$E$300,"*/"&amp;$B107,Торговля!$K$5:$K$300)+SUMIF(Лэндинг!$E$5:$E$300,$B107&amp;"/*",Лэндинг!$F$5:$F$300)+SUMIF(Лэндинг!$E$5:$E$300,"*/"&amp;$B107,Лэндинг!$K$5:$K$300)+SUMIF(Закрытые!$E$5:$E$300,$B107&amp;"/*",Закрытые!$F$5:$F$300)+SUMIF(Закрытые!$E$5:$E$300,"*/"&amp;$B107,Закрытые!$K$5:$K$300)+SUMIF(История!$B$5:$B$300,$B107&amp;"/*",История!$C$5:$C$300)+SUMIF(История!$B$5:$B$300,"*/"&amp;$B107,История!$H$5:$H$300),8))</f>
        <v/>
      </c>
      <c r="D107" s="240">
        <f>IF($B107="","",ROUND(SUMIF(Торговля!$E$5:$E$300,$B107&amp;"/*",Торговля!$I$5:$I$300)+SUMIF(Торговля!$E$5:$E$300,"*/"&amp;$B107,Торговля!$H$5:$H$300)+SUMIF(Лэндинг!$E$5:$E$300,$B107&amp;"/*",Лэндинг!$I$5:$I$300)+SUMIF(Лэндинг!$E$5:$E$300,"*/"&amp;$B107,Лэндинг!$H$5:$H$300)+SUMIF(Закрытые!$E$5:$E$300,$B107&amp;"/*",Закрытые!$I$5:$I$300)+SUMIF(Закрытые!$E$5:$E$300,"*/"&amp;$B107,Закрытые!$H$5:$H$300)+SUMIF(История!$B$5:$B$300,$B107&amp;"/*",История!$F$5:$F$300)+SUMIF(История!$B$5:$B$300,"*/"&amp;$B107,История!$E$5:$E$300),8))</f>
        <v/>
      </c>
      <c r="E107" s="339">
        <f>IF($B107="","",ROUND(C107-D107,8))</f>
        <v/>
      </c>
    </row>
    <row r="108" ht="22" customHeight="1">
      <c r="B108" s="320" t="n"/>
      <c r="C108" s="240">
        <f>IF($B108="","",ROUND(SUMIF(Торговля!$E$5:$E$300,$B108&amp;"/*",Торговля!$F$5:$F$300)+SUMIF(Торговля!$E$5:$E$300,"*/"&amp;$B108,Торговля!$K$5:$K$300)+SUMIF(Лэндинг!$E$5:$E$300,$B108&amp;"/*",Лэндинг!$F$5:$F$300)+SUMIF(Лэндинг!$E$5:$E$300,"*/"&amp;$B108,Лэндинг!$K$5:$K$300)+SUMIF(Закрытые!$E$5:$E$300,$B108&amp;"/*",Закрытые!$F$5:$F$300)+SUMIF(Закрытые!$E$5:$E$300,"*/"&amp;$B108,Закрытые!$K$5:$K$300)+SUMIF(История!$B$5:$B$300,$B108&amp;"/*",История!$C$5:$C$300)+SUMIF(История!$B$5:$B$300,"*/"&amp;$B108,История!$H$5:$H$300),8))</f>
        <v/>
      </c>
      <c r="D108" s="240">
        <f>IF($B108="","",ROUND(SUMIF(Торговля!$E$5:$E$300,$B108&amp;"/*",Торговля!$I$5:$I$300)+SUMIF(Торговля!$E$5:$E$300,"*/"&amp;$B108,Торговля!$H$5:$H$300)+SUMIF(Лэндинг!$E$5:$E$300,$B108&amp;"/*",Лэндинг!$I$5:$I$300)+SUMIF(Лэндинг!$E$5:$E$300,"*/"&amp;$B108,Лэндинг!$H$5:$H$300)+SUMIF(Закрытые!$E$5:$E$300,$B108&amp;"/*",Закрытые!$I$5:$I$300)+SUMIF(Закрытые!$E$5:$E$300,"*/"&amp;$B108,Закрытые!$H$5:$H$300)+SUMIF(История!$B$5:$B$300,$B108&amp;"/*",История!$F$5:$F$300)+SUMIF(История!$B$5:$B$300,"*/"&amp;$B108,История!$E$5:$E$300),8))</f>
        <v/>
      </c>
      <c r="E108" s="339">
        <f>IF($B108="","",ROUND(C108-D108,8))</f>
        <v/>
      </c>
    </row>
    <row r="109" ht="22" customHeight="1">
      <c r="B109" s="315" t="n"/>
      <c r="C109" s="240">
        <f>IF($B109="","",ROUND(SUMIF(Торговля!$E$5:$E$300,$B109&amp;"/*",Торговля!$F$5:$F$300)+SUMIF(Торговля!$E$5:$E$300,"*/"&amp;$B109,Торговля!$K$5:$K$300)+SUMIF(Лэндинг!$E$5:$E$300,$B109&amp;"/*",Лэндинг!$F$5:$F$300)+SUMIF(Лэндинг!$E$5:$E$300,"*/"&amp;$B109,Лэндинг!$K$5:$K$300)+SUMIF(Закрытые!$E$5:$E$300,$B109&amp;"/*",Закрытые!$F$5:$F$300)+SUMIF(Закрытые!$E$5:$E$300,"*/"&amp;$B109,Закрытые!$K$5:$K$300)+SUMIF(История!$B$5:$B$300,$B109&amp;"/*",История!$C$5:$C$300)+SUMIF(История!$B$5:$B$300,"*/"&amp;$B109,История!$H$5:$H$300),8))</f>
        <v/>
      </c>
      <c r="D109" s="240">
        <f>IF($B109="","",ROUND(SUMIF(Торговля!$E$5:$E$300,$B109&amp;"/*",Торговля!$I$5:$I$300)+SUMIF(Торговля!$E$5:$E$300,"*/"&amp;$B109,Торговля!$H$5:$H$300)+SUMIF(Лэндинг!$E$5:$E$300,$B109&amp;"/*",Лэндинг!$I$5:$I$300)+SUMIF(Лэндинг!$E$5:$E$300,"*/"&amp;$B109,Лэндинг!$H$5:$H$300)+SUMIF(Закрытые!$E$5:$E$300,$B109&amp;"/*",Закрытые!$I$5:$I$300)+SUMIF(Закрытые!$E$5:$E$300,"*/"&amp;$B109,Закрытые!$H$5:$H$300)+SUMIF(История!$B$5:$B$300,$B109&amp;"/*",История!$F$5:$F$300)+SUMIF(История!$B$5:$B$300,"*/"&amp;$B109,История!$E$5:$E$300),8))</f>
        <v/>
      </c>
      <c r="E109" s="339">
        <f>IF($B109="","",ROUND(C109-D109,8))</f>
        <v/>
      </c>
    </row>
    <row r="110" ht="22" customHeight="1">
      <c r="B110" s="320" t="n"/>
      <c r="C110" s="240">
        <f>IF($B110="","",ROUND(SUMIF(Торговля!$E$5:$E$300,$B110&amp;"/*",Торговля!$F$5:$F$300)+SUMIF(Торговля!$E$5:$E$300,"*/"&amp;$B110,Торговля!$K$5:$K$300)+SUMIF(Лэндинг!$E$5:$E$300,$B110&amp;"/*",Лэндинг!$F$5:$F$300)+SUMIF(Лэндинг!$E$5:$E$300,"*/"&amp;$B110,Лэндинг!$K$5:$K$300)+SUMIF(Закрытые!$E$5:$E$300,$B110&amp;"/*",Закрытые!$F$5:$F$300)+SUMIF(Закрытые!$E$5:$E$300,"*/"&amp;$B110,Закрытые!$K$5:$K$300)+SUMIF(История!$B$5:$B$300,$B110&amp;"/*",История!$C$5:$C$300)+SUMIF(История!$B$5:$B$300,"*/"&amp;$B110,История!$H$5:$H$300),8))</f>
        <v/>
      </c>
      <c r="D110" s="240">
        <f>IF($B110="","",ROUND(SUMIF(Торговля!$E$5:$E$300,$B110&amp;"/*",Торговля!$I$5:$I$300)+SUMIF(Торговля!$E$5:$E$300,"*/"&amp;$B110,Торговля!$H$5:$H$300)+SUMIF(Лэндинг!$E$5:$E$300,$B110&amp;"/*",Лэндинг!$I$5:$I$300)+SUMIF(Лэндинг!$E$5:$E$300,"*/"&amp;$B110,Лэндинг!$H$5:$H$300)+SUMIF(Закрытые!$E$5:$E$300,$B110&amp;"/*",Закрытые!$I$5:$I$300)+SUMIF(Закрытые!$E$5:$E$300,"*/"&amp;$B110,Закрытые!$H$5:$H$300)+SUMIF(История!$B$5:$B$300,$B110&amp;"/*",История!$F$5:$F$300)+SUMIF(История!$B$5:$B$300,"*/"&amp;$B110,История!$E$5:$E$300),8))</f>
        <v/>
      </c>
      <c r="E110" s="339">
        <f>IF($B110="","",ROUND(C110-D110,8))</f>
        <v/>
      </c>
    </row>
    <row r="111" ht="22" customHeight="1">
      <c r="B111" s="315" t="n"/>
      <c r="C111" s="240">
        <f>IF($B111="","",ROUND(SUMIF(Торговля!$E$5:$E$300,$B111&amp;"/*",Торговля!$F$5:$F$300)+SUMIF(Торговля!$E$5:$E$300,"*/"&amp;$B111,Торговля!$K$5:$K$300)+SUMIF(Лэндинг!$E$5:$E$300,$B111&amp;"/*",Лэндинг!$F$5:$F$300)+SUMIF(Лэндинг!$E$5:$E$300,"*/"&amp;$B111,Лэндинг!$K$5:$K$300)+SUMIF(Закрытые!$E$5:$E$300,$B111&amp;"/*",Закрытые!$F$5:$F$300)+SUMIF(Закрытые!$E$5:$E$300,"*/"&amp;$B111,Закрытые!$K$5:$K$300)+SUMIF(История!$B$5:$B$300,$B111&amp;"/*",История!$C$5:$C$300)+SUMIF(История!$B$5:$B$300,"*/"&amp;$B111,История!$H$5:$H$300),8))</f>
        <v/>
      </c>
      <c r="D111" s="240">
        <f>IF($B111="","",ROUND(SUMIF(Торговля!$E$5:$E$300,$B111&amp;"/*",Торговля!$I$5:$I$300)+SUMIF(Торговля!$E$5:$E$300,"*/"&amp;$B111,Торговля!$H$5:$H$300)+SUMIF(Лэндинг!$E$5:$E$300,$B111&amp;"/*",Лэндинг!$I$5:$I$300)+SUMIF(Лэндинг!$E$5:$E$300,"*/"&amp;$B111,Лэндинг!$H$5:$H$300)+SUMIF(Закрытые!$E$5:$E$300,$B111&amp;"/*",Закрытые!$I$5:$I$300)+SUMIF(Закрытые!$E$5:$E$300,"*/"&amp;$B111,Закрытые!$H$5:$H$300)+SUMIF(История!$B$5:$B$300,$B111&amp;"/*",История!$F$5:$F$300)+SUMIF(История!$B$5:$B$300,"*/"&amp;$B111,История!$E$5:$E$300),8))</f>
        <v/>
      </c>
      <c r="E111" s="339">
        <f>IF($B111="","",ROUND(C111-D111,8))</f>
        <v/>
      </c>
    </row>
    <row r="112" ht="22" customHeight="1">
      <c r="B112" s="320" t="n"/>
      <c r="C112" s="240">
        <f>IF($B112="","",ROUND(SUMIF(Торговля!$E$5:$E$300,$B112&amp;"/*",Торговля!$F$5:$F$300)+SUMIF(Торговля!$E$5:$E$300,"*/"&amp;$B112,Торговля!$K$5:$K$300)+SUMIF(Лэндинг!$E$5:$E$300,$B112&amp;"/*",Лэндинг!$F$5:$F$300)+SUMIF(Лэндинг!$E$5:$E$300,"*/"&amp;$B112,Лэндинг!$K$5:$K$300)+SUMIF(Закрытые!$E$5:$E$300,$B112&amp;"/*",Закрытые!$F$5:$F$300)+SUMIF(Закрытые!$E$5:$E$300,"*/"&amp;$B112,Закрытые!$K$5:$K$300)+SUMIF(История!$B$5:$B$300,$B112&amp;"/*",История!$C$5:$C$300)+SUMIF(История!$B$5:$B$300,"*/"&amp;$B112,История!$H$5:$H$300),8))</f>
        <v/>
      </c>
      <c r="D112" s="240">
        <f>IF($B112="","",ROUND(SUMIF(Торговля!$E$5:$E$300,$B112&amp;"/*",Торговля!$I$5:$I$300)+SUMIF(Торговля!$E$5:$E$300,"*/"&amp;$B112,Торговля!$H$5:$H$300)+SUMIF(Лэндинг!$E$5:$E$300,$B112&amp;"/*",Лэндинг!$I$5:$I$300)+SUMIF(Лэндинг!$E$5:$E$300,"*/"&amp;$B112,Лэндинг!$H$5:$H$300)+SUMIF(Закрытые!$E$5:$E$300,$B112&amp;"/*",Закрытые!$I$5:$I$300)+SUMIF(Закрытые!$E$5:$E$300,"*/"&amp;$B112,Закрытые!$H$5:$H$300)+SUMIF(История!$B$5:$B$300,$B112&amp;"/*",История!$F$5:$F$300)+SUMIF(История!$B$5:$B$300,"*/"&amp;$B112,История!$E$5:$E$300),8))</f>
        <v/>
      </c>
      <c r="E112" s="339">
        <f>IF($B112="","",ROUND(C112-D112,8))</f>
        <v/>
      </c>
    </row>
    <row r="113" ht="22" customHeight="1">
      <c r="B113" s="315" t="n"/>
      <c r="C113" s="240">
        <f>IF($B113="","",ROUND(SUMIF(Торговля!$E$5:$E$300,$B113&amp;"/*",Торговля!$F$5:$F$300)+SUMIF(Торговля!$E$5:$E$300,"*/"&amp;$B113,Торговля!$K$5:$K$300)+SUMIF(Лэндинг!$E$5:$E$300,$B113&amp;"/*",Лэндинг!$F$5:$F$300)+SUMIF(Лэндинг!$E$5:$E$300,"*/"&amp;$B113,Лэндинг!$K$5:$K$300)+SUMIF(Закрытые!$E$5:$E$300,$B113&amp;"/*",Закрытые!$F$5:$F$300)+SUMIF(Закрытые!$E$5:$E$300,"*/"&amp;$B113,Закрытые!$K$5:$K$300)+SUMIF(История!$B$5:$B$300,$B113&amp;"/*",История!$C$5:$C$300)+SUMIF(История!$B$5:$B$300,"*/"&amp;$B113,История!$H$5:$H$300),8))</f>
        <v/>
      </c>
      <c r="D113" s="240">
        <f>IF($B113="","",ROUND(SUMIF(Торговля!$E$5:$E$300,$B113&amp;"/*",Торговля!$I$5:$I$300)+SUMIF(Торговля!$E$5:$E$300,"*/"&amp;$B113,Торговля!$H$5:$H$300)+SUMIF(Лэндинг!$E$5:$E$300,$B113&amp;"/*",Лэндинг!$I$5:$I$300)+SUMIF(Лэндинг!$E$5:$E$300,"*/"&amp;$B113,Лэндинг!$H$5:$H$300)+SUMIF(Закрытые!$E$5:$E$300,$B113&amp;"/*",Закрытые!$I$5:$I$300)+SUMIF(Закрытые!$E$5:$E$300,"*/"&amp;$B113,Закрытые!$H$5:$H$300)+SUMIF(История!$B$5:$B$300,$B113&amp;"/*",История!$F$5:$F$300)+SUMIF(История!$B$5:$B$300,"*/"&amp;$B113,История!$E$5:$E$300),8))</f>
        <v/>
      </c>
      <c r="E113" s="339">
        <f>IF($B113="","",ROUND(C113-D113,8))</f>
        <v/>
      </c>
    </row>
    <row r="114" ht="22" customHeight="1">
      <c r="B114" s="320" t="n"/>
      <c r="C114" s="240">
        <f>IF($B114="","",ROUND(SUMIF(Торговля!$E$5:$E$300,$B114&amp;"/*",Торговля!$F$5:$F$300)+SUMIF(Торговля!$E$5:$E$300,"*/"&amp;$B114,Торговля!$K$5:$K$300)+SUMIF(Лэндинг!$E$5:$E$300,$B114&amp;"/*",Лэндинг!$F$5:$F$300)+SUMIF(Лэндинг!$E$5:$E$300,"*/"&amp;$B114,Лэндинг!$K$5:$K$300)+SUMIF(Закрытые!$E$5:$E$300,$B114&amp;"/*",Закрытые!$F$5:$F$300)+SUMIF(Закрытые!$E$5:$E$300,"*/"&amp;$B114,Закрытые!$K$5:$K$300)+SUMIF(История!$B$5:$B$300,$B114&amp;"/*",История!$C$5:$C$300)+SUMIF(История!$B$5:$B$300,"*/"&amp;$B114,История!$H$5:$H$300),8))</f>
        <v/>
      </c>
      <c r="D114" s="240">
        <f>IF($B114="","",ROUND(SUMIF(Торговля!$E$5:$E$300,$B114&amp;"/*",Торговля!$I$5:$I$300)+SUMIF(Торговля!$E$5:$E$300,"*/"&amp;$B114,Торговля!$H$5:$H$300)+SUMIF(Лэндинг!$E$5:$E$300,$B114&amp;"/*",Лэндинг!$I$5:$I$300)+SUMIF(Лэндинг!$E$5:$E$300,"*/"&amp;$B114,Лэндинг!$H$5:$H$300)+SUMIF(Закрытые!$E$5:$E$300,$B114&amp;"/*",Закрытые!$I$5:$I$300)+SUMIF(Закрытые!$E$5:$E$300,"*/"&amp;$B114,Закрытые!$H$5:$H$300)+SUMIF(История!$B$5:$B$300,$B114&amp;"/*",История!$F$5:$F$300)+SUMIF(История!$B$5:$B$300,"*/"&amp;$B114,История!$E$5:$E$300),8))</f>
        <v/>
      </c>
      <c r="E114" s="339">
        <f>IF($B114="","",ROUND(C114-D114,8))</f>
        <v/>
      </c>
    </row>
    <row r="115" ht="22" customHeight="1">
      <c r="B115" s="315" t="n"/>
      <c r="C115" s="240">
        <f>IF($B115="","",ROUND(SUMIF(Торговля!$E$5:$E$300,$B115&amp;"/*",Торговля!$F$5:$F$300)+SUMIF(Торговля!$E$5:$E$300,"*/"&amp;$B115,Торговля!$K$5:$K$300)+SUMIF(Лэндинг!$E$5:$E$300,$B115&amp;"/*",Лэндинг!$F$5:$F$300)+SUMIF(Лэндинг!$E$5:$E$300,"*/"&amp;$B115,Лэндинг!$K$5:$K$300)+SUMIF(Закрытые!$E$5:$E$300,$B115&amp;"/*",Закрытые!$F$5:$F$300)+SUMIF(Закрытые!$E$5:$E$300,"*/"&amp;$B115,Закрытые!$K$5:$K$300)+SUMIF(История!$B$5:$B$300,$B115&amp;"/*",История!$C$5:$C$300)+SUMIF(История!$B$5:$B$300,"*/"&amp;$B115,История!$H$5:$H$300),8))</f>
        <v/>
      </c>
      <c r="D115" s="240">
        <f>IF($B115="","",ROUND(SUMIF(Торговля!$E$5:$E$300,$B115&amp;"/*",Торговля!$I$5:$I$300)+SUMIF(Торговля!$E$5:$E$300,"*/"&amp;$B115,Торговля!$H$5:$H$300)+SUMIF(Лэндинг!$E$5:$E$300,$B115&amp;"/*",Лэндинг!$I$5:$I$300)+SUMIF(Лэндинг!$E$5:$E$300,"*/"&amp;$B115,Лэндинг!$H$5:$H$300)+SUMIF(Закрытые!$E$5:$E$300,$B115&amp;"/*",Закрытые!$I$5:$I$300)+SUMIF(Закрытые!$E$5:$E$300,"*/"&amp;$B115,Закрытые!$H$5:$H$300)+SUMIF(История!$B$5:$B$300,$B115&amp;"/*",История!$F$5:$F$300)+SUMIF(История!$B$5:$B$300,"*/"&amp;$B115,История!$E$5:$E$300),8))</f>
        <v/>
      </c>
      <c r="E115" s="339">
        <f>IF($B115="","",ROUND(C115-D115,8))</f>
        <v/>
      </c>
    </row>
    <row r="116" ht="22" customHeight="1">
      <c r="B116" s="320" t="n"/>
      <c r="C116" s="240">
        <f>IF($B116="","",ROUND(SUMIF(Торговля!$E$5:$E$300,$B116&amp;"/*",Торговля!$F$5:$F$300)+SUMIF(Торговля!$E$5:$E$300,"*/"&amp;$B116,Торговля!$K$5:$K$300)+SUMIF(Лэндинг!$E$5:$E$300,$B116&amp;"/*",Лэндинг!$F$5:$F$300)+SUMIF(Лэндинг!$E$5:$E$300,"*/"&amp;$B116,Лэндинг!$K$5:$K$300)+SUMIF(Закрытые!$E$5:$E$300,$B116&amp;"/*",Закрытые!$F$5:$F$300)+SUMIF(Закрытые!$E$5:$E$300,"*/"&amp;$B116,Закрытые!$K$5:$K$300)+SUMIF(История!$B$5:$B$300,$B116&amp;"/*",История!$C$5:$C$300)+SUMIF(История!$B$5:$B$300,"*/"&amp;$B116,История!$H$5:$H$300),8))</f>
        <v/>
      </c>
      <c r="D116" s="240">
        <f>IF($B116="","",ROUND(SUMIF(Торговля!$E$5:$E$300,$B116&amp;"/*",Торговля!$I$5:$I$300)+SUMIF(Торговля!$E$5:$E$300,"*/"&amp;$B116,Торговля!$H$5:$H$300)+SUMIF(Лэндинг!$E$5:$E$300,$B116&amp;"/*",Лэндинг!$I$5:$I$300)+SUMIF(Лэндинг!$E$5:$E$300,"*/"&amp;$B116,Лэндинг!$H$5:$H$300)+SUMIF(Закрытые!$E$5:$E$300,$B116&amp;"/*",Закрытые!$I$5:$I$300)+SUMIF(Закрытые!$E$5:$E$300,"*/"&amp;$B116,Закрытые!$H$5:$H$300)+SUMIF(История!$B$5:$B$300,$B116&amp;"/*",История!$F$5:$F$300)+SUMIF(История!$B$5:$B$300,"*/"&amp;$B116,История!$E$5:$E$300),8))</f>
        <v/>
      </c>
      <c r="E116" s="339">
        <f>IF($B116="","",ROUND(C116-D116,8))</f>
        <v/>
      </c>
    </row>
    <row r="117" ht="22" customHeight="1">
      <c r="B117" s="315" t="n"/>
      <c r="C117" s="240">
        <f>IF($B117="","",ROUND(SUMIF(Торговля!$E$5:$E$300,$B117&amp;"/*",Торговля!$F$5:$F$300)+SUMIF(Торговля!$E$5:$E$300,"*/"&amp;$B117,Торговля!$K$5:$K$300)+SUMIF(Лэндинг!$E$5:$E$300,$B117&amp;"/*",Лэндинг!$F$5:$F$300)+SUMIF(Лэндинг!$E$5:$E$300,"*/"&amp;$B117,Лэндинг!$K$5:$K$300)+SUMIF(Закрытые!$E$5:$E$300,$B117&amp;"/*",Закрытые!$F$5:$F$300)+SUMIF(Закрытые!$E$5:$E$300,"*/"&amp;$B117,Закрытые!$K$5:$K$300)+SUMIF(История!$B$5:$B$300,$B117&amp;"/*",История!$C$5:$C$300)+SUMIF(История!$B$5:$B$300,"*/"&amp;$B117,История!$H$5:$H$300),8))</f>
        <v/>
      </c>
      <c r="D117" s="240">
        <f>IF($B117="","",ROUND(SUMIF(Торговля!$E$5:$E$300,$B117&amp;"/*",Торговля!$I$5:$I$300)+SUMIF(Торговля!$E$5:$E$300,"*/"&amp;$B117,Торговля!$H$5:$H$300)+SUMIF(Лэндинг!$E$5:$E$300,$B117&amp;"/*",Лэндинг!$I$5:$I$300)+SUMIF(Лэндинг!$E$5:$E$300,"*/"&amp;$B117,Лэндинг!$H$5:$H$300)+SUMIF(Закрытые!$E$5:$E$300,$B117&amp;"/*",Закрытые!$I$5:$I$300)+SUMIF(Закрытые!$E$5:$E$300,"*/"&amp;$B117,Закрытые!$H$5:$H$300)+SUMIF(История!$B$5:$B$300,$B117&amp;"/*",История!$F$5:$F$300)+SUMIF(История!$B$5:$B$300,"*/"&amp;$B117,История!$E$5:$E$300),8))</f>
        <v/>
      </c>
      <c r="E117" s="339">
        <f>IF($B117="","",ROUND(C117-D117,8))</f>
        <v/>
      </c>
    </row>
    <row r="118" ht="22" customHeight="1">
      <c r="B118" s="320" t="n"/>
      <c r="C118" s="240">
        <f>IF($B118="","",ROUND(SUMIF(Торговля!$E$5:$E$300,$B118&amp;"/*",Торговля!$F$5:$F$300)+SUMIF(Торговля!$E$5:$E$300,"*/"&amp;$B118,Торговля!$K$5:$K$300)+SUMIF(Лэндинг!$E$5:$E$300,$B118&amp;"/*",Лэндинг!$F$5:$F$300)+SUMIF(Лэндинг!$E$5:$E$300,"*/"&amp;$B118,Лэндинг!$K$5:$K$300)+SUMIF(Закрытые!$E$5:$E$300,$B118&amp;"/*",Закрытые!$F$5:$F$300)+SUMIF(Закрытые!$E$5:$E$300,"*/"&amp;$B118,Закрытые!$K$5:$K$300)+SUMIF(История!$B$5:$B$300,$B118&amp;"/*",История!$C$5:$C$300)+SUMIF(История!$B$5:$B$300,"*/"&amp;$B118,История!$H$5:$H$300),8))</f>
        <v/>
      </c>
      <c r="D118" s="240">
        <f>IF($B118="","",ROUND(SUMIF(Торговля!$E$5:$E$300,$B118&amp;"/*",Торговля!$I$5:$I$300)+SUMIF(Торговля!$E$5:$E$300,"*/"&amp;$B118,Торговля!$H$5:$H$300)+SUMIF(Лэндинг!$E$5:$E$300,$B118&amp;"/*",Лэндинг!$I$5:$I$300)+SUMIF(Лэндинг!$E$5:$E$300,"*/"&amp;$B118,Лэндинг!$H$5:$H$300)+SUMIF(Закрытые!$E$5:$E$300,$B118&amp;"/*",Закрытые!$I$5:$I$300)+SUMIF(Закрытые!$E$5:$E$300,"*/"&amp;$B118,Закрытые!$H$5:$H$300)+SUMIF(История!$B$5:$B$300,$B118&amp;"/*",История!$F$5:$F$300)+SUMIF(История!$B$5:$B$300,"*/"&amp;$B118,История!$E$5:$E$300),8))</f>
        <v/>
      </c>
      <c r="E118" s="339">
        <f>IF($B118="","",ROUND(C118-D118,8))</f>
        <v/>
      </c>
    </row>
    <row r="119" ht="22" customHeight="1">
      <c r="B119" s="315" t="n"/>
      <c r="C119" s="240">
        <f>IF($B119="","",ROUND(SUMIF(Торговля!$E$5:$E$300,$B119&amp;"/*",Торговля!$F$5:$F$300)+SUMIF(Торговля!$E$5:$E$300,"*/"&amp;$B119,Торговля!$K$5:$K$300)+SUMIF(Лэндинг!$E$5:$E$300,$B119&amp;"/*",Лэндинг!$F$5:$F$300)+SUMIF(Лэндинг!$E$5:$E$300,"*/"&amp;$B119,Лэндинг!$K$5:$K$300)+SUMIF(Закрытые!$E$5:$E$300,$B119&amp;"/*",Закрытые!$F$5:$F$300)+SUMIF(Закрытые!$E$5:$E$300,"*/"&amp;$B119,Закрытые!$K$5:$K$300)+SUMIF(История!$B$5:$B$300,$B119&amp;"/*",История!$C$5:$C$300)+SUMIF(История!$B$5:$B$300,"*/"&amp;$B119,История!$H$5:$H$300),8))</f>
        <v/>
      </c>
      <c r="D119" s="240">
        <f>IF($B119="","",ROUND(SUMIF(Торговля!$E$5:$E$300,$B119&amp;"/*",Торговля!$I$5:$I$300)+SUMIF(Торговля!$E$5:$E$300,"*/"&amp;$B119,Торговля!$H$5:$H$300)+SUMIF(Лэндинг!$E$5:$E$300,$B119&amp;"/*",Лэндинг!$I$5:$I$300)+SUMIF(Лэндинг!$E$5:$E$300,"*/"&amp;$B119,Лэндинг!$H$5:$H$300)+SUMIF(Закрытые!$E$5:$E$300,$B119&amp;"/*",Закрытые!$I$5:$I$300)+SUMIF(Закрытые!$E$5:$E$300,"*/"&amp;$B119,Закрытые!$H$5:$H$300)+SUMIF(История!$B$5:$B$300,$B119&amp;"/*",История!$F$5:$F$300)+SUMIF(История!$B$5:$B$300,"*/"&amp;$B119,История!$E$5:$E$300),8))</f>
        <v/>
      </c>
      <c r="E119" s="339">
        <f>IF($B119="","",ROUND(C119-D119,8))</f>
        <v/>
      </c>
    </row>
    <row r="120" ht="22" customHeight="1">
      <c r="B120" s="320" t="n"/>
      <c r="C120" s="240">
        <f>IF($B120="","",ROUND(SUMIF(Торговля!$E$5:$E$300,$B120&amp;"/*",Торговля!$F$5:$F$300)+SUMIF(Торговля!$E$5:$E$300,"*/"&amp;$B120,Торговля!$K$5:$K$300)+SUMIF(Лэндинг!$E$5:$E$300,$B120&amp;"/*",Лэндинг!$F$5:$F$300)+SUMIF(Лэндинг!$E$5:$E$300,"*/"&amp;$B120,Лэндинг!$K$5:$K$300)+SUMIF(Закрытые!$E$5:$E$300,$B120&amp;"/*",Закрытые!$F$5:$F$300)+SUMIF(Закрытые!$E$5:$E$300,"*/"&amp;$B120,Закрытые!$K$5:$K$300)+SUMIF(История!$B$5:$B$300,$B120&amp;"/*",История!$C$5:$C$300)+SUMIF(История!$B$5:$B$300,"*/"&amp;$B120,История!$H$5:$H$300),8))</f>
        <v/>
      </c>
      <c r="D120" s="240">
        <f>IF($B120="","",ROUND(SUMIF(Торговля!$E$5:$E$300,$B120&amp;"/*",Торговля!$I$5:$I$300)+SUMIF(Торговля!$E$5:$E$300,"*/"&amp;$B120,Торговля!$H$5:$H$300)+SUMIF(Лэндинг!$E$5:$E$300,$B120&amp;"/*",Лэндинг!$I$5:$I$300)+SUMIF(Лэндинг!$E$5:$E$300,"*/"&amp;$B120,Лэндинг!$H$5:$H$300)+SUMIF(Закрытые!$E$5:$E$300,$B120&amp;"/*",Закрытые!$I$5:$I$300)+SUMIF(Закрытые!$E$5:$E$300,"*/"&amp;$B120,Закрытые!$H$5:$H$300)+SUMIF(История!$B$5:$B$300,$B120&amp;"/*",История!$F$5:$F$300)+SUMIF(История!$B$5:$B$300,"*/"&amp;$B120,История!$E$5:$E$300),8))</f>
        <v/>
      </c>
      <c r="E120" s="339">
        <f>IF($B120="","",ROUND(C120-D120,8))</f>
        <v/>
      </c>
    </row>
    <row r="121" ht="22" customHeight="1">
      <c r="B121" s="315" t="n"/>
      <c r="C121" s="240">
        <f>IF($B121="","",ROUND(SUMIF(Торговля!$E$5:$E$300,$B121&amp;"/*",Торговля!$F$5:$F$300)+SUMIF(Торговля!$E$5:$E$300,"*/"&amp;$B121,Торговля!$K$5:$K$300)+SUMIF(Лэндинг!$E$5:$E$300,$B121&amp;"/*",Лэндинг!$F$5:$F$300)+SUMIF(Лэндинг!$E$5:$E$300,"*/"&amp;$B121,Лэндинг!$K$5:$K$300)+SUMIF(Закрытые!$E$5:$E$300,$B121&amp;"/*",Закрытые!$F$5:$F$300)+SUMIF(Закрытые!$E$5:$E$300,"*/"&amp;$B121,Закрытые!$K$5:$K$300)+SUMIF(История!$B$5:$B$300,$B121&amp;"/*",История!$C$5:$C$300)+SUMIF(История!$B$5:$B$300,"*/"&amp;$B121,История!$H$5:$H$300),8))</f>
        <v/>
      </c>
      <c r="D121" s="240">
        <f>IF($B121="","",ROUND(SUMIF(Торговля!$E$5:$E$300,$B121&amp;"/*",Торговля!$I$5:$I$300)+SUMIF(Торговля!$E$5:$E$300,"*/"&amp;$B121,Торговля!$H$5:$H$300)+SUMIF(Лэндинг!$E$5:$E$300,$B121&amp;"/*",Лэндинг!$I$5:$I$300)+SUMIF(Лэндинг!$E$5:$E$300,"*/"&amp;$B121,Лэндинг!$H$5:$H$300)+SUMIF(Закрытые!$E$5:$E$300,$B121&amp;"/*",Закрытые!$I$5:$I$300)+SUMIF(Закрытые!$E$5:$E$300,"*/"&amp;$B121,Закрытые!$H$5:$H$300)+SUMIF(История!$B$5:$B$300,$B121&amp;"/*",История!$F$5:$F$300)+SUMIF(История!$B$5:$B$300,"*/"&amp;$B121,История!$E$5:$E$300),8))</f>
        <v/>
      </c>
      <c r="E121" s="339">
        <f>IF($B121="","",ROUND(C121-D121,8))</f>
        <v/>
      </c>
    </row>
    <row r="122" ht="22" customHeight="1">
      <c r="B122" s="320" t="n"/>
      <c r="C122" s="240">
        <f>IF($B122="","",ROUND(SUMIF(Торговля!$E$5:$E$300,$B122&amp;"/*",Торговля!$F$5:$F$300)+SUMIF(Торговля!$E$5:$E$300,"*/"&amp;$B122,Торговля!$K$5:$K$300)+SUMIF(Лэндинг!$E$5:$E$300,$B122&amp;"/*",Лэндинг!$F$5:$F$300)+SUMIF(Лэндинг!$E$5:$E$300,"*/"&amp;$B122,Лэндинг!$K$5:$K$300)+SUMIF(Закрытые!$E$5:$E$300,$B122&amp;"/*",Закрытые!$F$5:$F$300)+SUMIF(Закрытые!$E$5:$E$300,"*/"&amp;$B122,Закрытые!$K$5:$K$300)+SUMIF(История!$B$5:$B$300,$B122&amp;"/*",История!$C$5:$C$300)+SUMIF(История!$B$5:$B$300,"*/"&amp;$B122,История!$H$5:$H$300),8))</f>
        <v/>
      </c>
      <c r="D122" s="240">
        <f>IF($B122="","",ROUND(SUMIF(Торговля!$E$5:$E$300,$B122&amp;"/*",Торговля!$I$5:$I$300)+SUMIF(Торговля!$E$5:$E$300,"*/"&amp;$B122,Торговля!$H$5:$H$300)+SUMIF(Лэндинг!$E$5:$E$300,$B122&amp;"/*",Лэндинг!$I$5:$I$300)+SUMIF(Лэндинг!$E$5:$E$300,"*/"&amp;$B122,Лэндинг!$H$5:$H$300)+SUMIF(Закрытые!$E$5:$E$300,$B122&amp;"/*",Закрытые!$I$5:$I$300)+SUMIF(Закрытые!$E$5:$E$300,"*/"&amp;$B122,Закрытые!$H$5:$H$300)+SUMIF(История!$B$5:$B$300,$B122&amp;"/*",История!$F$5:$F$300)+SUMIF(История!$B$5:$B$300,"*/"&amp;$B122,История!$E$5:$E$300),8))</f>
        <v/>
      </c>
      <c r="E122" s="339">
        <f>IF($B122="","",ROUND(C122-D122,8))</f>
        <v/>
      </c>
    </row>
    <row r="123" ht="22" customHeight="1">
      <c r="B123" s="315" t="n"/>
      <c r="C123" s="240">
        <f>IF($B123="","",ROUND(SUMIF(Торговля!$E$5:$E$300,$B123&amp;"/*",Торговля!$F$5:$F$300)+SUMIF(Торговля!$E$5:$E$300,"*/"&amp;$B123,Торговля!$K$5:$K$300)+SUMIF(Лэндинг!$E$5:$E$300,$B123&amp;"/*",Лэндинг!$F$5:$F$300)+SUMIF(Лэндинг!$E$5:$E$300,"*/"&amp;$B123,Лэндинг!$K$5:$K$300)+SUMIF(Закрытые!$E$5:$E$300,$B123&amp;"/*",Закрытые!$F$5:$F$300)+SUMIF(Закрытые!$E$5:$E$300,"*/"&amp;$B123,Закрытые!$K$5:$K$300)+SUMIF(История!$B$5:$B$300,$B123&amp;"/*",История!$C$5:$C$300)+SUMIF(История!$B$5:$B$300,"*/"&amp;$B123,История!$H$5:$H$300),8))</f>
        <v/>
      </c>
      <c r="D123" s="240">
        <f>IF($B123="","",ROUND(SUMIF(Торговля!$E$5:$E$300,$B123&amp;"/*",Торговля!$I$5:$I$300)+SUMIF(Торговля!$E$5:$E$300,"*/"&amp;$B123,Торговля!$H$5:$H$300)+SUMIF(Лэндинг!$E$5:$E$300,$B123&amp;"/*",Лэндинг!$I$5:$I$300)+SUMIF(Лэндинг!$E$5:$E$300,"*/"&amp;$B123,Лэндинг!$H$5:$H$300)+SUMIF(Закрытые!$E$5:$E$300,$B123&amp;"/*",Закрытые!$I$5:$I$300)+SUMIF(Закрытые!$E$5:$E$300,"*/"&amp;$B123,Закрытые!$H$5:$H$300)+SUMIF(История!$B$5:$B$300,$B123&amp;"/*",История!$F$5:$F$300)+SUMIF(История!$B$5:$B$300,"*/"&amp;$B123,История!$E$5:$E$300),8))</f>
        <v/>
      </c>
      <c r="E123" s="339">
        <f>IF($B123="","",ROUND(C123-D123,8))</f>
        <v/>
      </c>
    </row>
    <row r="124" ht="22" customHeight="1">
      <c r="B124" s="320" t="n"/>
      <c r="C124" s="240">
        <f>IF($B124="","",ROUND(SUMIF(Торговля!$E$5:$E$300,$B124&amp;"/*",Торговля!$F$5:$F$300)+SUMIF(Торговля!$E$5:$E$300,"*/"&amp;$B124,Торговля!$K$5:$K$300)+SUMIF(Лэндинг!$E$5:$E$300,$B124&amp;"/*",Лэндинг!$F$5:$F$300)+SUMIF(Лэндинг!$E$5:$E$300,"*/"&amp;$B124,Лэндинг!$K$5:$K$300)+SUMIF(Закрытые!$E$5:$E$300,$B124&amp;"/*",Закрытые!$F$5:$F$300)+SUMIF(Закрытые!$E$5:$E$300,"*/"&amp;$B124,Закрытые!$K$5:$K$300)+SUMIF(История!$B$5:$B$300,$B124&amp;"/*",История!$C$5:$C$300)+SUMIF(История!$B$5:$B$300,"*/"&amp;$B124,История!$H$5:$H$300),8))</f>
        <v/>
      </c>
      <c r="D124" s="240">
        <f>IF($B124="","",ROUND(SUMIF(Торговля!$E$5:$E$300,$B124&amp;"/*",Торговля!$I$5:$I$300)+SUMIF(Торговля!$E$5:$E$300,"*/"&amp;$B124,Торговля!$H$5:$H$300)+SUMIF(Лэндинг!$E$5:$E$300,$B124&amp;"/*",Лэндинг!$I$5:$I$300)+SUMIF(Лэндинг!$E$5:$E$300,"*/"&amp;$B124,Лэндинг!$H$5:$H$300)+SUMIF(Закрытые!$E$5:$E$300,$B124&amp;"/*",Закрытые!$I$5:$I$300)+SUMIF(Закрытые!$E$5:$E$300,"*/"&amp;$B124,Закрытые!$H$5:$H$300)+SUMIF(История!$B$5:$B$300,$B124&amp;"/*",История!$F$5:$F$300)+SUMIF(История!$B$5:$B$300,"*/"&amp;$B124,История!$E$5:$E$300),8))</f>
        <v/>
      </c>
      <c r="E124" s="339">
        <f>IF($B124="","",ROUND(C124-D124,8))</f>
        <v/>
      </c>
    </row>
    <row r="125" ht="22" customHeight="1">
      <c r="B125" s="315" t="n"/>
      <c r="C125" s="240">
        <f>IF($B125="","",ROUND(SUMIF(Торговля!$E$5:$E$300,$B125&amp;"/*",Торговля!$F$5:$F$300)+SUMIF(Торговля!$E$5:$E$300,"*/"&amp;$B125,Торговля!$K$5:$K$300)+SUMIF(Лэндинг!$E$5:$E$300,$B125&amp;"/*",Лэндинг!$F$5:$F$300)+SUMIF(Лэндинг!$E$5:$E$300,"*/"&amp;$B125,Лэндинг!$K$5:$K$300)+SUMIF(Закрытые!$E$5:$E$300,$B125&amp;"/*",Закрытые!$F$5:$F$300)+SUMIF(Закрытые!$E$5:$E$300,"*/"&amp;$B125,Закрытые!$K$5:$K$300)+SUMIF(История!$B$5:$B$300,$B125&amp;"/*",История!$C$5:$C$300)+SUMIF(История!$B$5:$B$300,"*/"&amp;$B125,История!$H$5:$H$300),8))</f>
        <v/>
      </c>
      <c r="D125" s="240">
        <f>IF($B125="","",ROUND(SUMIF(Торговля!$E$5:$E$300,$B125&amp;"/*",Торговля!$I$5:$I$300)+SUMIF(Торговля!$E$5:$E$300,"*/"&amp;$B125,Торговля!$H$5:$H$300)+SUMIF(Лэндинг!$E$5:$E$300,$B125&amp;"/*",Лэндинг!$I$5:$I$300)+SUMIF(Лэндинг!$E$5:$E$300,"*/"&amp;$B125,Лэндинг!$H$5:$H$300)+SUMIF(Закрытые!$E$5:$E$300,$B125&amp;"/*",Закрытые!$I$5:$I$300)+SUMIF(Закрытые!$E$5:$E$300,"*/"&amp;$B125,Закрытые!$H$5:$H$300)+SUMIF(История!$B$5:$B$300,$B125&amp;"/*",История!$F$5:$F$300)+SUMIF(История!$B$5:$B$300,"*/"&amp;$B125,История!$E$5:$E$300),8))</f>
        <v/>
      </c>
      <c r="E125" s="339">
        <f>IF($B125="","",ROUND(C125-D125,8))</f>
        <v/>
      </c>
    </row>
    <row r="126" ht="22" customHeight="1">
      <c r="B126" s="320" t="n"/>
      <c r="C126" s="240">
        <f>IF($B126="","",ROUND(SUMIF(Торговля!$E$5:$E$300,$B126&amp;"/*",Торговля!$F$5:$F$300)+SUMIF(Торговля!$E$5:$E$300,"*/"&amp;$B126,Торговля!$K$5:$K$300)+SUMIF(Лэндинг!$E$5:$E$300,$B126&amp;"/*",Лэндинг!$F$5:$F$300)+SUMIF(Лэндинг!$E$5:$E$300,"*/"&amp;$B126,Лэндинг!$K$5:$K$300)+SUMIF(Закрытые!$E$5:$E$300,$B126&amp;"/*",Закрытые!$F$5:$F$300)+SUMIF(Закрытые!$E$5:$E$300,"*/"&amp;$B126,Закрытые!$K$5:$K$300)+SUMIF(История!$B$5:$B$300,$B126&amp;"/*",История!$C$5:$C$300)+SUMIF(История!$B$5:$B$300,"*/"&amp;$B126,История!$H$5:$H$300),8))</f>
        <v/>
      </c>
      <c r="D126" s="240">
        <f>IF($B126="","",ROUND(SUMIF(Торговля!$E$5:$E$300,$B126&amp;"/*",Торговля!$I$5:$I$300)+SUMIF(Торговля!$E$5:$E$300,"*/"&amp;$B126,Торговля!$H$5:$H$300)+SUMIF(Лэндинг!$E$5:$E$300,$B126&amp;"/*",Лэндинг!$I$5:$I$300)+SUMIF(Лэндинг!$E$5:$E$300,"*/"&amp;$B126,Лэндинг!$H$5:$H$300)+SUMIF(Закрытые!$E$5:$E$300,$B126&amp;"/*",Закрытые!$I$5:$I$300)+SUMIF(Закрытые!$E$5:$E$300,"*/"&amp;$B126,Закрытые!$H$5:$H$300)+SUMIF(История!$B$5:$B$300,$B126&amp;"/*",История!$F$5:$F$300)+SUMIF(История!$B$5:$B$300,"*/"&amp;$B126,История!$E$5:$E$300),8))</f>
        <v/>
      </c>
      <c r="E126" s="339">
        <f>IF($B126="","",ROUND(C126-D126,8))</f>
        <v/>
      </c>
    </row>
    <row r="127" ht="22" customHeight="1">
      <c r="B127" s="315" t="n"/>
      <c r="C127" s="240">
        <f>IF($B127="","",ROUND(SUMIF(Торговля!$E$5:$E$300,$B127&amp;"/*",Торговля!$F$5:$F$300)+SUMIF(Торговля!$E$5:$E$300,"*/"&amp;$B127,Торговля!$K$5:$K$300)+SUMIF(Лэндинг!$E$5:$E$300,$B127&amp;"/*",Лэндинг!$F$5:$F$300)+SUMIF(Лэндинг!$E$5:$E$300,"*/"&amp;$B127,Лэндинг!$K$5:$K$300)+SUMIF(Закрытые!$E$5:$E$300,$B127&amp;"/*",Закрытые!$F$5:$F$300)+SUMIF(Закрытые!$E$5:$E$300,"*/"&amp;$B127,Закрытые!$K$5:$K$300)+SUMIF(История!$B$5:$B$300,$B127&amp;"/*",История!$C$5:$C$300)+SUMIF(История!$B$5:$B$300,"*/"&amp;$B127,История!$H$5:$H$300),8))</f>
        <v/>
      </c>
      <c r="D127" s="240">
        <f>IF($B127="","",ROUND(SUMIF(Торговля!$E$5:$E$300,$B127&amp;"/*",Торговля!$I$5:$I$300)+SUMIF(Торговля!$E$5:$E$300,"*/"&amp;$B127,Торговля!$H$5:$H$300)+SUMIF(Лэндинг!$E$5:$E$300,$B127&amp;"/*",Лэндинг!$I$5:$I$300)+SUMIF(Лэндинг!$E$5:$E$300,"*/"&amp;$B127,Лэндинг!$H$5:$H$300)+SUMIF(Закрытые!$E$5:$E$300,$B127&amp;"/*",Закрытые!$I$5:$I$300)+SUMIF(Закрытые!$E$5:$E$300,"*/"&amp;$B127,Закрытые!$H$5:$H$300)+SUMIF(История!$B$5:$B$300,$B127&amp;"/*",История!$F$5:$F$300)+SUMIF(История!$B$5:$B$300,"*/"&amp;$B127,История!$E$5:$E$300),8))</f>
        <v/>
      </c>
      <c r="E127" s="339">
        <f>IF($B127="","",ROUND(C127-D127,8))</f>
        <v/>
      </c>
    </row>
    <row r="128" ht="22" customHeight="1">
      <c r="B128" s="320" t="n"/>
      <c r="C128" s="240">
        <f>IF($B128="","",ROUND(SUMIF(Торговля!$E$5:$E$300,$B128&amp;"/*",Торговля!$F$5:$F$300)+SUMIF(Торговля!$E$5:$E$300,"*/"&amp;$B128,Торговля!$K$5:$K$300)+SUMIF(Лэндинг!$E$5:$E$300,$B128&amp;"/*",Лэндинг!$F$5:$F$300)+SUMIF(Лэндинг!$E$5:$E$300,"*/"&amp;$B128,Лэндинг!$K$5:$K$300)+SUMIF(Закрытые!$E$5:$E$300,$B128&amp;"/*",Закрытые!$F$5:$F$300)+SUMIF(Закрытые!$E$5:$E$300,"*/"&amp;$B128,Закрытые!$K$5:$K$300)+SUMIF(История!$B$5:$B$300,$B128&amp;"/*",История!$C$5:$C$300)+SUMIF(История!$B$5:$B$300,"*/"&amp;$B128,История!$H$5:$H$300),8))</f>
        <v/>
      </c>
      <c r="D128" s="240">
        <f>IF($B128="","",ROUND(SUMIF(Торговля!$E$5:$E$300,$B128&amp;"/*",Торговля!$I$5:$I$300)+SUMIF(Торговля!$E$5:$E$300,"*/"&amp;$B128,Торговля!$H$5:$H$300)+SUMIF(Лэндинг!$E$5:$E$300,$B128&amp;"/*",Лэндинг!$I$5:$I$300)+SUMIF(Лэндинг!$E$5:$E$300,"*/"&amp;$B128,Лэндинг!$H$5:$H$300)+SUMIF(Закрытые!$E$5:$E$300,$B128&amp;"/*",Закрытые!$I$5:$I$300)+SUMIF(Закрытые!$E$5:$E$300,"*/"&amp;$B128,Закрытые!$H$5:$H$300)+SUMIF(История!$B$5:$B$300,$B128&amp;"/*",История!$F$5:$F$300)+SUMIF(История!$B$5:$B$300,"*/"&amp;$B128,История!$E$5:$E$300),8))</f>
        <v/>
      </c>
      <c r="E128" s="339">
        <f>IF($B128="","",ROUND(C128-D128,8))</f>
        <v/>
      </c>
    </row>
    <row r="129" ht="22" customHeight="1">
      <c r="B129" s="315" t="n"/>
      <c r="C129" s="240">
        <f>IF($B129="","",ROUND(SUMIF(Торговля!$E$5:$E$300,$B129&amp;"/*",Торговля!$F$5:$F$300)+SUMIF(Торговля!$E$5:$E$300,"*/"&amp;$B129,Торговля!$K$5:$K$300)+SUMIF(Лэндинг!$E$5:$E$300,$B129&amp;"/*",Лэндинг!$F$5:$F$300)+SUMIF(Лэндинг!$E$5:$E$300,"*/"&amp;$B129,Лэндинг!$K$5:$K$300)+SUMIF(Закрытые!$E$5:$E$300,$B129&amp;"/*",Закрытые!$F$5:$F$300)+SUMIF(Закрытые!$E$5:$E$300,"*/"&amp;$B129,Закрытые!$K$5:$K$300)+SUMIF(История!$B$5:$B$300,$B129&amp;"/*",История!$C$5:$C$300)+SUMIF(История!$B$5:$B$300,"*/"&amp;$B129,История!$H$5:$H$300),8))</f>
        <v/>
      </c>
      <c r="D129" s="240">
        <f>IF($B129="","",ROUND(SUMIF(Торговля!$E$5:$E$300,$B129&amp;"/*",Торговля!$I$5:$I$300)+SUMIF(Торговля!$E$5:$E$300,"*/"&amp;$B129,Торговля!$H$5:$H$300)+SUMIF(Лэндинг!$E$5:$E$300,$B129&amp;"/*",Лэндинг!$I$5:$I$300)+SUMIF(Лэндинг!$E$5:$E$300,"*/"&amp;$B129,Лэндинг!$H$5:$H$300)+SUMIF(Закрытые!$E$5:$E$300,$B129&amp;"/*",Закрытые!$I$5:$I$300)+SUMIF(Закрытые!$E$5:$E$300,"*/"&amp;$B129,Закрытые!$H$5:$H$300)+SUMIF(История!$B$5:$B$300,$B129&amp;"/*",История!$F$5:$F$300)+SUMIF(История!$B$5:$B$300,"*/"&amp;$B129,История!$E$5:$E$300),8))</f>
        <v/>
      </c>
      <c r="E129" s="339">
        <f>IF($B129="","",ROUND(C129-D129,8))</f>
        <v/>
      </c>
    </row>
    <row r="130" ht="22" customHeight="1">
      <c r="B130" s="320" t="n"/>
      <c r="C130" s="240">
        <f>IF($B130="","",ROUND(SUMIF(Торговля!$E$5:$E$300,$B130&amp;"/*",Торговля!$F$5:$F$300)+SUMIF(Торговля!$E$5:$E$300,"*/"&amp;$B130,Торговля!$K$5:$K$300)+SUMIF(Лэндинг!$E$5:$E$300,$B130&amp;"/*",Лэндинг!$F$5:$F$300)+SUMIF(Лэндинг!$E$5:$E$300,"*/"&amp;$B130,Лэндинг!$K$5:$K$300)+SUMIF(Закрытые!$E$5:$E$300,$B130&amp;"/*",Закрытые!$F$5:$F$300)+SUMIF(Закрытые!$E$5:$E$300,"*/"&amp;$B130,Закрытые!$K$5:$K$300)+SUMIF(История!$B$5:$B$300,$B130&amp;"/*",История!$C$5:$C$300)+SUMIF(История!$B$5:$B$300,"*/"&amp;$B130,История!$H$5:$H$300),8))</f>
        <v/>
      </c>
      <c r="D130" s="240">
        <f>IF($B130="","",ROUND(SUMIF(Торговля!$E$5:$E$300,$B130&amp;"/*",Торговля!$I$5:$I$300)+SUMIF(Торговля!$E$5:$E$300,"*/"&amp;$B130,Торговля!$H$5:$H$300)+SUMIF(Лэндинг!$E$5:$E$300,$B130&amp;"/*",Лэндинг!$I$5:$I$300)+SUMIF(Лэндинг!$E$5:$E$300,"*/"&amp;$B130,Лэндинг!$H$5:$H$300)+SUMIF(Закрытые!$E$5:$E$300,$B130&amp;"/*",Закрытые!$I$5:$I$300)+SUMIF(Закрытые!$E$5:$E$300,"*/"&amp;$B130,Закрытые!$H$5:$H$300)+SUMIF(История!$B$5:$B$300,$B130&amp;"/*",История!$F$5:$F$300)+SUMIF(История!$B$5:$B$300,"*/"&amp;$B130,История!$E$5:$E$300),8))</f>
        <v/>
      </c>
      <c r="E130" s="339">
        <f>IF($B130="","",ROUND(C130-D130,8))</f>
        <v/>
      </c>
    </row>
    <row r="131" ht="22" customHeight="1">
      <c r="B131" s="315" t="n"/>
      <c r="C131" s="240">
        <f>IF($B131="","",ROUND(SUMIF(Торговля!$E$5:$E$300,$B131&amp;"/*",Торговля!$F$5:$F$300)+SUMIF(Торговля!$E$5:$E$300,"*/"&amp;$B131,Торговля!$K$5:$K$300)+SUMIF(Лэндинг!$E$5:$E$300,$B131&amp;"/*",Лэндинг!$F$5:$F$300)+SUMIF(Лэндинг!$E$5:$E$300,"*/"&amp;$B131,Лэндинг!$K$5:$K$300)+SUMIF(Закрытые!$E$5:$E$300,$B131&amp;"/*",Закрытые!$F$5:$F$300)+SUMIF(Закрытые!$E$5:$E$300,"*/"&amp;$B131,Закрытые!$K$5:$K$300)+SUMIF(История!$B$5:$B$300,$B131&amp;"/*",История!$C$5:$C$300)+SUMIF(История!$B$5:$B$300,"*/"&amp;$B131,История!$H$5:$H$300),8))</f>
        <v/>
      </c>
      <c r="D131" s="240">
        <f>IF($B131="","",ROUND(SUMIF(Торговля!$E$5:$E$300,$B131&amp;"/*",Торговля!$I$5:$I$300)+SUMIF(Торговля!$E$5:$E$300,"*/"&amp;$B131,Торговля!$H$5:$H$300)+SUMIF(Лэндинг!$E$5:$E$300,$B131&amp;"/*",Лэндинг!$I$5:$I$300)+SUMIF(Лэндинг!$E$5:$E$300,"*/"&amp;$B131,Лэндинг!$H$5:$H$300)+SUMIF(Закрытые!$E$5:$E$300,$B131&amp;"/*",Закрытые!$I$5:$I$300)+SUMIF(Закрытые!$E$5:$E$300,"*/"&amp;$B131,Закрытые!$H$5:$H$300)+SUMIF(История!$B$5:$B$300,$B131&amp;"/*",История!$F$5:$F$300)+SUMIF(История!$B$5:$B$300,"*/"&amp;$B131,История!$E$5:$E$300),8))</f>
        <v/>
      </c>
      <c r="E131" s="339">
        <f>IF($B131="","",ROUND(C131-D131,8))</f>
        <v/>
      </c>
    </row>
    <row r="132" ht="22" customHeight="1">
      <c r="B132" s="320" t="n"/>
      <c r="C132" s="240">
        <f>IF($B132="","",ROUND(SUMIF(Торговля!$E$5:$E$300,$B132&amp;"/*",Торговля!$F$5:$F$300)+SUMIF(Торговля!$E$5:$E$300,"*/"&amp;$B132,Торговля!$K$5:$K$300)+SUMIF(Лэндинг!$E$5:$E$300,$B132&amp;"/*",Лэндинг!$F$5:$F$300)+SUMIF(Лэндинг!$E$5:$E$300,"*/"&amp;$B132,Лэндинг!$K$5:$K$300)+SUMIF(Закрытые!$E$5:$E$300,$B132&amp;"/*",Закрытые!$F$5:$F$300)+SUMIF(Закрытые!$E$5:$E$300,"*/"&amp;$B132,Закрытые!$K$5:$K$300)+SUMIF(История!$B$5:$B$300,$B132&amp;"/*",История!$C$5:$C$300)+SUMIF(История!$B$5:$B$300,"*/"&amp;$B132,История!$H$5:$H$300),8))</f>
        <v/>
      </c>
      <c r="D132" s="240">
        <f>IF($B132="","",ROUND(SUMIF(Торговля!$E$5:$E$300,$B132&amp;"/*",Торговля!$I$5:$I$300)+SUMIF(Торговля!$E$5:$E$300,"*/"&amp;$B132,Торговля!$H$5:$H$300)+SUMIF(Лэндинг!$E$5:$E$300,$B132&amp;"/*",Лэндинг!$I$5:$I$300)+SUMIF(Лэндинг!$E$5:$E$300,"*/"&amp;$B132,Лэндинг!$H$5:$H$300)+SUMIF(Закрытые!$E$5:$E$300,$B132&amp;"/*",Закрытые!$I$5:$I$300)+SUMIF(Закрытые!$E$5:$E$300,"*/"&amp;$B132,Закрытые!$H$5:$H$300)+SUMIF(История!$B$5:$B$300,$B132&amp;"/*",История!$F$5:$F$300)+SUMIF(История!$B$5:$B$300,"*/"&amp;$B132,История!$E$5:$E$300),8))</f>
        <v/>
      </c>
      <c r="E132" s="339">
        <f>IF($B132="","",ROUND(C132-D132,8))</f>
        <v/>
      </c>
    </row>
    <row r="133" ht="22" customHeight="1">
      <c r="B133" s="315" t="n"/>
      <c r="C133" s="240">
        <f>IF($B133="","",ROUND(SUMIF(Торговля!$E$5:$E$300,$B133&amp;"/*",Торговля!$F$5:$F$300)+SUMIF(Торговля!$E$5:$E$300,"*/"&amp;$B133,Торговля!$K$5:$K$300)+SUMIF(Лэндинг!$E$5:$E$300,$B133&amp;"/*",Лэндинг!$F$5:$F$300)+SUMIF(Лэндинг!$E$5:$E$300,"*/"&amp;$B133,Лэндинг!$K$5:$K$300)+SUMIF(Закрытые!$E$5:$E$300,$B133&amp;"/*",Закрытые!$F$5:$F$300)+SUMIF(Закрытые!$E$5:$E$300,"*/"&amp;$B133,Закрытые!$K$5:$K$300)+SUMIF(История!$B$5:$B$300,$B133&amp;"/*",История!$C$5:$C$300)+SUMIF(История!$B$5:$B$300,"*/"&amp;$B133,История!$H$5:$H$300),8))</f>
        <v/>
      </c>
      <c r="D133" s="240">
        <f>IF($B133="","",ROUND(SUMIF(Торговля!$E$5:$E$300,$B133&amp;"/*",Торговля!$I$5:$I$300)+SUMIF(Торговля!$E$5:$E$300,"*/"&amp;$B133,Торговля!$H$5:$H$300)+SUMIF(Лэндинг!$E$5:$E$300,$B133&amp;"/*",Лэндинг!$I$5:$I$300)+SUMIF(Лэндинг!$E$5:$E$300,"*/"&amp;$B133,Лэндинг!$H$5:$H$300)+SUMIF(Закрытые!$E$5:$E$300,$B133&amp;"/*",Закрытые!$I$5:$I$300)+SUMIF(Закрытые!$E$5:$E$300,"*/"&amp;$B133,Закрытые!$H$5:$H$300)+SUMIF(История!$B$5:$B$300,$B133&amp;"/*",История!$F$5:$F$300)+SUMIF(История!$B$5:$B$300,"*/"&amp;$B133,История!$E$5:$E$300),8))</f>
        <v/>
      </c>
      <c r="E133" s="339">
        <f>IF($B133="","",ROUND(C133-D133,8))</f>
        <v/>
      </c>
    </row>
    <row r="134" ht="22" customHeight="1">
      <c r="B134" s="320" t="n"/>
      <c r="C134" s="240">
        <f>IF($B134="","",ROUND(SUMIF(Торговля!$E$5:$E$300,$B134&amp;"/*",Торговля!$F$5:$F$300)+SUMIF(Торговля!$E$5:$E$300,"*/"&amp;$B134,Торговля!$K$5:$K$300)+SUMIF(Лэндинг!$E$5:$E$300,$B134&amp;"/*",Лэндинг!$F$5:$F$300)+SUMIF(Лэндинг!$E$5:$E$300,"*/"&amp;$B134,Лэндинг!$K$5:$K$300)+SUMIF(Закрытые!$E$5:$E$300,$B134&amp;"/*",Закрытые!$F$5:$F$300)+SUMIF(Закрытые!$E$5:$E$300,"*/"&amp;$B134,Закрытые!$K$5:$K$300)+SUMIF(История!$B$5:$B$300,$B134&amp;"/*",История!$C$5:$C$300)+SUMIF(История!$B$5:$B$300,"*/"&amp;$B134,История!$H$5:$H$300),8))</f>
        <v/>
      </c>
      <c r="D134" s="240">
        <f>IF($B134="","",ROUND(SUMIF(Торговля!$E$5:$E$300,$B134&amp;"/*",Торговля!$I$5:$I$300)+SUMIF(Торговля!$E$5:$E$300,"*/"&amp;$B134,Торговля!$H$5:$H$300)+SUMIF(Лэндинг!$E$5:$E$300,$B134&amp;"/*",Лэндинг!$I$5:$I$300)+SUMIF(Лэндинг!$E$5:$E$300,"*/"&amp;$B134,Лэндинг!$H$5:$H$300)+SUMIF(Закрытые!$E$5:$E$300,$B134&amp;"/*",Закрытые!$I$5:$I$300)+SUMIF(Закрытые!$E$5:$E$300,"*/"&amp;$B134,Закрытые!$H$5:$H$300)+SUMIF(История!$B$5:$B$300,$B134&amp;"/*",История!$F$5:$F$300)+SUMIF(История!$B$5:$B$300,"*/"&amp;$B134,История!$E$5:$E$300),8))</f>
        <v/>
      </c>
      <c r="E134" s="339">
        <f>IF($B134="","",ROUND(C134-D134,8))</f>
        <v/>
      </c>
    </row>
    <row r="135" ht="22" customHeight="1">
      <c r="B135" s="315" t="n"/>
      <c r="C135" s="240">
        <f>IF($B135="","",ROUND(SUMIF(Торговля!$E$5:$E$300,$B135&amp;"/*",Торговля!$F$5:$F$300)+SUMIF(Торговля!$E$5:$E$300,"*/"&amp;$B135,Торговля!$K$5:$K$300)+SUMIF(Лэндинг!$E$5:$E$300,$B135&amp;"/*",Лэндинг!$F$5:$F$300)+SUMIF(Лэндинг!$E$5:$E$300,"*/"&amp;$B135,Лэндинг!$K$5:$K$300)+SUMIF(Закрытые!$E$5:$E$300,$B135&amp;"/*",Закрытые!$F$5:$F$300)+SUMIF(Закрытые!$E$5:$E$300,"*/"&amp;$B135,Закрытые!$K$5:$K$300)+SUMIF(История!$B$5:$B$300,$B135&amp;"/*",История!$C$5:$C$300)+SUMIF(История!$B$5:$B$300,"*/"&amp;$B135,История!$H$5:$H$300),8))</f>
        <v/>
      </c>
      <c r="D135" s="240">
        <f>IF($B135="","",ROUND(SUMIF(Торговля!$E$5:$E$300,$B135&amp;"/*",Торговля!$I$5:$I$300)+SUMIF(Торговля!$E$5:$E$300,"*/"&amp;$B135,Торговля!$H$5:$H$300)+SUMIF(Лэндинг!$E$5:$E$300,$B135&amp;"/*",Лэндинг!$I$5:$I$300)+SUMIF(Лэндинг!$E$5:$E$300,"*/"&amp;$B135,Лэндинг!$H$5:$H$300)+SUMIF(Закрытые!$E$5:$E$300,$B135&amp;"/*",Закрытые!$I$5:$I$300)+SUMIF(Закрытые!$E$5:$E$300,"*/"&amp;$B135,Закрытые!$H$5:$H$300)+SUMIF(История!$B$5:$B$300,$B135&amp;"/*",История!$F$5:$F$300)+SUMIF(История!$B$5:$B$300,"*/"&amp;$B135,История!$E$5:$E$300),8))</f>
        <v/>
      </c>
      <c r="E135" s="339">
        <f>IF($B135="","",ROUND(C135-D135,8))</f>
        <v/>
      </c>
    </row>
    <row r="136" ht="22" customHeight="1">
      <c r="B136" s="320" t="n"/>
      <c r="C136" s="240">
        <f>IF($B136="","",ROUND(SUMIF(Торговля!$E$5:$E$300,$B136&amp;"/*",Торговля!$F$5:$F$300)+SUMIF(Торговля!$E$5:$E$300,"*/"&amp;$B136,Торговля!$K$5:$K$300)+SUMIF(Лэндинг!$E$5:$E$300,$B136&amp;"/*",Лэндинг!$F$5:$F$300)+SUMIF(Лэндинг!$E$5:$E$300,"*/"&amp;$B136,Лэндинг!$K$5:$K$300)+SUMIF(Закрытые!$E$5:$E$300,$B136&amp;"/*",Закрытые!$F$5:$F$300)+SUMIF(Закрытые!$E$5:$E$300,"*/"&amp;$B136,Закрытые!$K$5:$K$300)+SUMIF(История!$B$5:$B$300,$B136&amp;"/*",История!$C$5:$C$300)+SUMIF(История!$B$5:$B$300,"*/"&amp;$B136,История!$H$5:$H$300),8))</f>
        <v/>
      </c>
      <c r="D136" s="240">
        <f>IF($B136="","",ROUND(SUMIF(Торговля!$E$5:$E$300,$B136&amp;"/*",Торговля!$I$5:$I$300)+SUMIF(Торговля!$E$5:$E$300,"*/"&amp;$B136,Торговля!$H$5:$H$300)+SUMIF(Лэндинг!$E$5:$E$300,$B136&amp;"/*",Лэндинг!$I$5:$I$300)+SUMIF(Лэндинг!$E$5:$E$300,"*/"&amp;$B136,Лэндинг!$H$5:$H$300)+SUMIF(Закрытые!$E$5:$E$300,$B136&amp;"/*",Закрытые!$I$5:$I$300)+SUMIF(Закрытые!$E$5:$E$300,"*/"&amp;$B136,Закрытые!$H$5:$H$300)+SUMIF(История!$B$5:$B$300,$B136&amp;"/*",История!$F$5:$F$300)+SUMIF(История!$B$5:$B$300,"*/"&amp;$B136,История!$E$5:$E$300),8))</f>
        <v/>
      </c>
      <c r="E136" s="339">
        <f>IF($B136="","",ROUND(C136-D136,8))</f>
        <v/>
      </c>
    </row>
    <row r="137" ht="22" customHeight="1">
      <c r="B137" s="315" t="n"/>
      <c r="C137" s="240">
        <f>IF($B137="","",ROUND(SUMIF(Торговля!$E$5:$E$300,$B137&amp;"/*",Торговля!$F$5:$F$300)+SUMIF(Торговля!$E$5:$E$300,"*/"&amp;$B137,Торговля!$K$5:$K$300)+SUMIF(Лэндинг!$E$5:$E$300,$B137&amp;"/*",Лэндинг!$F$5:$F$300)+SUMIF(Лэндинг!$E$5:$E$300,"*/"&amp;$B137,Лэндинг!$K$5:$K$300)+SUMIF(Закрытые!$E$5:$E$300,$B137&amp;"/*",Закрытые!$F$5:$F$300)+SUMIF(Закрытые!$E$5:$E$300,"*/"&amp;$B137,Закрытые!$K$5:$K$300)+SUMIF(История!$B$5:$B$300,$B137&amp;"/*",История!$C$5:$C$300)+SUMIF(История!$B$5:$B$300,"*/"&amp;$B137,История!$H$5:$H$300),8))</f>
        <v/>
      </c>
      <c r="D137" s="240">
        <f>IF($B137="","",ROUND(SUMIF(Торговля!$E$5:$E$300,$B137&amp;"/*",Торговля!$I$5:$I$300)+SUMIF(Торговля!$E$5:$E$300,"*/"&amp;$B137,Торговля!$H$5:$H$300)+SUMIF(Лэндинг!$E$5:$E$300,$B137&amp;"/*",Лэндинг!$I$5:$I$300)+SUMIF(Лэндинг!$E$5:$E$300,"*/"&amp;$B137,Лэндинг!$H$5:$H$300)+SUMIF(Закрытые!$E$5:$E$300,$B137&amp;"/*",Закрытые!$I$5:$I$300)+SUMIF(Закрытые!$E$5:$E$300,"*/"&amp;$B137,Закрытые!$H$5:$H$300)+SUMIF(История!$B$5:$B$300,$B137&amp;"/*",История!$F$5:$F$300)+SUMIF(История!$B$5:$B$300,"*/"&amp;$B137,История!$E$5:$E$300),8))</f>
        <v/>
      </c>
      <c r="E137" s="339">
        <f>IF($B137="","",ROUND(C137-D137,8))</f>
        <v/>
      </c>
    </row>
    <row r="138" ht="22" customHeight="1">
      <c r="B138" s="320" t="n"/>
      <c r="C138" s="240">
        <f>IF($B138="","",ROUND(SUMIF(Торговля!$E$5:$E$300,$B138&amp;"/*",Торговля!$F$5:$F$300)+SUMIF(Торговля!$E$5:$E$300,"*/"&amp;$B138,Торговля!$K$5:$K$300)+SUMIF(Лэндинг!$E$5:$E$300,$B138&amp;"/*",Лэндинг!$F$5:$F$300)+SUMIF(Лэндинг!$E$5:$E$300,"*/"&amp;$B138,Лэндинг!$K$5:$K$300)+SUMIF(Закрытые!$E$5:$E$300,$B138&amp;"/*",Закрытые!$F$5:$F$300)+SUMIF(Закрытые!$E$5:$E$300,"*/"&amp;$B138,Закрытые!$K$5:$K$300)+SUMIF(История!$B$5:$B$300,$B138&amp;"/*",История!$C$5:$C$300)+SUMIF(История!$B$5:$B$300,"*/"&amp;$B138,История!$H$5:$H$300),8))</f>
        <v/>
      </c>
      <c r="D138" s="240">
        <f>IF($B138="","",ROUND(SUMIF(Торговля!$E$5:$E$300,$B138&amp;"/*",Торговля!$I$5:$I$300)+SUMIF(Торговля!$E$5:$E$300,"*/"&amp;$B138,Торговля!$H$5:$H$300)+SUMIF(Лэндинг!$E$5:$E$300,$B138&amp;"/*",Лэндинг!$I$5:$I$300)+SUMIF(Лэндинг!$E$5:$E$300,"*/"&amp;$B138,Лэндинг!$H$5:$H$300)+SUMIF(Закрытые!$E$5:$E$300,$B138&amp;"/*",Закрытые!$I$5:$I$300)+SUMIF(Закрытые!$E$5:$E$300,"*/"&amp;$B138,Закрытые!$H$5:$H$300)+SUMIF(История!$B$5:$B$300,$B138&amp;"/*",История!$F$5:$F$300)+SUMIF(История!$B$5:$B$300,"*/"&amp;$B138,История!$E$5:$E$300),8))</f>
        <v/>
      </c>
      <c r="E138" s="339">
        <f>IF($B138="","",ROUND(C138-D138,8))</f>
        <v/>
      </c>
    </row>
    <row r="139" ht="22" customHeight="1">
      <c r="B139" s="315" t="n"/>
      <c r="C139" s="240">
        <f>IF($B139="","",ROUND(SUMIF(Торговля!$E$5:$E$300,$B139&amp;"/*",Торговля!$F$5:$F$300)+SUMIF(Торговля!$E$5:$E$300,"*/"&amp;$B139,Торговля!$K$5:$K$300)+SUMIF(Лэндинг!$E$5:$E$300,$B139&amp;"/*",Лэндинг!$F$5:$F$300)+SUMIF(Лэндинг!$E$5:$E$300,"*/"&amp;$B139,Лэндинг!$K$5:$K$300)+SUMIF(Закрытые!$E$5:$E$300,$B139&amp;"/*",Закрытые!$F$5:$F$300)+SUMIF(Закрытые!$E$5:$E$300,"*/"&amp;$B139,Закрытые!$K$5:$K$300)+SUMIF(История!$B$5:$B$300,$B139&amp;"/*",История!$C$5:$C$300)+SUMIF(История!$B$5:$B$300,"*/"&amp;$B139,История!$H$5:$H$300),8))</f>
        <v/>
      </c>
      <c r="D139" s="240">
        <f>IF($B139="","",ROUND(SUMIF(Торговля!$E$5:$E$300,$B139&amp;"/*",Торговля!$I$5:$I$300)+SUMIF(Торговля!$E$5:$E$300,"*/"&amp;$B139,Торговля!$H$5:$H$300)+SUMIF(Лэндинг!$E$5:$E$300,$B139&amp;"/*",Лэндинг!$I$5:$I$300)+SUMIF(Лэндинг!$E$5:$E$300,"*/"&amp;$B139,Лэндинг!$H$5:$H$300)+SUMIF(Закрытые!$E$5:$E$300,$B139&amp;"/*",Закрытые!$I$5:$I$300)+SUMIF(Закрытые!$E$5:$E$300,"*/"&amp;$B139,Закрытые!$H$5:$H$300)+SUMIF(История!$B$5:$B$300,$B139&amp;"/*",История!$F$5:$F$300)+SUMIF(История!$B$5:$B$300,"*/"&amp;$B139,История!$E$5:$E$300),8))</f>
        <v/>
      </c>
      <c r="E139" s="339">
        <f>IF($B139="","",ROUND(C139-D139,8))</f>
        <v/>
      </c>
    </row>
    <row r="140" ht="22" customHeight="1">
      <c r="B140" s="320" t="n"/>
      <c r="C140" s="240">
        <f>IF($B140="","",ROUND(SUMIF(Торговля!$E$5:$E$300,$B140&amp;"/*",Торговля!$F$5:$F$300)+SUMIF(Торговля!$E$5:$E$300,"*/"&amp;$B140,Торговля!$K$5:$K$300)+SUMIF(Лэндинг!$E$5:$E$300,$B140&amp;"/*",Лэндинг!$F$5:$F$300)+SUMIF(Лэндинг!$E$5:$E$300,"*/"&amp;$B140,Лэндинг!$K$5:$K$300)+SUMIF(Закрытые!$E$5:$E$300,$B140&amp;"/*",Закрытые!$F$5:$F$300)+SUMIF(Закрытые!$E$5:$E$300,"*/"&amp;$B140,Закрытые!$K$5:$K$300)+SUMIF(История!$B$5:$B$300,$B140&amp;"/*",История!$C$5:$C$300)+SUMIF(История!$B$5:$B$300,"*/"&amp;$B140,История!$H$5:$H$300),8))</f>
        <v/>
      </c>
      <c r="D140" s="240">
        <f>IF($B140="","",ROUND(SUMIF(Торговля!$E$5:$E$300,$B140&amp;"/*",Торговля!$I$5:$I$300)+SUMIF(Торговля!$E$5:$E$300,"*/"&amp;$B140,Торговля!$H$5:$H$300)+SUMIF(Лэндинг!$E$5:$E$300,$B140&amp;"/*",Лэндинг!$I$5:$I$300)+SUMIF(Лэндинг!$E$5:$E$300,"*/"&amp;$B140,Лэндинг!$H$5:$H$300)+SUMIF(Закрытые!$E$5:$E$300,$B140&amp;"/*",Закрытые!$I$5:$I$300)+SUMIF(Закрытые!$E$5:$E$300,"*/"&amp;$B140,Закрытые!$H$5:$H$300)+SUMIF(История!$B$5:$B$300,$B140&amp;"/*",История!$F$5:$F$300)+SUMIF(История!$B$5:$B$300,"*/"&amp;$B140,История!$E$5:$E$300),8))</f>
        <v/>
      </c>
      <c r="E140" s="339">
        <f>IF($B140="","",ROUND(C140-D140,8))</f>
        <v/>
      </c>
    </row>
    <row r="141" ht="22" customHeight="1">
      <c r="B141" s="315" t="n"/>
      <c r="C141" s="240">
        <f>IF($B141="","",ROUND(SUMIF(Торговля!$E$5:$E$300,$B141&amp;"/*",Торговля!$F$5:$F$300)+SUMIF(Торговля!$E$5:$E$300,"*/"&amp;$B141,Торговля!$K$5:$K$300)+SUMIF(Лэндинг!$E$5:$E$300,$B141&amp;"/*",Лэндинг!$F$5:$F$300)+SUMIF(Лэндинг!$E$5:$E$300,"*/"&amp;$B141,Лэндинг!$K$5:$K$300)+SUMIF(Закрытые!$E$5:$E$300,$B141&amp;"/*",Закрытые!$F$5:$F$300)+SUMIF(Закрытые!$E$5:$E$300,"*/"&amp;$B141,Закрытые!$K$5:$K$300)+SUMIF(История!$B$5:$B$300,$B141&amp;"/*",История!$C$5:$C$300)+SUMIF(История!$B$5:$B$300,"*/"&amp;$B141,История!$H$5:$H$300),8))</f>
        <v/>
      </c>
      <c r="D141" s="240">
        <f>IF($B141="","",ROUND(SUMIF(Торговля!$E$5:$E$300,$B141&amp;"/*",Торговля!$I$5:$I$300)+SUMIF(Торговля!$E$5:$E$300,"*/"&amp;$B141,Торговля!$H$5:$H$300)+SUMIF(Лэндинг!$E$5:$E$300,$B141&amp;"/*",Лэндинг!$I$5:$I$300)+SUMIF(Лэндинг!$E$5:$E$300,"*/"&amp;$B141,Лэндинг!$H$5:$H$300)+SUMIF(Закрытые!$E$5:$E$300,$B141&amp;"/*",Закрытые!$I$5:$I$300)+SUMIF(Закрытые!$E$5:$E$300,"*/"&amp;$B141,Закрытые!$H$5:$H$300)+SUMIF(История!$B$5:$B$300,$B141&amp;"/*",История!$F$5:$F$300)+SUMIF(История!$B$5:$B$300,"*/"&amp;$B141,История!$E$5:$E$300),8))</f>
        <v/>
      </c>
      <c r="E141" s="339">
        <f>IF($B141="","",ROUND(C141-D141,8))</f>
        <v/>
      </c>
    </row>
    <row r="142" ht="22" customHeight="1">
      <c r="B142" s="320" t="n"/>
      <c r="C142" s="240">
        <f>IF($B142="","",ROUND(SUMIF(Торговля!$E$5:$E$300,$B142&amp;"/*",Торговля!$F$5:$F$300)+SUMIF(Торговля!$E$5:$E$300,"*/"&amp;$B142,Торговля!$K$5:$K$300)+SUMIF(Лэндинг!$E$5:$E$300,$B142&amp;"/*",Лэндинг!$F$5:$F$300)+SUMIF(Лэндинг!$E$5:$E$300,"*/"&amp;$B142,Лэндинг!$K$5:$K$300)+SUMIF(Закрытые!$E$5:$E$300,$B142&amp;"/*",Закрытые!$F$5:$F$300)+SUMIF(Закрытые!$E$5:$E$300,"*/"&amp;$B142,Закрытые!$K$5:$K$300)+SUMIF(История!$B$5:$B$300,$B142&amp;"/*",История!$C$5:$C$300)+SUMIF(История!$B$5:$B$300,"*/"&amp;$B142,История!$H$5:$H$300),8))</f>
        <v/>
      </c>
      <c r="D142" s="240">
        <f>IF($B142="","",ROUND(SUMIF(Торговля!$E$5:$E$300,$B142&amp;"/*",Торговля!$I$5:$I$300)+SUMIF(Торговля!$E$5:$E$300,"*/"&amp;$B142,Торговля!$H$5:$H$300)+SUMIF(Лэндинг!$E$5:$E$300,$B142&amp;"/*",Лэндинг!$I$5:$I$300)+SUMIF(Лэндинг!$E$5:$E$300,"*/"&amp;$B142,Лэндинг!$H$5:$H$300)+SUMIF(Закрытые!$E$5:$E$300,$B142&amp;"/*",Закрытые!$I$5:$I$300)+SUMIF(Закрытые!$E$5:$E$300,"*/"&amp;$B142,Закрытые!$H$5:$H$300)+SUMIF(История!$B$5:$B$300,$B142&amp;"/*",История!$F$5:$F$300)+SUMIF(История!$B$5:$B$300,"*/"&amp;$B142,История!$E$5:$E$300),8))</f>
        <v/>
      </c>
      <c r="E142" s="339">
        <f>IF($B142="","",ROUND(C142-D142,8))</f>
        <v/>
      </c>
    </row>
    <row r="143" ht="22" customHeight="1">
      <c r="B143" s="315" t="n"/>
      <c r="C143" s="240">
        <f>IF($B143="","",ROUND(SUMIF(Торговля!$E$5:$E$300,$B143&amp;"/*",Торговля!$F$5:$F$300)+SUMIF(Торговля!$E$5:$E$300,"*/"&amp;$B143,Торговля!$K$5:$K$300)+SUMIF(Лэндинг!$E$5:$E$300,$B143&amp;"/*",Лэндинг!$F$5:$F$300)+SUMIF(Лэндинг!$E$5:$E$300,"*/"&amp;$B143,Лэндинг!$K$5:$K$300)+SUMIF(Закрытые!$E$5:$E$300,$B143&amp;"/*",Закрытые!$F$5:$F$300)+SUMIF(Закрытые!$E$5:$E$300,"*/"&amp;$B143,Закрытые!$K$5:$K$300)+SUMIF(История!$B$5:$B$300,$B143&amp;"/*",История!$C$5:$C$300)+SUMIF(История!$B$5:$B$300,"*/"&amp;$B143,История!$H$5:$H$300),8))</f>
        <v/>
      </c>
      <c r="D143" s="240">
        <f>IF($B143="","",ROUND(SUMIF(Торговля!$E$5:$E$300,$B143&amp;"/*",Торговля!$I$5:$I$300)+SUMIF(Торговля!$E$5:$E$300,"*/"&amp;$B143,Торговля!$H$5:$H$300)+SUMIF(Лэндинг!$E$5:$E$300,$B143&amp;"/*",Лэндинг!$I$5:$I$300)+SUMIF(Лэндинг!$E$5:$E$300,"*/"&amp;$B143,Лэндинг!$H$5:$H$300)+SUMIF(Закрытые!$E$5:$E$300,$B143&amp;"/*",Закрытые!$I$5:$I$300)+SUMIF(Закрытые!$E$5:$E$300,"*/"&amp;$B143,Закрытые!$H$5:$H$300)+SUMIF(История!$B$5:$B$300,$B143&amp;"/*",История!$F$5:$F$300)+SUMIF(История!$B$5:$B$300,"*/"&amp;$B143,История!$E$5:$E$300),8))</f>
        <v/>
      </c>
      <c r="E143" s="339">
        <f>IF($B143="","",ROUND(C143-D143,8))</f>
        <v/>
      </c>
    </row>
    <row r="144" ht="22" customHeight="1">
      <c r="B144" s="320" t="n"/>
      <c r="C144" s="240">
        <f>IF($B144="","",ROUND(SUMIF(Торговля!$E$5:$E$300,$B144&amp;"/*",Торговля!$F$5:$F$300)+SUMIF(Торговля!$E$5:$E$300,"*/"&amp;$B144,Торговля!$K$5:$K$300)+SUMIF(Лэндинг!$E$5:$E$300,$B144&amp;"/*",Лэндинг!$F$5:$F$300)+SUMIF(Лэндинг!$E$5:$E$300,"*/"&amp;$B144,Лэндинг!$K$5:$K$300)+SUMIF(Закрытые!$E$5:$E$300,$B144&amp;"/*",Закрытые!$F$5:$F$300)+SUMIF(Закрытые!$E$5:$E$300,"*/"&amp;$B144,Закрытые!$K$5:$K$300)+SUMIF(История!$B$5:$B$300,$B144&amp;"/*",История!$C$5:$C$300)+SUMIF(История!$B$5:$B$300,"*/"&amp;$B144,История!$H$5:$H$300),8))</f>
        <v/>
      </c>
      <c r="D144" s="240">
        <f>IF($B144="","",ROUND(SUMIF(Торговля!$E$5:$E$300,$B144&amp;"/*",Торговля!$I$5:$I$300)+SUMIF(Торговля!$E$5:$E$300,"*/"&amp;$B144,Торговля!$H$5:$H$300)+SUMIF(Лэндинг!$E$5:$E$300,$B144&amp;"/*",Лэндинг!$I$5:$I$300)+SUMIF(Лэндинг!$E$5:$E$300,"*/"&amp;$B144,Лэндинг!$H$5:$H$300)+SUMIF(Закрытые!$E$5:$E$300,$B144&amp;"/*",Закрытые!$I$5:$I$300)+SUMIF(Закрытые!$E$5:$E$300,"*/"&amp;$B144,Закрытые!$H$5:$H$300)+SUMIF(История!$B$5:$B$300,$B144&amp;"/*",История!$F$5:$F$300)+SUMIF(История!$B$5:$B$300,"*/"&amp;$B144,История!$E$5:$E$300),8))</f>
        <v/>
      </c>
      <c r="E144" s="339">
        <f>IF($B144="","",ROUND(C144-D144,8))</f>
        <v/>
      </c>
    </row>
    <row r="145" ht="22" customHeight="1">
      <c r="B145" s="315" t="n"/>
      <c r="C145" s="240">
        <f>IF($B145="","",ROUND(SUMIF(Торговля!$E$5:$E$300,$B145&amp;"/*",Торговля!$F$5:$F$300)+SUMIF(Торговля!$E$5:$E$300,"*/"&amp;$B145,Торговля!$K$5:$K$300)+SUMIF(Лэндинг!$E$5:$E$300,$B145&amp;"/*",Лэндинг!$F$5:$F$300)+SUMIF(Лэндинг!$E$5:$E$300,"*/"&amp;$B145,Лэндинг!$K$5:$K$300)+SUMIF(Закрытые!$E$5:$E$300,$B145&amp;"/*",Закрытые!$F$5:$F$300)+SUMIF(Закрытые!$E$5:$E$300,"*/"&amp;$B145,Закрытые!$K$5:$K$300)+SUMIF(История!$B$5:$B$300,$B145&amp;"/*",История!$C$5:$C$300)+SUMIF(История!$B$5:$B$300,"*/"&amp;$B145,История!$H$5:$H$300),8))</f>
        <v/>
      </c>
      <c r="D145" s="240">
        <f>IF($B145="","",ROUND(SUMIF(Торговля!$E$5:$E$300,$B145&amp;"/*",Торговля!$I$5:$I$300)+SUMIF(Торговля!$E$5:$E$300,"*/"&amp;$B145,Торговля!$H$5:$H$300)+SUMIF(Лэндинг!$E$5:$E$300,$B145&amp;"/*",Лэндинг!$I$5:$I$300)+SUMIF(Лэндинг!$E$5:$E$300,"*/"&amp;$B145,Лэндинг!$H$5:$H$300)+SUMIF(Закрытые!$E$5:$E$300,$B145&amp;"/*",Закрытые!$I$5:$I$300)+SUMIF(Закрытые!$E$5:$E$300,"*/"&amp;$B145,Закрытые!$H$5:$H$300)+SUMIF(История!$B$5:$B$300,$B145&amp;"/*",История!$F$5:$F$300)+SUMIF(История!$B$5:$B$300,"*/"&amp;$B145,История!$E$5:$E$300),8))</f>
        <v/>
      </c>
      <c r="E145" s="339">
        <f>IF($B145="","",ROUND(C145-D145,8))</f>
        <v/>
      </c>
    </row>
    <row r="146" ht="22" customHeight="1">
      <c r="B146" s="320" t="n"/>
      <c r="C146" s="240">
        <f>IF($B146="","",ROUND(SUMIF(Торговля!$E$5:$E$300,$B146&amp;"/*",Торговля!$F$5:$F$300)+SUMIF(Торговля!$E$5:$E$300,"*/"&amp;$B146,Торговля!$K$5:$K$300)+SUMIF(Лэндинг!$E$5:$E$300,$B146&amp;"/*",Лэндинг!$F$5:$F$300)+SUMIF(Лэндинг!$E$5:$E$300,"*/"&amp;$B146,Лэндинг!$K$5:$K$300)+SUMIF(Закрытые!$E$5:$E$300,$B146&amp;"/*",Закрытые!$F$5:$F$300)+SUMIF(Закрытые!$E$5:$E$300,"*/"&amp;$B146,Закрытые!$K$5:$K$300)+SUMIF(История!$B$5:$B$300,$B146&amp;"/*",История!$C$5:$C$300)+SUMIF(История!$B$5:$B$300,"*/"&amp;$B146,История!$H$5:$H$300),8))</f>
        <v/>
      </c>
      <c r="D146" s="240">
        <f>IF($B146="","",ROUND(SUMIF(Торговля!$E$5:$E$300,$B146&amp;"/*",Торговля!$I$5:$I$300)+SUMIF(Торговля!$E$5:$E$300,"*/"&amp;$B146,Торговля!$H$5:$H$300)+SUMIF(Лэндинг!$E$5:$E$300,$B146&amp;"/*",Лэндинг!$I$5:$I$300)+SUMIF(Лэндинг!$E$5:$E$300,"*/"&amp;$B146,Лэндинг!$H$5:$H$300)+SUMIF(Закрытые!$E$5:$E$300,$B146&amp;"/*",Закрытые!$I$5:$I$300)+SUMIF(Закрытые!$E$5:$E$300,"*/"&amp;$B146,Закрытые!$H$5:$H$300)+SUMIF(История!$B$5:$B$300,$B146&amp;"/*",История!$F$5:$F$300)+SUMIF(История!$B$5:$B$300,"*/"&amp;$B146,История!$E$5:$E$300),8))</f>
        <v/>
      </c>
      <c r="E146" s="339">
        <f>IF($B146="","",ROUND(C146-D146,8))</f>
        <v/>
      </c>
    </row>
    <row r="147" ht="22" customHeight="1">
      <c r="B147" s="315" t="n"/>
      <c r="C147" s="240">
        <f>IF($B147="","",ROUND(SUMIF(Торговля!$E$5:$E$300,$B147&amp;"/*",Торговля!$F$5:$F$300)+SUMIF(Торговля!$E$5:$E$300,"*/"&amp;$B147,Торговля!$K$5:$K$300)+SUMIF(Лэндинг!$E$5:$E$300,$B147&amp;"/*",Лэндинг!$F$5:$F$300)+SUMIF(Лэндинг!$E$5:$E$300,"*/"&amp;$B147,Лэндинг!$K$5:$K$300)+SUMIF(Закрытые!$E$5:$E$300,$B147&amp;"/*",Закрытые!$F$5:$F$300)+SUMIF(Закрытые!$E$5:$E$300,"*/"&amp;$B147,Закрытые!$K$5:$K$300)+SUMIF(История!$B$5:$B$300,$B147&amp;"/*",История!$C$5:$C$300)+SUMIF(История!$B$5:$B$300,"*/"&amp;$B147,История!$H$5:$H$300),8))</f>
        <v/>
      </c>
      <c r="D147" s="240">
        <f>IF($B147="","",ROUND(SUMIF(Торговля!$E$5:$E$300,$B147&amp;"/*",Торговля!$I$5:$I$300)+SUMIF(Торговля!$E$5:$E$300,"*/"&amp;$B147,Торговля!$H$5:$H$300)+SUMIF(Лэндинг!$E$5:$E$300,$B147&amp;"/*",Лэндинг!$I$5:$I$300)+SUMIF(Лэндинг!$E$5:$E$300,"*/"&amp;$B147,Лэндинг!$H$5:$H$300)+SUMIF(Закрытые!$E$5:$E$300,$B147&amp;"/*",Закрытые!$I$5:$I$300)+SUMIF(Закрытые!$E$5:$E$300,"*/"&amp;$B147,Закрытые!$H$5:$H$300)+SUMIF(История!$B$5:$B$300,$B147&amp;"/*",История!$F$5:$F$300)+SUMIF(История!$B$5:$B$300,"*/"&amp;$B147,История!$E$5:$E$300),8))</f>
        <v/>
      </c>
      <c r="E147" s="339">
        <f>IF($B147="","",ROUND(C147-D147,8))</f>
        <v/>
      </c>
    </row>
    <row r="148" ht="22" customHeight="1">
      <c r="B148" s="320" t="n"/>
      <c r="C148" s="240">
        <f>IF($B148="","",ROUND(SUMIF(Торговля!$E$5:$E$300,$B148&amp;"/*",Торговля!$F$5:$F$300)+SUMIF(Торговля!$E$5:$E$300,"*/"&amp;$B148,Торговля!$K$5:$K$300)+SUMIF(Лэндинг!$E$5:$E$300,$B148&amp;"/*",Лэндинг!$F$5:$F$300)+SUMIF(Лэндинг!$E$5:$E$300,"*/"&amp;$B148,Лэндинг!$K$5:$K$300)+SUMIF(Закрытые!$E$5:$E$300,$B148&amp;"/*",Закрытые!$F$5:$F$300)+SUMIF(Закрытые!$E$5:$E$300,"*/"&amp;$B148,Закрытые!$K$5:$K$300)+SUMIF(История!$B$5:$B$300,$B148&amp;"/*",История!$C$5:$C$300)+SUMIF(История!$B$5:$B$300,"*/"&amp;$B148,История!$H$5:$H$300),8))</f>
        <v/>
      </c>
      <c r="D148" s="240">
        <f>IF($B148="","",ROUND(SUMIF(Торговля!$E$5:$E$300,$B148&amp;"/*",Торговля!$I$5:$I$300)+SUMIF(Торговля!$E$5:$E$300,"*/"&amp;$B148,Торговля!$H$5:$H$300)+SUMIF(Лэндинг!$E$5:$E$300,$B148&amp;"/*",Лэндинг!$I$5:$I$300)+SUMIF(Лэндинг!$E$5:$E$300,"*/"&amp;$B148,Лэндинг!$H$5:$H$300)+SUMIF(Закрытые!$E$5:$E$300,$B148&amp;"/*",Закрытые!$I$5:$I$300)+SUMIF(Закрытые!$E$5:$E$300,"*/"&amp;$B148,Закрытые!$H$5:$H$300)+SUMIF(История!$B$5:$B$300,$B148&amp;"/*",История!$F$5:$F$300)+SUMIF(История!$B$5:$B$300,"*/"&amp;$B148,История!$E$5:$E$300),8))</f>
        <v/>
      </c>
      <c r="E148" s="339">
        <f>IF($B148="","",ROUND(C148-D148,8))</f>
        <v/>
      </c>
    </row>
    <row r="149" ht="22" customHeight="1">
      <c r="B149" s="315" t="n"/>
      <c r="C149" s="240">
        <f>IF($B149="","",ROUND(SUMIF(Торговля!$E$5:$E$300,$B149&amp;"/*",Торговля!$F$5:$F$300)+SUMIF(Торговля!$E$5:$E$300,"*/"&amp;$B149,Торговля!$K$5:$K$300)+SUMIF(Лэндинг!$E$5:$E$300,$B149&amp;"/*",Лэндинг!$F$5:$F$300)+SUMIF(Лэндинг!$E$5:$E$300,"*/"&amp;$B149,Лэндинг!$K$5:$K$300)+SUMIF(Закрытые!$E$5:$E$300,$B149&amp;"/*",Закрытые!$F$5:$F$300)+SUMIF(Закрытые!$E$5:$E$300,"*/"&amp;$B149,Закрытые!$K$5:$K$300)+SUMIF(История!$B$5:$B$300,$B149&amp;"/*",История!$C$5:$C$300)+SUMIF(История!$B$5:$B$300,"*/"&amp;$B149,История!$H$5:$H$300),8))</f>
        <v/>
      </c>
      <c r="D149" s="240">
        <f>IF($B149="","",ROUND(SUMIF(Торговля!$E$5:$E$300,$B149&amp;"/*",Торговля!$I$5:$I$300)+SUMIF(Торговля!$E$5:$E$300,"*/"&amp;$B149,Торговля!$H$5:$H$300)+SUMIF(Лэндинг!$E$5:$E$300,$B149&amp;"/*",Лэндинг!$I$5:$I$300)+SUMIF(Лэндинг!$E$5:$E$300,"*/"&amp;$B149,Лэндинг!$H$5:$H$300)+SUMIF(Закрытые!$E$5:$E$300,$B149&amp;"/*",Закрытые!$I$5:$I$300)+SUMIF(Закрытые!$E$5:$E$300,"*/"&amp;$B149,Закрытые!$H$5:$H$300)+SUMIF(История!$B$5:$B$300,$B149&amp;"/*",История!$F$5:$F$300)+SUMIF(История!$B$5:$B$300,"*/"&amp;$B149,История!$E$5:$E$300),8))</f>
        <v/>
      </c>
      <c r="E149" s="339">
        <f>IF($B149="","",ROUND(C149-D149,8))</f>
        <v/>
      </c>
    </row>
    <row r="150" ht="22" customHeight="1">
      <c r="B150" s="320" t="n"/>
      <c r="C150" s="240">
        <f>IF($B150="","",ROUND(SUMIF(Торговля!$E$5:$E$300,$B150&amp;"/*",Торговля!$F$5:$F$300)+SUMIF(Торговля!$E$5:$E$300,"*/"&amp;$B150,Торговля!$K$5:$K$300)+SUMIF(Лэндинг!$E$5:$E$300,$B150&amp;"/*",Лэндинг!$F$5:$F$300)+SUMIF(Лэндинг!$E$5:$E$300,"*/"&amp;$B150,Лэндинг!$K$5:$K$300)+SUMIF(Закрытые!$E$5:$E$300,$B150&amp;"/*",Закрытые!$F$5:$F$300)+SUMIF(Закрытые!$E$5:$E$300,"*/"&amp;$B150,Закрытые!$K$5:$K$300)+SUMIF(История!$B$5:$B$300,$B150&amp;"/*",История!$C$5:$C$300)+SUMIF(История!$B$5:$B$300,"*/"&amp;$B150,История!$H$5:$H$300),8))</f>
        <v/>
      </c>
      <c r="D150" s="240">
        <f>IF($B150="","",ROUND(SUMIF(Торговля!$E$5:$E$300,$B150&amp;"/*",Торговля!$I$5:$I$300)+SUMIF(Торговля!$E$5:$E$300,"*/"&amp;$B150,Торговля!$H$5:$H$300)+SUMIF(Лэндинг!$E$5:$E$300,$B150&amp;"/*",Лэндинг!$I$5:$I$300)+SUMIF(Лэндинг!$E$5:$E$300,"*/"&amp;$B150,Лэндинг!$H$5:$H$300)+SUMIF(Закрытые!$E$5:$E$300,$B150&amp;"/*",Закрытые!$I$5:$I$300)+SUMIF(Закрытые!$E$5:$E$300,"*/"&amp;$B150,Закрытые!$H$5:$H$300)+SUMIF(История!$B$5:$B$300,$B150&amp;"/*",История!$F$5:$F$300)+SUMIF(История!$B$5:$B$300,"*/"&amp;$B150,История!$E$5:$E$300),8))</f>
        <v/>
      </c>
      <c r="E150" s="339">
        <f>IF($B150="","",ROUND(C150-D150,8))</f>
        <v/>
      </c>
    </row>
    <row r="151" ht="22" customHeight="1">
      <c r="B151" s="315" t="n"/>
      <c r="C151" s="240">
        <f>IF($B151="","",ROUND(SUMIF(Торговля!$E$5:$E$300,$B151&amp;"/*",Торговля!$F$5:$F$300)+SUMIF(Торговля!$E$5:$E$300,"*/"&amp;$B151,Торговля!$K$5:$K$300)+SUMIF(Лэндинг!$E$5:$E$300,$B151&amp;"/*",Лэндинг!$F$5:$F$300)+SUMIF(Лэндинг!$E$5:$E$300,"*/"&amp;$B151,Лэндинг!$K$5:$K$300)+SUMIF(Закрытые!$E$5:$E$300,$B151&amp;"/*",Закрытые!$F$5:$F$300)+SUMIF(Закрытые!$E$5:$E$300,"*/"&amp;$B151,Закрытые!$K$5:$K$300)+SUMIF(История!$B$5:$B$300,$B151&amp;"/*",История!$C$5:$C$300)+SUMIF(История!$B$5:$B$300,"*/"&amp;$B151,История!$H$5:$H$300),8))</f>
        <v/>
      </c>
      <c r="D151" s="240">
        <f>IF($B151="","",ROUND(SUMIF(Торговля!$E$5:$E$300,$B151&amp;"/*",Торговля!$I$5:$I$300)+SUMIF(Торговля!$E$5:$E$300,"*/"&amp;$B151,Торговля!$H$5:$H$300)+SUMIF(Лэндинг!$E$5:$E$300,$B151&amp;"/*",Лэндинг!$I$5:$I$300)+SUMIF(Лэндинг!$E$5:$E$300,"*/"&amp;$B151,Лэндинг!$H$5:$H$300)+SUMIF(Закрытые!$E$5:$E$300,$B151&amp;"/*",Закрытые!$I$5:$I$300)+SUMIF(Закрытые!$E$5:$E$300,"*/"&amp;$B151,Закрытые!$H$5:$H$300)+SUMIF(История!$B$5:$B$300,$B151&amp;"/*",История!$F$5:$F$300)+SUMIF(История!$B$5:$B$300,"*/"&amp;$B151,История!$E$5:$E$300),8))</f>
        <v/>
      </c>
      <c r="E151" s="339">
        <f>IF($B151="","",ROUND(C151-D151,8))</f>
        <v/>
      </c>
    </row>
    <row r="152" ht="22" customHeight="1">
      <c r="B152" s="320" t="n"/>
      <c r="C152" s="240">
        <f>IF($B152="","",ROUND(SUMIF(Торговля!$E$5:$E$300,$B152&amp;"/*",Торговля!$F$5:$F$300)+SUMIF(Торговля!$E$5:$E$300,"*/"&amp;$B152,Торговля!$K$5:$K$300)+SUMIF(Лэндинг!$E$5:$E$300,$B152&amp;"/*",Лэндинг!$F$5:$F$300)+SUMIF(Лэндинг!$E$5:$E$300,"*/"&amp;$B152,Лэндинг!$K$5:$K$300)+SUMIF(Закрытые!$E$5:$E$300,$B152&amp;"/*",Закрытые!$F$5:$F$300)+SUMIF(Закрытые!$E$5:$E$300,"*/"&amp;$B152,Закрытые!$K$5:$K$300)+SUMIF(История!$B$5:$B$300,$B152&amp;"/*",История!$C$5:$C$300)+SUMIF(История!$B$5:$B$300,"*/"&amp;$B152,История!$H$5:$H$300),8))</f>
        <v/>
      </c>
      <c r="D152" s="240">
        <f>IF($B152="","",ROUND(SUMIF(Торговля!$E$5:$E$300,$B152&amp;"/*",Торговля!$I$5:$I$300)+SUMIF(Торговля!$E$5:$E$300,"*/"&amp;$B152,Торговля!$H$5:$H$300)+SUMIF(Лэндинг!$E$5:$E$300,$B152&amp;"/*",Лэндинг!$I$5:$I$300)+SUMIF(Лэндинг!$E$5:$E$300,"*/"&amp;$B152,Лэндинг!$H$5:$H$300)+SUMIF(Закрытые!$E$5:$E$300,$B152&amp;"/*",Закрытые!$I$5:$I$300)+SUMIF(Закрытые!$E$5:$E$300,"*/"&amp;$B152,Закрытые!$H$5:$H$300)+SUMIF(История!$B$5:$B$300,$B152&amp;"/*",История!$F$5:$F$300)+SUMIF(История!$B$5:$B$300,"*/"&amp;$B152,История!$E$5:$E$300),8))</f>
        <v/>
      </c>
      <c r="E152" s="339">
        <f>IF($B152="","",ROUND(C152-D152,8))</f>
        <v/>
      </c>
    </row>
    <row r="153" ht="22" customHeight="1">
      <c r="B153" s="315" t="n"/>
      <c r="C153" s="240">
        <f>IF($B153="","",ROUND(SUMIF(Торговля!$E$5:$E$300,$B153&amp;"/*",Торговля!$F$5:$F$300)+SUMIF(Торговля!$E$5:$E$300,"*/"&amp;$B153,Торговля!$K$5:$K$300)+SUMIF(Лэндинг!$E$5:$E$300,$B153&amp;"/*",Лэндинг!$F$5:$F$300)+SUMIF(Лэндинг!$E$5:$E$300,"*/"&amp;$B153,Лэндинг!$K$5:$K$300)+SUMIF(Закрытые!$E$5:$E$300,$B153&amp;"/*",Закрытые!$F$5:$F$300)+SUMIF(Закрытые!$E$5:$E$300,"*/"&amp;$B153,Закрытые!$K$5:$K$300)+SUMIF(История!$B$5:$B$300,$B153&amp;"/*",История!$C$5:$C$300)+SUMIF(История!$B$5:$B$300,"*/"&amp;$B153,История!$H$5:$H$300),8))</f>
        <v/>
      </c>
      <c r="D153" s="240">
        <f>IF($B153="","",ROUND(SUMIF(Торговля!$E$5:$E$300,$B153&amp;"/*",Торговля!$I$5:$I$300)+SUMIF(Торговля!$E$5:$E$300,"*/"&amp;$B153,Торговля!$H$5:$H$300)+SUMIF(Лэндинг!$E$5:$E$300,$B153&amp;"/*",Лэндинг!$I$5:$I$300)+SUMIF(Лэндинг!$E$5:$E$300,"*/"&amp;$B153,Лэндинг!$H$5:$H$300)+SUMIF(Закрытые!$E$5:$E$300,$B153&amp;"/*",Закрытые!$I$5:$I$300)+SUMIF(Закрытые!$E$5:$E$300,"*/"&amp;$B153,Закрытые!$H$5:$H$300)+SUMIF(История!$B$5:$B$300,$B153&amp;"/*",История!$F$5:$F$300)+SUMIF(История!$B$5:$B$300,"*/"&amp;$B153,История!$E$5:$E$300),8))</f>
        <v/>
      </c>
      <c r="E153" s="339">
        <f>IF($B153="","",ROUND(C153-D153,8))</f>
        <v/>
      </c>
    </row>
    <row r="154" ht="22" customHeight="1">
      <c r="B154" s="320" t="n"/>
      <c r="C154" s="240">
        <f>IF($B154="","",ROUND(SUMIF(Торговля!$E$5:$E$300,$B154&amp;"/*",Торговля!$F$5:$F$300)+SUMIF(Торговля!$E$5:$E$300,"*/"&amp;$B154,Торговля!$K$5:$K$300)+SUMIF(Лэндинг!$E$5:$E$300,$B154&amp;"/*",Лэндинг!$F$5:$F$300)+SUMIF(Лэндинг!$E$5:$E$300,"*/"&amp;$B154,Лэндинг!$K$5:$K$300)+SUMIF(Закрытые!$E$5:$E$300,$B154&amp;"/*",Закрытые!$F$5:$F$300)+SUMIF(Закрытые!$E$5:$E$300,"*/"&amp;$B154,Закрытые!$K$5:$K$300)+SUMIF(История!$B$5:$B$300,$B154&amp;"/*",История!$C$5:$C$300)+SUMIF(История!$B$5:$B$300,"*/"&amp;$B154,История!$H$5:$H$300),8))</f>
        <v/>
      </c>
      <c r="D154" s="240">
        <f>IF($B154="","",ROUND(SUMIF(Торговля!$E$5:$E$300,$B154&amp;"/*",Торговля!$I$5:$I$300)+SUMIF(Торговля!$E$5:$E$300,"*/"&amp;$B154,Торговля!$H$5:$H$300)+SUMIF(Лэндинг!$E$5:$E$300,$B154&amp;"/*",Лэндинг!$I$5:$I$300)+SUMIF(Лэндинг!$E$5:$E$300,"*/"&amp;$B154,Лэндинг!$H$5:$H$300)+SUMIF(Закрытые!$E$5:$E$300,$B154&amp;"/*",Закрытые!$I$5:$I$300)+SUMIF(Закрытые!$E$5:$E$300,"*/"&amp;$B154,Закрытые!$H$5:$H$300)+SUMIF(История!$B$5:$B$300,$B154&amp;"/*",История!$F$5:$F$300)+SUMIF(История!$B$5:$B$300,"*/"&amp;$B154,История!$E$5:$E$300),8))</f>
        <v/>
      </c>
      <c r="E154" s="339">
        <f>IF($B154="","",ROUND(C154-D154,8))</f>
        <v/>
      </c>
    </row>
    <row r="155" ht="22" customHeight="1">
      <c r="B155" s="315" t="n"/>
      <c r="C155" s="240">
        <f>IF($B155="","",ROUND(SUMIF(Торговля!$E$5:$E$300,$B155&amp;"/*",Торговля!$F$5:$F$300)+SUMIF(Торговля!$E$5:$E$300,"*/"&amp;$B155,Торговля!$K$5:$K$300)+SUMIF(Лэндинг!$E$5:$E$300,$B155&amp;"/*",Лэндинг!$F$5:$F$300)+SUMIF(Лэндинг!$E$5:$E$300,"*/"&amp;$B155,Лэндинг!$K$5:$K$300)+SUMIF(Закрытые!$E$5:$E$300,$B155&amp;"/*",Закрытые!$F$5:$F$300)+SUMIF(Закрытые!$E$5:$E$300,"*/"&amp;$B155,Закрытые!$K$5:$K$300)+SUMIF(История!$B$5:$B$300,$B155&amp;"/*",История!$C$5:$C$300)+SUMIF(История!$B$5:$B$300,"*/"&amp;$B155,История!$H$5:$H$300),8))</f>
        <v/>
      </c>
      <c r="D155" s="240">
        <f>IF($B155="","",ROUND(SUMIF(Торговля!$E$5:$E$300,$B155&amp;"/*",Торговля!$I$5:$I$300)+SUMIF(Торговля!$E$5:$E$300,"*/"&amp;$B155,Торговля!$H$5:$H$300)+SUMIF(Лэндинг!$E$5:$E$300,$B155&amp;"/*",Лэндинг!$I$5:$I$300)+SUMIF(Лэндинг!$E$5:$E$300,"*/"&amp;$B155,Лэндинг!$H$5:$H$300)+SUMIF(Закрытые!$E$5:$E$300,$B155&amp;"/*",Закрытые!$I$5:$I$300)+SUMIF(Закрытые!$E$5:$E$300,"*/"&amp;$B155,Закрытые!$H$5:$H$300)+SUMIF(История!$B$5:$B$300,$B155&amp;"/*",История!$F$5:$F$300)+SUMIF(История!$B$5:$B$300,"*/"&amp;$B155,История!$E$5:$E$300),8))</f>
        <v/>
      </c>
      <c r="E155" s="339">
        <f>IF($B155="","",ROUND(C155-D155,8))</f>
        <v/>
      </c>
    </row>
    <row r="156" ht="22" customHeight="1">
      <c r="B156" s="320" t="n"/>
      <c r="C156" s="240">
        <f>IF($B156="","",ROUND(SUMIF(Торговля!$E$5:$E$300,$B156&amp;"/*",Торговля!$F$5:$F$300)+SUMIF(Торговля!$E$5:$E$300,"*/"&amp;$B156,Торговля!$K$5:$K$300)+SUMIF(Лэндинг!$E$5:$E$300,$B156&amp;"/*",Лэндинг!$F$5:$F$300)+SUMIF(Лэндинг!$E$5:$E$300,"*/"&amp;$B156,Лэндинг!$K$5:$K$300)+SUMIF(Закрытые!$E$5:$E$300,$B156&amp;"/*",Закрытые!$F$5:$F$300)+SUMIF(Закрытые!$E$5:$E$300,"*/"&amp;$B156,Закрытые!$K$5:$K$300)+SUMIF(История!$B$5:$B$300,$B156&amp;"/*",История!$C$5:$C$300)+SUMIF(История!$B$5:$B$300,"*/"&amp;$B156,История!$H$5:$H$300),8))</f>
        <v/>
      </c>
      <c r="D156" s="240">
        <f>IF($B156="","",ROUND(SUMIF(Торговля!$E$5:$E$300,$B156&amp;"/*",Торговля!$I$5:$I$300)+SUMIF(Торговля!$E$5:$E$300,"*/"&amp;$B156,Торговля!$H$5:$H$300)+SUMIF(Лэндинг!$E$5:$E$300,$B156&amp;"/*",Лэндинг!$I$5:$I$300)+SUMIF(Лэндинг!$E$5:$E$300,"*/"&amp;$B156,Лэндинг!$H$5:$H$300)+SUMIF(Закрытые!$E$5:$E$300,$B156&amp;"/*",Закрытые!$I$5:$I$300)+SUMIF(Закрытые!$E$5:$E$300,"*/"&amp;$B156,Закрытые!$H$5:$H$300)+SUMIF(История!$B$5:$B$300,$B156&amp;"/*",История!$F$5:$F$300)+SUMIF(История!$B$5:$B$300,"*/"&amp;$B156,История!$E$5:$E$300),8))</f>
        <v/>
      </c>
      <c r="E156" s="339">
        <f>IF($B156="","",ROUND(C156-D156,8))</f>
        <v/>
      </c>
    </row>
    <row r="157" ht="22" customHeight="1">
      <c r="B157" s="315" t="n"/>
      <c r="C157" s="240">
        <f>IF($B157="","",ROUND(SUMIF(Торговля!$E$5:$E$300,$B157&amp;"/*",Торговля!$F$5:$F$300)+SUMIF(Торговля!$E$5:$E$300,"*/"&amp;$B157,Торговля!$K$5:$K$300)+SUMIF(Лэндинг!$E$5:$E$300,$B157&amp;"/*",Лэндинг!$F$5:$F$300)+SUMIF(Лэндинг!$E$5:$E$300,"*/"&amp;$B157,Лэндинг!$K$5:$K$300)+SUMIF(Закрытые!$E$5:$E$300,$B157&amp;"/*",Закрытые!$F$5:$F$300)+SUMIF(Закрытые!$E$5:$E$300,"*/"&amp;$B157,Закрытые!$K$5:$K$300)+SUMIF(История!$B$5:$B$300,$B157&amp;"/*",История!$C$5:$C$300)+SUMIF(История!$B$5:$B$300,"*/"&amp;$B157,История!$H$5:$H$300),8))</f>
        <v/>
      </c>
      <c r="D157" s="240">
        <f>IF($B157="","",ROUND(SUMIF(Торговля!$E$5:$E$300,$B157&amp;"/*",Торговля!$I$5:$I$300)+SUMIF(Торговля!$E$5:$E$300,"*/"&amp;$B157,Торговля!$H$5:$H$300)+SUMIF(Лэндинг!$E$5:$E$300,$B157&amp;"/*",Лэндинг!$I$5:$I$300)+SUMIF(Лэндинг!$E$5:$E$300,"*/"&amp;$B157,Лэндинг!$H$5:$H$300)+SUMIF(Закрытые!$E$5:$E$300,$B157&amp;"/*",Закрытые!$I$5:$I$300)+SUMIF(Закрытые!$E$5:$E$300,"*/"&amp;$B157,Закрытые!$H$5:$H$300)+SUMIF(История!$B$5:$B$300,$B157&amp;"/*",История!$F$5:$F$300)+SUMIF(История!$B$5:$B$300,"*/"&amp;$B157,История!$E$5:$E$300),8))</f>
        <v/>
      </c>
      <c r="E157" s="339">
        <f>IF($B157="","",ROUND(C157-D157,8))</f>
        <v/>
      </c>
    </row>
    <row r="158" ht="22" customHeight="1">
      <c r="B158" s="320" t="n"/>
      <c r="C158" s="240">
        <f>IF($B158="","",ROUND(SUMIF(Торговля!$E$5:$E$300,$B158&amp;"/*",Торговля!$F$5:$F$300)+SUMIF(Торговля!$E$5:$E$300,"*/"&amp;$B158,Торговля!$K$5:$K$300)+SUMIF(Лэндинг!$E$5:$E$300,$B158&amp;"/*",Лэндинг!$F$5:$F$300)+SUMIF(Лэндинг!$E$5:$E$300,"*/"&amp;$B158,Лэндинг!$K$5:$K$300)+SUMIF(Закрытые!$E$5:$E$300,$B158&amp;"/*",Закрытые!$F$5:$F$300)+SUMIF(Закрытые!$E$5:$E$300,"*/"&amp;$B158,Закрытые!$K$5:$K$300)+SUMIF(История!$B$5:$B$300,$B158&amp;"/*",История!$C$5:$C$300)+SUMIF(История!$B$5:$B$300,"*/"&amp;$B158,История!$H$5:$H$300),8))</f>
        <v/>
      </c>
      <c r="D158" s="240">
        <f>IF($B158="","",ROUND(SUMIF(Торговля!$E$5:$E$300,$B158&amp;"/*",Торговля!$I$5:$I$300)+SUMIF(Торговля!$E$5:$E$300,"*/"&amp;$B158,Торговля!$H$5:$H$300)+SUMIF(Лэндинг!$E$5:$E$300,$B158&amp;"/*",Лэндинг!$I$5:$I$300)+SUMIF(Лэндинг!$E$5:$E$300,"*/"&amp;$B158,Лэндинг!$H$5:$H$300)+SUMIF(Закрытые!$E$5:$E$300,$B158&amp;"/*",Закрытые!$I$5:$I$300)+SUMIF(Закрытые!$E$5:$E$300,"*/"&amp;$B158,Закрытые!$H$5:$H$300)+SUMIF(История!$B$5:$B$300,$B158&amp;"/*",История!$F$5:$F$300)+SUMIF(История!$B$5:$B$300,"*/"&amp;$B158,История!$E$5:$E$300),8))</f>
        <v/>
      </c>
      <c r="E158" s="339">
        <f>IF($B158="","",ROUND(C158-D158,8))</f>
        <v/>
      </c>
    </row>
    <row r="159" ht="22" customHeight="1">
      <c r="B159" s="315" t="n"/>
      <c r="C159" s="240">
        <f>IF($B159="","",ROUND(SUMIF(Торговля!$E$5:$E$300,$B159&amp;"/*",Торговля!$F$5:$F$300)+SUMIF(Торговля!$E$5:$E$300,"*/"&amp;$B159,Торговля!$K$5:$K$300)+SUMIF(Лэндинг!$E$5:$E$300,$B159&amp;"/*",Лэндинг!$F$5:$F$300)+SUMIF(Лэндинг!$E$5:$E$300,"*/"&amp;$B159,Лэндинг!$K$5:$K$300)+SUMIF(Закрытые!$E$5:$E$300,$B159&amp;"/*",Закрытые!$F$5:$F$300)+SUMIF(Закрытые!$E$5:$E$300,"*/"&amp;$B159,Закрытые!$K$5:$K$300)+SUMIF(История!$B$5:$B$300,$B159&amp;"/*",История!$C$5:$C$300)+SUMIF(История!$B$5:$B$300,"*/"&amp;$B159,История!$H$5:$H$300),8))</f>
        <v/>
      </c>
      <c r="D159" s="240">
        <f>IF($B159="","",ROUND(SUMIF(Торговля!$E$5:$E$300,$B159&amp;"/*",Торговля!$I$5:$I$300)+SUMIF(Торговля!$E$5:$E$300,"*/"&amp;$B159,Торговля!$H$5:$H$300)+SUMIF(Лэндинг!$E$5:$E$300,$B159&amp;"/*",Лэндинг!$I$5:$I$300)+SUMIF(Лэндинг!$E$5:$E$300,"*/"&amp;$B159,Лэндинг!$H$5:$H$300)+SUMIF(Закрытые!$E$5:$E$300,$B159&amp;"/*",Закрытые!$I$5:$I$300)+SUMIF(Закрытые!$E$5:$E$300,"*/"&amp;$B159,Закрытые!$H$5:$H$300)+SUMIF(История!$B$5:$B$300,$B159&amp;"/*",История!$F$5:$F$300)+SUMIF(История!$B$5:$B$300,"*/"&amp;$B159,История!$E$5:$E$300),8))</f>
        <v/>
      </c>
      <c r="E159" s="339">
        <f>IF($B159="","",ROUND(C159-D159,8))</f>
        <v/>
      </c>
    </row>
    <row r="160" ht="22" customHeight="1">
      <c r="B160" s="320" t="n"/>
      <c r="C160" s="240">
        <f>IF($B160="","",ROUND(SUMIF(Торговля!$E$5:$E$300,$B160&amp;"/*",Торговля!$F$5:$F$300)+SUMIF(Торговля!$E$5:$E$300,"*/"&amp;$B160,Торговля!$K$5:$K$300)+SUMIF(Лэндинг!$E$5:$E$300,$B160&amp;"/*",Лэндинг!$F$5:$F$300)+SUMIF(Лэндинг!$E$5:$E$300,"*/"&amp;$B160,Лэндинг!$K$5:$K$300)+SUMIF(Закрытые!$E$5:$E$300,$B160&amp;"/*",Закрытые!$F$5:$F$300)+SUMIF(Закрытые!$E$5:$E$300,"*/"&amp;$B160,Закрытые!$K$5:$K$300)+SUMIF(История!$B$5:$B$300,$B160&amp;"/*",История!$C$5:$C$300)+SUMIF(История!$B$5:$B$300,"*/"&amp;$B160,История!$H$5:$H$300),8))</f>
        <v/>
      </c>
      <c r="D160" s="240">
        <f>IF($B160="","",ROUND(SUMIF(Торговля!$E$5:$E$300,$B160&amp;"/*",Торговля!$I$5:$I$300)+SUMIF(Торговля!$E$5:$E$300,"*/"&amp;$B160,Торговля!$H$5:$H$300)+SUMIF(Лэндинг!$E$5:$E$300,$B160&amp;"/*",Лэндинг!$I$5:$I$300)+SUMIF(Лэндинг!$E$5:$E$300,"*/"&amp;$B160,Лэндинг!$H$5:$H$300)+SUMIF(Закрытые!$E$5:$E$300,$B160&amp;"/*",Закрытые!$I$5:$I$300)+SUMIF(Закрытые!$E$5:$E$300,"*/"&amp;$B160,Закрытые!$H$5:$H$300)+SUMIF(История!$B$5:$B$300,$B160&amp;"/*",История!$F$5:$F$300)+SUMIF(История!$B$5:$B$300,"*/"&amp;$B160,История!$E$5:$E$300),8))</f>
        <v/>
      </c>
      <c r="E160" s="339">
        <f>IF($B160="","",ROUND(C160-D160,8))</f>
        <v/>
      </c>
    </row>
    <row r="161" ht="22" customHeight="1">
      <c r="B161" s="315" t="n"/>
      <c r="C161" s="240">
        <f>IF($B161="","",ROUND(SUMIF(Торговля!$E$5:$E$300,$B161&amp;"/*",Торговля!$F$5:$F$300)+SUMIF(Торговля!$E$5:$E$300,"*/"&amp;$B161,Торговля!$K$5:$K$300)+SUMIF(Лэндинг!$E$5:$E$300,$B161&amp;"/*",Лэндинг!$F$5:$F$300)+SUMIF(Лэндинг!$E$5:$E$300,"*/"&amp;$B161,Лэндинг!$K$5:$K$300)+SUMIF(Закрытые!$E$5:$E$300,$B161&amp;"/*",Закрытые!$F$5:$F$300)+SUMIF(Закрытые!$E$5:$E$300,"*/"&amp;$B161,Закрытые!$K$5:$K$300)+SUMIF(История!$B$5:$B$300,$B161&amp;"/*",История!$C$5:$C$300)+SUMIF(История!$B$5:$B$300,"*/"&amp;$B161,История!$H$5:$H$300),8))</f>
        <v/>
      </c>
      <c r="D161" s="240">
        <f>IF($B161="","",ROUND(SUMIF(Торговля!$E$5:$E$300,$B161&amp;"/*",Торговля!$I$5:$I$300)+SUMIF(Торговля!$E$5:$E$300,"*/"&amp;$B161,Торговля!$H$5:$H$300)+SUMIF(Лэндинг!$E$5:$E$300,$B161&amp;"/*",Лэндинг!$I$5:$I$300)+SUMIF(Лэндинг!$E$5:$E$300,"*/"&amp;$B161,Лэндинг!$H$5:$H$300)+SUMIF(Закрытые!$E$5:$E$300,$B161&amp;"/*",Закрытые!$I$5:$I$300)+SUMIF(Закрытые!$E$5:$E$300,"*/"&amp;$B161,Закрытые!$H$5:$H$300)+SUMIF(История!$B$5:$B$300,$B161&amp;"/*",История!$F$5:$F$300)+SUMIF(История!$B$5:$B$300,"*/"&amp;$B161,История!$E$5:$E$300),8))</f>
        <v/>
      </c>
      <c r="E161" s="339">
        <f>IF($B161="","",ROUND(C161-D161,8))</f>
        <v/>
      </c>
    </row>
    <row r="162" ht="22" customHeight="1">
      <c r="B162" s="320" t="n"/>
      <c r="C162" s="240">
        <f>IF($B162="","",ROUND(SUMIF(Торговля!$E$5:$E$300,$B162&amp;"/*",Торговля!$F$5:$F$300)+SUMIF(Торговля!$E$5:$E$300,"*/"&amp;$B162,Торговля!$K$5:$K$300)+SUMIF(Лэндинг!$E$5:$E$300,$B162&amp;"/*",Лэндинг!$F$5:$F$300)+SUMIF(Лэндинг!$E$5:$E$300,"*/"&amp;$B162,Лэндинг!$K$5:$K$300)+SUMIF(Закрытые!$E$5:$E$300,$B162&amp;"/*",Закрытые!$F$5:$F$300)+SUMIF(Закрытые!$E$5:$E$300,"*/"&amp;$B162,Закрытые!$K$5:$K$300)+SUMIF(История!$B$5:$B$300,$B162&amp;"/*",История!$C$5:$C$300)+SUMIF(История!$B$5:$B$300,"*/"&amp;$B162,История!$H$5:$H$300),8))</f>
        <v/>
      </c>
      <c r="D162" s="240">
        <f>IF($B162="","",ROUND(SUMIF(Торговля!$E$5:$E$300,$B162&amp;"/*",Торговля!$I$5:$I$300)+SUMIF(Торговля!$E$5:$E$300,"*/"&amp;$B162,Торговля!$H$5:$H$300)+SUMIF(Лэндинг!$E$5:$E$300,$B162&amp;"/*",Лэндинг!$I$5:$I$300)+SUMIF(Лэндинг!$E$5:$E$300,"*/"&amp;$B162,Лэндинг!$H$5:$H$300)+SUMIF(Закрытые!$E$5:$E$300,$B162&amp;"/*",Закрытые!$I$5:$I$300)+SUMIF(Закрытые!$E$5:$E$300,"*/"&amp;$B162,Закрытые!$H$5:$H$300)+SUMIF(История!$B$5:$B$300,$B162&amp;"/*",История!$F$5:$F$300)+SUMIF(История!$B$5:$B$300,"*/"&amp;$B162,История!$E$5:$E$300),8))</f>
        <v/>
      </c>
      <c r="E162" s="339">
        <f>IF($B162="","",ROUND(C162-D162,8))</f>
        <v/>
      </c>
    </row>
    <row r="163" ht="22" customHeight="1">
      <c r="B163" s="315" t="n"/>
      <c r="C163" s="240">
        <f>IF($B163="","",ROUND(SUMIF(Торговля!$E$5:$E$300,$B163&amp;"/*",Торговля!$F$5:$F$300)+SUMIF(Торговля!$E$5:$E$300,"*/"&amp;$B163,Торговля!$K$5:$K$300)+SUMIF(Лэндинг!$E$5:$E$300,$B163&amp;"/*",Лэндинг!$F$5:$F$300)+SUMIF(Лэндинг!$E$5:$E$300,"*/"&amp;$B163,Лэндинг!$K$5:$K$300)+SUMIF(Закрытые!$E$5:$E$300,$B163&amp;"/*",Закрытые!$F$5:$F$300)+SUMIF(Закрытые!$E$5:$E$300,"*/"&amp;$B163,Закрытые!$K$5:$K$300)+SUMIF(История!$B$5:$B$300,$B163&amp;"/*",История!$C$5:$C$300)+SUMIF(История!$B$5:$B$300,"*/"&amp;$B163,История!$H$5:$H$300),8))</f>
        <v/>
      </c>
      <c r="D163" s="240">
        <f>IF($B163="","",ROUND(SUMIF(Торговля!$E$5:$E$300,$B163&amp;"/*",Торговля!$I$5:$I$300)+SUMIF(Торговля!$E$5:$E$300,"*/"&amp;$B163,Торговля!$H$5:$H$300)+SUMIF(Лэндинг!$E$5:$E$300,$B163&amp;"/*",Лэндинг!$I$5:$I$300)+SUMIF(Лэндинг!$E$5:$E$300,"*/"&amp;$B163,Лэндинг!$H$5:$H$300)+SUMIF(Закрытые!$E$5:$E$300,$B163&amp;"/*",Закрытые!$I$5:$I$300)+SUMIF(Закрытые!$E$5:$E$300,"*/"&amp;$B163,Закрытые!$H$5:$H$300)+SUMIF(История!$B$5:$B$300,$B163&amp;"/*",История!$F$5:$F$300)+SUMIF(История!$B$5:$B$300,"*/"&amp;$B163,История!$E$5:$E$300),8))</f>
        <v/>
      </c>
      <c r="E163" s="339">
        <f>IF($B163="","",ROUND(C163-D163,8))</f>
        <v/>
      </c>
    </row>
    <row r="164" ht="22" customHeight="1">
      <c r="B164" s="320" t="n"/>
      <c r="C164" s="240">
        <f>IF($B164="","",ROUND(SUMIF(Торговля!$E$5:$E$300,$B164&amp;"/*",Торговля!$F$5:$F$300)+SUMIF(Торговля!$E$5:$E$300,"*/"&amp;$B164,Торговля!$K$5:$K$300)+SUMIF(Лэндинг!$E$5:$E$300,$B164&amp;"/*",Лэндинг!$F$5:$F$300)+SUMIF(Лэндинг!$E$5:$E$300,"*/"&amp;$B164,Лэндинг!$K$5:$K$300)+SUMIF(Закрытые!$E$5:$E$300,$B164&amp;"/*",Закрытые!$F$5:$F$300)+SUMIF(Закрытые!$E$5:$E$300,"*/"&amp;$B164,Закрытые!$K$5:$K$300)+SUMIF(История!$B$5:$B$300,$B164&amp;"/*",История!$C$5:$C$300)+SUMIF(История!$B$5:$B$300,"*/"&amp;$B164,История!$H$5:$H$300),8))</f>
        <v/>
      </c>
      <c r="D164" s="240">
        <f>IF($B164="","",ROUND(SUMIF(Торговля!$E$5:$E$300,$B164&amp;"/*",Торговля!$I$5:$I$300)+SUMIF(Торговля!$E$5:$E$300,"*/"&amp;$B164,Торговля!$H$5:$H$300)+SUMIF(Лэндинг!$E$5:$E$300,$B164&amp;"/*",Лэндинг!$I$5:$I$300)+SUMIF(Лэндинг!$E$5:$E$300,"*/"&amp;$B164,Лэндинг!$H$5:$H$300)+SUMIF(Закрытые!$E$5:$E$300,$B164&amp;"/*",Закрытые!$I$5:$I$300)+SUMIF(Закрытые!$E$5:$E$300,"*/"&amp;$B164,Закрытые!$H$5:$H$300)+SUMIF(История!$B$5:$B$300,$B164&amp;"/*",История!$F$5:$F$300)+SUMIF(История!$B$5:$B$300,"*/"&amp;$B164,История!$E$5:$E$300),8))</f>
        <v/>
      </c>
      <c r="E164" s="339">
        <f>IF($B164="","",ROUND(C164-D164,8))</f>
        <v/>
      </c>
    </row>
    <row r="165" ht="22" customHeight="1">
      <c r="B165" s="315" t="n"/>
      <c r="C165" s="240">
        <f>IF($B165="","",ROUND(SUMIF(Торговля!$E$5:$E$300,$B165&amp;"/*",Торговля!$F$5:$F$300)+SUMIF(Торговля!$E$5:$E$300,"*/"&amp;$B165,Торговля!$K$5:$K$300)+SUMIF(Лэндинг!$E$5:$E$300,$B165&amp;"/*",Лэндинг!$F$5:$F$300)+SUMIF(Лэндинг!$E$5:$E$300,"*/"&amp;$B165,Лэндинг!$K$5:$K$300)+SUMIF(Закрытые!$E$5:$E$300,$B165&amp;"/*",Закрытые!$F$5:$F$300)+SUMIF(Закрытые!$E$5:$E$300,"*/"&amp;$B165,Закрытые!$K$5:$K$300)+SUMIF(История!$B$5:$B$300,$B165&amp;"/*",История!$C$5:$C$300)+SUMIF(История!$B$5:$B$300,"*/"&amp;$B165,История!$H$5:$H$300),8))</f>
        <v/>
      </c>
      <c r="D165" s="240">
        <f>IF($B165="","",ROUND(SUMIF(Торговля!$E$5:$E$300,$B165&amp;"/*",Торговля!$I$5:$I$300)+SUMIF(Торговля!$E$5:$E$300,"*/"&amp;$B165,Торговля!$H$5:$H$300)+SUMIF(Лэндинг!$E$5:$E$300,$B165&amp;"/*",Лэндинг!$I$5:$I$300)+SUMIF(Лэндинг!$E$5:$E$300,"*/"&amp;$B165,Лэндинг!$H$5:$H$300)+SUMIF(Закрытые!$E$5:$E$300,$B165&amp;"/*",Закрытые!$I$5:$I$300)+SUMIF(Закрытые!$E$5:$E$300,"*/"&amp;$B165,Закрытые!$H$5:$H$300)+SUMIF(История!$B$5:$B$300,$B165&amp;"/*",История!$F$5:$F$300)+SUMIF(История!$B$5:$B$300,"*/"&amp;$B165,История!$E$5:$E$300),8))</f>
        <v/>
      </c>
      <c r="E165" s="339">
        <f>IF($B165="","",ROUND(C165-D165,8))</f>
        <v/>
      </c>
    </row>
    <row r="166" ht="22" customHeight="1">
      <c r="B166" s="320" t="n"/>
      <c r="C166" s="240">
        <f>IF($B166="","",ROUND(SUMIF(Торговля!$E$5:$E$300,$B166&amp;"/*",Торговля!$F$5:$F$300)+SUMIF(Торговля!$E$5:$E$300,"*/"&amp;$B166,Торговля!$K$5:$K$300)+SUMIF(Лэндинг!$E$5:$E$300,$B166&amp;"/*",Лэндинг!$F$5:$F$300)+SUMIF(Лэндинг!$E$5:$E$300,"*/"&amp;$B166,Лэндинг!$K$5:$K$300)+SUMIF(Закрытые!$E$5:$E$300,$B166&amp;"/*",Закрытые!$F$5:$F$300)+SUMIF(Закрытые!$E$5:$E$300,"*/"&amp;$B166,Закрытые!$K$5:$K$300)+SUMIF(История!$B$5:$B$300,$B166&amp;"/*",История!$C$5:$C$300)+SUMIF(История!$B$5:$B$300,"*/"&amp;$B166,История!$H$5:$H$300),8))</f>
        <v/>
      </c>
      <c r="D166" s="240">
        <f>IF($B166="","",ROUND(SUMIF(Торговля!$E$5:$E$300,$B166&amp;"/*",Торговля!$I$5:$I$300)+SUMIF(Торговля!$E$5:$E$300,"*/"&amp;$B166,Торговля!$H$5:$H$300)+SUMIF(Лэндинг!$E$5:$E$300,$B166&amp;"/*",Лэндинг!$I$5:$I$300)+SUMIF(Лэндинг!$E$5:$E$300,"*/"&amp;$B166,Лэндинг!$H$5:$H$300)+SUMIF(Закрытые!$E$5:$E$300,$B166&amp;"/*",Закрытые!$I$5:$I$300)+SUMIF(Закрытые!$E$5:$E$300,"*/"&amp;$B166,Закрытые!$H$5:$H$300)+SUMIF(История!$B$5:$B$300,$B166&amp;"/*",История!$F$5:$F$300)+SUMIF(История!$B$5:$B$300,"*/"&amp;$B166,История!$E$5:$E$300),8))</f>
        <v/>
      </c>
      <c r="E166" s="339">
        <f>IF($B166="","",ROUND(C166-D166,8))</f>
        <v/>
      </c>
    </row>
    <row r="167" ht="22" customHeight="1">
      <c r="B167" s="315" t="n"/>
      <c r="C167" s="240">
        <f>IF($B167="","",ROUND(SUMIF(Торговля!$E$5:$E$300,$B167&amp;"/*",Торговля!$F$5:$F$300)+SUMIF(Торговля!$E$5:$E$300,"*/"&amp;$B167,Торговля!$K$5:$K$300)+SUMIF(Лэндинг!$E$5:$E$300,$B167&amp;"/*",Лэндинг!$F$5:$F$300)+SUMIF(Лэндинг!$E$5:$E$300,"*/"&amp;$B167,Лэндинг!$K$5:$K$300)+SUMIF(Закрытые!$E$5:$E$300,$B167&amp;"/*",Закрытые!$F$5:$F$300)+SUMIF(Закрытые!$E$5:$E$300,"*/"&amp;$B167,Закрытые!$K$5:$K$300)+SUMIF(История!$B$5:$B$300,$B167&amp;"/*",История!$C$5:$C$300)+SUMIF(История!$B$5:$B$300,"*/"&amp;$B167,История!$H$5:$H$300),8))</f>
        <v/>
      </c>
      <c r="D167" s="240">
        <f>IF($B167="","",ROUND(SUMIF(Торговля!$E$5:$E$300,$B167&amp;"/*",Торговля!$I$5:$I$300)+SUMIF(Торговля!$E$5:$E$300,"*/"&amp;$B167,Торговля!$H$5:$H$300)+SUMIF(Лэндинг!$E$5:$E$300,$B167&amp;"/*",Лэндинг!$I$5:$I$300)+SUMIF(Лэндинг!$E$5:$E$300,"*/"&amp;$B167,Лэндинг!$H$5:$H$300)+SUMIF(Закрытые!$E$5:$E$300,$B167&amp;"/*",Закрытые!$I$5:$I$300)+SUMIF(Закрытые!$E$5:$E$300,"*/"&amp;$B167,Закрытые!$H$5:$H$300)+SUMIF(История!$B$5:$B$300,$B167&amp;"/*",История!$F$5:$F$300)+SUMIF(История!$B$5:$B$300,"*/"&amp;$B167,История!$E$5:$E$300),8))</f>
        <v/>
      </c>
      <c r="E167" s="339">
        <f>IF($B167="","",ROUND(C167-D167,8))</f>
        <v/>
      </c>
    </row>
    <row r="168" ht="22" customHeight="1">
      <c r="B168" s="320" t="n"/>
      <c r="C168" s="240">
        <f>IF($B168="","",ROUND(SUMIF(Торговля!$E$5:$E$300,$B168&amp;"/*",Торговля!$F$5:$F$300)+SUMIF(Торговля!$E$5:$E$300,"*/"&amp;$B168,Торговля!$K$5:$K$300)+SUMIF(Лэндинг!$E$5:$E$300,$B168&amp;"/*",Лэндинг!$F$5:$F$300)+SUMIF(Лэндинг!$E$5:$E$300,"*/"&amp;$B168,Лэндинг!$K$5:$K$300)+SUMIF(Закрытые!$E$5:$E$300,$B168&amp;"/*",Закрытые!$F$5:$F$300)+SUMIF(Закрытые!$E$5:$E$300,"*/"&amp;$B168,Закрытые!$K$5:$K$300)+SUMIF(История!$B$5:$B$300,$B168&amp;"/*",История!$C$5:$C$300)+SUMIF(История!$B$5:$B$300,"*/"&amp;$B168,История!$H$5:$H$300),8))</f>
        <v/>
      </c>
      <c r="D168" s="240">
        <f>IF($B168="","",ROUND(SUMIF(Торговля!$E$5:$E$300,$B168&amp;"/*",Торговля!$I$5:$I$300)+SUMIF(Торговля!$E$5:$E$300,"*/"&amp;$B168,Торговля!$H$5:$H$300)+SUMIF(Лэндинг!$E$5:$E$300,$B168&amp;"/*",Лэндинг!$I$5:$I$300)+SUMIF(Лэндинг!$E$5:$E$300,"*/"&amp;$B168,Лэндинг!$H$5:$H$300)+SUMIF(Закрытые!$E$5:$E$300,$B168&amp;"/*",Закрытые!$I$5:$I$300)+SUMIF(Закрытые!$E$5:$E$300,"*/"&amp;$B168,Закрытые!$H$5:$H$300)+SUMIF(История!$B$5:$B$300,$B168&amp;"/*",История!$F$5:$F$300)+SUMIF(История!$B$5:$B$300,"*/"&amp;$B168,История!$E$5:$E$300),8))</f>
        <v/>
      </c>
      <c r="E168" s="339">
        <f>IF($B168="","",ROUND(C168-D168,8))</f>
        <v/>
      </c>
    </row>
    <row r="169" ht="22" customHeight="1">
      <c r="B169" s="315" t="n"/>
      <c r="C169" s="240">
        <f>IF($B169="","",ROUND(SUMIF(Торговля!$E$5:$E$300,$B169&amp;"/*",Торговля!$F$5:$F$300)+SUMIF(Торговля!$E$5:$E$300,"*/"&amp;$B169,Торговля!$K$5:$K$300)+SUMIF(Лэндинг!$E$5:$E$300,$B169&amp;"/*",Лэндинг!$F$5:$F$300)+SUMIF(Лэндинг!$E$5:$E$300,"*/"&amp;$B169,Лэндинг!$K$5:$K$300)+SUMIF(Закрытые!$E$5:$E$300,$B169&amp;"/*",Закрытые!$F$5:$F$300)+SUMIF(Закрытые!$E$5:$E$300,"*/"&amp;$B169,Закрытые!$K$5:$K$300)+SUMIF(История!$B$5:$B$300,$B169&amp;"/*",История!$C$5:$C$300)+SUMIF(История!$B$5:$B$300,"*/"&amp;$B169,История!$H$5:$H$300),8))</f>
        <v/>
      </c>
      <c r="D169" s="240">
        <f>IF($B169="","",ROUND(SUMIF(Торговля!$E$5:$E$300,$B169&amp;"/*",Торговля!$I$5:$I$300)+SUMIF(Торговля!$E$5:$E$300,"*/"&amp;$B169,Торговля!$H$5:$H$300)+SUMIF(Лэндинг!$E$5:$E$300,$B169&amp;"/*",Лэндинг!$I$5:$I$300)+SUMIF(Лэндинг!$E$5:$E$300,"*/"&amp;$B169,Лэндинг!$H$5:$H$300)+SUMIF(Закрытые!$E$5:$E$300,$B169&amp;"/*",Закрытые!$I$5:$I$300)+SUMIF(Закрытые!$E$5:$E$300,"*/"&amp;$B169,Закрытые!$H$5:$H$300)+SUMIF(История!$B$5:$B$300,$B169&amp;"/*",История!$F$5:$F$300)+SUMIF(История!$B$5:$B$300,"*/"&amp;$B169,История!$E$5:$E$300),8))</f>
        <v/>
      </c>
      <c r="E169" s="339">
        <f>IF($B169="","",ROUND(C169-D169,8))</f>
        <v/>
      </c>
    </row>
    <row r="170" ht="22" customHeight="1">
      <c r="B170" s="320" t="n"/>
      <c r="C170" s="240">
        <f>IF($B170="","",ROUND(SUMIF(Торговля!$E$5:$E$300,$B170&amp;"/*",Торговля!$F$5:$F$300)+SUMIF(Торговля!$E$5:$E$300,"*/"&amp;$B170,Торговля!$K$5:$K$300)+SUMIF(Лэндинг!$E$5:$E$300,$B170&amp;"/*",Лэндинг!$F$5:$F$300)+SUMIF(Лэндинг!$E$5:$E$300,"*/"&amp;$B170,Лэндинг!$K$5:$K$300)+SUMIF(Закрытые!$E$5:$E$300,$B170&amp;"/*",Закрытые!$F$5:$F$300)+SUMIF(Закрытые!$E$5:$E$300,"*/"&amp;$B170,Закрытые!$K$5:$K$300)+SUMIF(История!$B$5:$B$300,$B170&amp;"/*",История!$C$5:$C$300)+SUMIF(История!$B$5:$B$300,"*/"&amp;$B170,История!$H$5:$H$300),8))</f>
        <v/>
      </c>
      <c r="D170" s="240">
        <f>IF($B170="","",ROUND(SUMIF(Торговля!$E$5:$E$300,$B170&amp;"/*",Торговля!$I$5:$I$300)+SUMIF(Торговля!$E$5:$E$300,"*/"&amp;$B170,Торговля!$H$5:$H$300)+SUMIF(Лэндинг!$E$5:$E$300,$B170&amp;"/*",Лэндинг!$I$5:$I$300)+SUMIF(Лэндинг!$E$5:$E$300,"*/"&amp;$B170,Лэндинг!$H$5:$H$300)+SUMIF(Закрытые!$E$5:$E$300,$B170&amp;"/*",Закрытые!$I$5:$I$300)+SUMIF(Закрытые!$E$5:$E$300,"*/"&amp;$B170,Закрытые!$H$5:$H$300)+SUMIF(История!$B$5:$B$300,$B170&amp;"/*",История!$F$5:$F$300)+SUMIF(История!$B$5:$B$300,"*/"&amp;$B170,История!$E$5:$E$300),8))</f>
        <v/>
      </c>
      <c r="E170" s="339">
        <f>IF($B170="","",ROUND(C170-D170,8))</f>
        <v/>
      </c>
    </row>
    <row r="171" ht="22" customHeight="1">
      <c r="B171" s="315" t="n"/>
      <c r="C171" s="240">
        <f>IF($B171="","",ROUND(SUMIF(Торговля!$E$5:$E$300,$B171&amp;"/*",Торговля!$F$5:$F$300)+SUMIF(Торговля!$E$5:$E$300,"*/"&amp;$B171,Торговля!$K$5:$K$300)+SUMIF(Лэндинг!$E$5:$E$300,$B171&amp;"/*",Лэндинг!$F$5:$F$300)+SUMIF(Лэндинг!$E$5:$E$300,"*/"&amp;$B171,Лэндинг!$K$5:$K$300)+SUMIF(Закрытые!$E$5:$E$300,$B171&amp;"/*",Закрытые!$F$5:$F$300)+SUMIF(Закрытые!$E$5:$E$300,"*/"&amp;$B171,Закрытые!$K$5:$K$300)+SUMIF(История!$B$5:$B$300,$B171&amp;"/*",История!$C$5:$C$300)+SUMIF(История!$B$5:$B$300,"*/"&amp;$B171,История!$H$5:$H$300),8))</f>
        <v/>
      </c>
      <c r="D171" s="240">
        <f>IF($B171="","",ROUND(SUMIF(Торговля!$E$5:$E$300,$B171&amp;"/*",Торговля!$I$5:$I$300)+SUMIF(Торговля!$E$5:$E$300,"*/"&amp;$B171,Торговля!$H$5:$H$300)+SUMIF(Лэндинг!$E$5:$E$300,$B171&amp;"/*",Лэндинг!$I$5:$I$300)+SUMIF(Лэндинг!$E$5:$E$300,"*/"&amp;$B171,Лэндинг!$H$5:$H$300)+SUMIF(Закрытые!$E$5:$E$300,$B171&amp;"/*",Закрытые!$I$5:$I$300)+SUMIF(Закрытые!$E$5:$E$300,"*/"&amp;$B171,Закрытые!$H$5:$H$300)+SUMIF(История!$B$5:$B$300,$B171&amp;"/*",История!$F$5:$F$300)+SUMIF(История!$B$5:$B$300,"*/"&amp;$B171,История!$E$5:$E$300),8))</f>
        <v/>
      </c>
      <c r="E171" s="339">
        <f>IF($B171="","",ROUND(C171-D171,8))</f>
        <v/>
      </c>
    </row>
    <row r="172" ht="22" customHeight="1">
      <c r="B172" s="320" t="n"/>
      <c r="C172" s="240">
        <f>IF($B172="","",ROUND(SUMIF(Торговля!$E$5:$E$300,$B172&amp;"/*",Торговля!$F$5:$F$300)+SUMIF(Торговля!$E$5:$E$300,"*/"&amp;$B172,Торговля!$K$5:$K$300)+SUMIF(Лэндинг!$E$5:$E$300,$B172&amp;"/*",Лэндинг!$F$5:$F$300)+SUMIF(Лэндинг!$E$5:$E$300,"*/"&amp;$B172,Лэндинг!$K$5:$K$300)+SUMIF(Закрытые!$E$5:$E$300,$B172&amp;"/*",Закрытые!$F$5:$F$300)+SUMIF(Закрытые!$E$5:$E$300,"*/"&amp;$B172,Закрытые!$K$5:$K$300)+SUMIF(История!$B$5:$B$300,$B172&amp;"/*",История!$C$5:$C$300)+SUMIF(История!$B$5:$B$300,"*/"&amp;$B172,История!$H$5:$H$300),8))</f>
        <v/>
      </c>
      <c r="D172" s="240">
        <f>IF($B172="","",ROUND(SUMIF(Торговля!$E$5:$E$300,$B172&amp;"/*",Торговля!$I$5:$I$300)+SUMIF(Торговля!$E$5:$E$300,"*/"&amp;$B172,Торговля!$H$5:$H$300)+SUMIF(Лэндинг!$E$5:$E$300,$B172&amp;"/*",Лэндинг!$I$5:$I$300)+SUMIF(Лэндинг!$E$5:$E$300,"*/"&amp;$B172,Лэндинг!$H$5:$H$300)+SUMIF(Закрытые!$E$5:$E$300,$B172&amp;"/*",Закрытые!$I$5:$I$300)+SUMIF(Закрытые!$E$5:$E$300,"*/"&amp;$B172,Закрытые!$H$5:$H$300)+SUMIF(История!$B$5:$B$300,$B172&amp;"/*",История!$F$5:$F$300)+SUMIF(История!$B$5:$B$300,"*/"&amp;$B172,История!$E$5:$E$300),8))</f>
        <v/>
      </c>
      <c r="E172" s="339">
        <f>IF($B172="","",ROUND(C172-D172,8))</f>
        <v/>
      </c>
    </row>
    <row r="173" ht="22" customHeight="1">
      <c r="B173" s="315" t="n"/>
      <c r="C173" s="240">
        <f>IF($B173="","",ROUND(SUMIF(Торговля!$E$5:$E$300,$B173&amp;"/*",Торговля!$F$5:$F$300)+SUMIF(Торговля!$E$5:$E$300,"*/"&amp;$B173,Торговля!$K$5:$K$300)+SUMIF(Лэндинг!$E$5:$E$300,$B173&amp;"/*",Лэндинг!$F$5:$F$300)+SUMIF(Лэндинг!$E$5:$E$300,"*/"&amp;$B173,Лэндинг!$K$5:$K$300)+SUMIF(Закрытые!$E$5:$E$300,$B173&amp;"/*",Закрытые!$F$5:$F$300)+SUMIF(Закрытые!$E$5:$E$300,"*/"&amp;$B173,Закрытые!$K$5:$K$300)+SUMIF(История!$B$5:$B$300,$B173&amp;"/*",История!$C$5:$C$300)+SUMIF(История!$B$5:$B$300,"*/"&amp;$B173,История!$H$5:$H$300),8))</f>
        <v/>
      </c>
      <c r="D173" s="240">
        <f>IF($B173="","",ROUND(SUMIF(Торговля!$E$5:$E$300,$B173&amp;"/*",Торговля!$I$5:$I$300)+SUMIF(Торговля!$E$5:$E$300,"*/"&amp;$B173,Торговля!$H$5:$H$300)+SUMIF(Лэндинг!$E$5:$E$300,$B173&amp;"/*",Лэндинг!$I$5:$I$300)+SUMIF(Лэндинг!$E$5:$E$300,"*/"&amp;$B173,Лэндинг!$H$5:$H$300)+SUMIF(Закрытые!$E$5:$E$300,$B173&amp;"/*",Закрытые!$I$5:$I$300)+SUMIF(Закрытые!$E$5:$E$300,"*/"&amp;$B173,Закрытые!$H$5:$H$300)+SUMIF(История!$B$5:$B$300,$B173&amp;"/*",История!$F$5:$F$300)+SUMIF(История!$B$5:$B$300,"*/"&amp;$B173,История!$E$5:$E$300),8))</f>
        <v/>
      </c>
      <c r="E173" s="339">
        <f>IF($B173="","",ROUND(C173-D173,8))</f>
        <v/>
      </c>
    </row>
    <row r="174" ht="22" customHeight="1">
      <c r="B174" s="320" t="n"/>
      <c r="C174" s="240">
        <f>IF($B174="","",ROUND(SUMIF(Торговля!$E$5:$E$300,$B174&amp;"/*",Торговля!$F$5:$F$300)+SUMIF(Торговля!$E$5:$E$300,"*/"&amp;$B174,Торговля!$K$5:$K$300)+SUMIF(Лэндинг!$E$5:$E$300,$B174&amp;"/*",Лэндинг!$F$5:$F$300)+SUMIF(Лэндинг!$E$5:$E$300,"*/"&amp;$B174,Лэндинг!$K$5:$K$300)+SUMIF(Закрытые!$E$5:$E$300,$B174&amp;"/*",Закрытые!$F$5:$F$300)+SUMIF(Закрытые!$E$5:$E$300,"*/"&amp;$B174,Закрытые!$K$5:$K$300)+SUMIF(История!$B$5:$B$300,$B174&amp;"/*",История!$C$5:$C$300)+SUMIF(История!$B$5:$B$300,"*/"&amp;$B174,История!$H$5:$H$300),8))</f>
        <v/>
      </c>
      <c r="D174" s="240">
        <f>IF($B174="","",ROUND(SUMIF(Торговля!$E$5:$E$300,$B174&amp;"/*",Торговля!$I$5:$I$300)+SUMIF(Торговля!$E$5:$E$300,"*/"&amp;$B174,Торговля!$H$5:$H$300)+SUMIF(Лэндинг!$E$5:$E$300,$B174&amp;"/*",Лэндинг!$I$5:$I$300)+SUMIF(Лэндинг!$E$5:$E$300,"*/"&amp;$B174,Лэндинг!$H$5:$H$300)+SUMIF(Закрытые!$E$5:$E$300,$B174&amp;"/*",Закрытые!$I$5:$I$300)+SUMIF(Закрытые!$E$5:$E$300,"*/"&amp;$B174,Закрытые!$H$5:$H$300)+SUMIF(История!$B$5:$B$300,$B174&amp;"/*",История!$F$5:$F$300)+SUMIF(История!$B$5:$B$300,"*/"&amp;$B174,История!$E$5:$E$300),8))</f>
        <v/>
      </c>
      <c r="E174" s="339">
        <f>IF($B174="","",ROUND(C174-D174,8))</f>
        <v/>
      </c>
    </row>
    <row r="175" ht="22" customHeight="1">
      <c r="B175" s="315" t="n"/>
      <c r="C175" s="240">
        <f>IF($B175="","",ROUND(SUMIF(Торговля!$E$5:$E$300,$B175&amp;"/*",Торговля!$F$5:$F$300)+SUMIF(Торговля!$E$5:$E$300,"*/"&amp;$B175,Торговля!$K$5:$K$300)+SUMIF(Лэндинг!$E$5:$E$300,$B175&amp;"/*",Лэндинг!$F$5:$F$300)+SUMIF(Лэндинг!$E$5:$E$300,"*/"&amp;$B175,Лэндинг!$K$5:$K$300)+SUMIF(Закрытые!$E$5:$E$300,$B175&amp;"/*",Закрытые!$F$5:$F$300)+SUMIF(Закрытые!$E$5:$E$300,"*/"&amp;$B175,Закрытые!$K$5:$K$300)+SUMIF(История!$B$5:$B$300,$B175&amp;"/*",История!$C$5:$C$300)+SUMIF(История!$B$5:$B$300,"*/"&amp;$B175,История!$H$5:$H$300),8))</f>
        <v/>
      </c>
      <c r="D175" s="240">
        <f>IF($B175="","",ROUND(SUMIF(Торговля!$E$5:$E$300,$B175&amp;"/*",Торговля!$I$5:$I$300)+SUMIF(Торговля!$E$5:$E$300,"*/"&amp;$B175,Торговля!$H$5:$H$300)+SUMIF(Лэндинг!$E$5:$E$300,$B175&amp;"/*",Лэндинг!$I$5:$I$300)+SUMIF(Лэндинг!$E$5:$E$300,"*/"&amp;$B175,Лэндинг!$H$5:$H$300)+SUMIF(Закрытые!$E$5:$E$300,$B175&amp;"/*",Закрытые!$I$5:$I$300)+SUMIF(Закрытые!$E$5:$E$300,"*/"&amp;$B175,Закрытые!$H$5:$H$300)+SUMIF(История!$B$5:$B$300,$B175&amp;"/*",История!$F$5:$F$300)+SUMIF(История!$B$5:$B$300,"*/"&amp;$B175,История!$E$5:$E$300),8))</f>
        <v/>
      </c>
      <c r="E175" s="339">
        <f>IF($B175="","",ROUND(C175-D175,8))</f>
        <v/>
      </c>
    </row>
    <row r="176" ht="22" customHeight="1">
      <c r="B176" s="320" t="n"/>
      <c r="C176" s="240">
        <f>IF($B176="","",ROUND(SUMIF(Торговля!$E$5:$E$300,$B176&amp;"/*",Торговля!$F$5:$F$300)+SUMIF(Торговля!$E$5:$E$300,"*/"&amp;$B176,Торговля!$K$5:$K$300)+SUMIF(Лэндинг!$E$5:$E$300,$B176&amp;"/*",Лэндинг!$F$5:$F$300)+SUMIF(Лэндинг!$E$5:$E$300,"*/"&amp;$B176,Лэндинг!$K$5:$K$300)+SUMIF(Закрытые!$E$5:$E$300,$B176&amp;"/*",Закрытые!$F$5:$F$300)+SUMIF(Закрытые!$E$5:$E$300,"*/"&amp;$B176,Закрытые!$K$5:$K$300)+SUMIF(История!$B$5:$B$300,$B176&amp;"/*",История!$C$5:$C$300)+SUMIF(История!$B$5:$B$300,"*/"&amp;$B176,История!$H$5:$H$300),8))</f>
        <v/>
      </c>
      <c r="D176" s="240">
        <f>IF($B176="","",ROUND(SUMIF(Торговля!$E$5:$E$300,$B176&amp;"/*",Торговля!$I$5:$I$300)+SUMIF(Торговля!$E$5:$E$300,"*/"&amp;$B176,Торговля!$H$5:$H$300)+SUMIF(Лэндинг!$E$5:$E$300,$B176&amp;"/*",Лэндинг!$I$5:$I$300)+SUMIF(Лэндинг!$E$5:$E$300,"*/"&amp;$B176,Лэндинг!$H$5:$H$300)+SUMIF(Закрытые!$E$5:$E$300,$B176&amp;"/*",Закрытые!$I$5:$I$300)+SUMIF(Закрытые!$E$5:$E$300,"*/"&amp;$B176,Закрытые!$H$5:$H$300)+SUMIF(История!$B$5:$B$300,$B176&amp;"/*",История!$F$5:$F$300)+SUMIF(История!$B$5:$B$300,"*/"&amp;$B176,История!$E$5:$E$300),8))</f>
        <v/>
      </c>
      <c r="E176" s="339">
        <f>IF($B176="","",ROUND(C176-D176,8))</f>
        <v/>
      </c>
    </row>
    <row r="177" ht="22" customHeight="1">
      <c r="B177" s="315" t="n"/>
      <c r="C177" s="240">
        <f>IF($B177="","",ROUND(SUMIF(Торговля!$E$5:$E$300,$B177&amp;"/*",Торговля!$F$5:$F$300)+SUMIF(Торговля!$E$5:$E$300,"*/"&amp;$B177,Торговля!$K$5:$K$300)+SUMIF(Лэндинг!$E$5:$E$300,$B177&amp;"/*",Лэндинг!$F$5:$F$300)+SUMIF(Лэндинг!$E$5:$E$300,"*/"&amp;$B177,Лэндинг!$K$5:$K$300)+SUMIF(Закрытые!$E$5:$E$300,$B177&amp;"/*",Закрытые!$F$5:$F$300)+SUMIF(Закрытые!$E$5:$E$300,"*/"&amp;$B177,Закрытые!$K$5:$K$300)+SUMIF(История!$B$5:$B$300,$B177&amp;"/*",История!$C$5:$C$300)+SUMIF(История!$B$5:$B$300,"*/"&amp;$B177,История!$H$5:$H$300),8))</f>
        <v/>
      </c>
      <c r="D177" s="240">
        <f>IF($B177="","",ROUND(SUMIF(Торговля!$E$5:$E$300,$B177&amp;"/*",Торговля!$I$5:$I$300)+SUMIF(Торговля!$E$5:$E$300,"*/"&amp;$B177,Торговля!$H$5:$H$300)+SUMIF(Лэндинг!$E$5:$E$300,$B177&amp;"/*",Лэндинг!$I$5:$I$300)+SUMIF(Лэндинг!$E$5:$E$300,"*/"&amp;$B177,Лэндинг!$H$5:$H$300)+SUMIF(Закрытые!$E$5:$E$300,$B177&amp;"/*",Закрытые!$I$5:$I$300)+SUMIF(Закрытые!$E$5:$E$300,"*/"&amp;$B177,Закрытые!$H$5:$H$300)+SUMIF(История!$B$5:$B$300,$B177&amp;"/*",История!$F$5:$F$300)+SUMIF(История!$B$5:$B$300,"*/"&amp;$B177,История!$E$5:$E$300),8))</f>
        <v/>
      </c>
      <c r="E177" s="339">
        <f>IF($B177="","",ROUND(C177-D177,8))</f>
        <v/>
      </c>
    </row>
    <row r="178" ht="22" customHeight="1">
      <c r="B178" s="320" t="n"/>
      <c r="C178" s="240">
        <f>IF($B178="","",ROUND(SUMIF(Торговля!$E$5:$E$300,$B178&amp;"/*",Торговля!$F$5:$F$300)+SUMIF(Торговля!$E$5:$E$300,"*/"&amp;$B178,Торговля!$K$5:$K$300)+SUMIF(Лэндинг!$E$5:$E$300,$B178&amp;"/*",Лэндинг!$F$5:$F$300)+SUMIF(Лэндинг!$E$5:$E$300,"*/"&amp;$B178,Лэндинг!$K$5:$K$300)+SUMIF(Закрытые!$E$5:$E$300,$B178&amp;"/*",Закрытые!$F$5:$F$300)+SUMIF(Закрытые!$E$5:$E$300,"*/"&amp;$B178,Закрытые!$K$5:$K$300)+SUMIF(История!$B$5:$B$300,$B178&amp;"/*",История!$C$5:$C$300)+SUMIF(История!$B$5:$B$300,"*/"&amp;$B178,История!$H$5:$H$300),8))</f>
        <v/>
      </c>
      <c r="D178" s="240">
        <f>IF($B178="","",ROUND(SUMIF(Торговля!$E$5:$E$300,$B178&amp;"/*",Торговля!$I$5:$I$300)+SUMIF(Торговля!$E$5:$E$300,"*/"&amp;$B178,Торговля!$H$5:$H$300)+SUMIF(Лэндинг!$E$5:$E$300,$B178&amp;"/*",Лэндинг!$I$5:$I$300)+SUMIF(Лэндинг!$E$5:$E$300,"*/"&amp;$B178,Лэндинг!$H$5:$H$300)+SUMIF(Закрытые!$E$5:$E$300,$B178&amp;"/*",Закрытые!$I$5:$I$300)+SUMIF(Закрытые!$E$5:$E$300,"*/"&amp;$B178,Закрытые!$H$5:$H$300)+SUMIF(История!$B$5:$B$300,$B178&amp;"/*",История!$F$5:$F$300)+SUMIF(История!$B$5:$B$300,"*/"&amp;$B178,История!$E$5:$E$300),8))</f>
        <v/>
      </c>
      <c r="E178" s="339">
        <f>IF($B178="","",ROUND(C178-D178,8))</f>
        <v/>
      </c>
    </row>
    <row r="179" ht="22" customHeight="1">
      <c r="B179" s="315" t="n"/>
      <c r="C179" s="240">
        <f>IF($B179="","",ROUND(SUMIF(Торговля!$E$5:$E$300,$B179&amp;"/*",Торговля!$F$5:$F$300)+SUMIF(Торговля!$E$5:$E$300,"*/"&amp;$B179,Торговля!$K$5:$K$300)+SUMIF(Лэндинг!$E$5:$E$300,$B179&amp;"/*",Лэндинг!$F$5:$F$300)+SUMIF(Лэндинг!$E$5:$E$300,"*/"&amp;$B179,Лэндинг!$K$5:$K$300)+SUMIF(Закрытые!$E$5:$E$300,$B179&amp;"/*",Закрытые!$F$5:$F$300)+SUMIF(Закрытые!$E$5:$E$300,"*/"&amp;$B179,Закрытые!$K$5:$K$300)+SUMIF(История!$B$5:$B$300,$B179&amp;"/*",История!$C$5:$C$300)+SUMIF(История!$B$5:$B$300,"*/"&amp;$B179,История!$H$5:$H$300),8))</f>
        <v/>
      </c>
      <c r="D179" s="240">
        <f>IF($B179="","",ROUND(SUMIF(Торговля!$E$5:$E$300,$B179&amp;"/*",Торговля!$I$5:$I$300)+SUMIF(Торговля!$E$5:$E$300,"*/"&amp;$B179,Торговля!$H$5:$H$300)+SUMIF(Лэндинг!$E$5:$E$300,$B179&amp;"/*",Лэндинг!$I$5:$I$300)+SUMIF(Лэндинг!$E$5:$E$300,"*/"&amp;$B179,Лэндинг!$H$5:$H$300)+SUMIF(Закрытые!$E$5:$E$300,$B179&amp;"/*",Закрытые!$I$5:$I$300)+SUMIF(Закрытые!$E$5:$E$300,"*/"&amp;$B179,Закрытые!$H$5:$H$300)+SUMIF(История!$B$5:$B$300,$B179&amp;"/*",История!$F$5:$F$300)+SUMIF(История!$B$5:$B$300,"*/"&amp;$B179,История!$E$5:$E$300),8))</f>
        <v/>
      </c>
      <c r="E179" s="339">
        <f>IF($B179="","",ROUND(C179-D179,8))</f>
        <v/>
      </c>
    </row>
    <row r="180" ht="22" customHeight="1">
      <c r="B180" s="320" t="n"/>
      <c r="C180" s="240">
        <f>IF($B180="","",ROUND(SUMIF(Торговля!$E$5:$E$300,$B180&amp;"/*",Торговля!$F$5:$F$300)+SUMIF(Торговля!$E$5:$E$300,"*/"&amp;$B180,Торговля!$K$5:$K$300)+SUMIF(Лэндинг!$E$5:$E$300,$B180&amp;"/*",Лэндинг!$F$5:$F$300)+SUMIF(Лэндинг!$E$5:$E$300,"*/"&amp;$B180,Лэндинг!$K$5:$K$300)+SUMIF(Закрытые!$E$5:$E$300,$B180&amp;"/*",Закрытые!$F$5:$F$300)+SUMIF(Закрытые!$E$5:$E$300,"*/"&amp;$B180,Закрытые!$K$5:$K$300)+SUMIF(История!$B$5:$B$300,$B180&amp;"/*",История!$C$5:$C$300)+SUMIF(История!$B$5:$B$300,"*/"&amp;$B180,История!$H$5:$H$300),8))</f>
        <v/>
      </c>
      <c r="D180" s="240">
        <f>IF($B180="","",ROUND(SUMIF(Торговля!$E$5:$E$300,$B180&amp;"/*",Торговля!$I$5:$I$300)+SUMIF(Торговля!$E$5:$E$300,"*/"&amp;$B180,Торговля!$H$5:$H$300)+SUMIF(Лэндинг!$E$5:$E$300,$B180&amp;"/*",Лэндинг!$I$5:$I$300)+SUMIF(Лэндинг!$E$5:$E$300,"*/"&amp;$B180,Лэндинг!$H$5:$H$300)+SUMIF(Закрытые!$E$5:$E$300,$B180&amp;"/*",Закрытые!$I$5:$I$300)+SUMIF(Закрытые!$E$5:$E$300,"*/"&amp;$B180,Закрытые!$H$5:$H$300)+SUMIF(История!$B$5:$B$300,$B180&amp;"/*",История!$F$5:$F$300)+SUMIF(История!$B$5:$B$300,"*/"&amp;$B180,История!$E$5:$E$300),8))</f>
        <v/>
      </c>
      <c r="E180" s="339">
        <f>IF($B180="","",ROUND(C180-D180,8))</f>
        <v/>
      </c>
    </row>
    <row r="181" ht="22" customHeight="1">
      <c r="B181" s="315" t="n"/>
      <c r="C181" s="240">
        <f>IF($B181="","",ROUND(SUMIF(Торговля!$E$5:$E$300,$B181&amp;"/*",Торговля!$F$5:$F$300)+SUMIF(Торговля!$E$5:$E$300,"*/"&amp;$B181,Торговля!$K$5:$K$300)+SUMIF(Лэндинг!$E$5:$E$300,$B181&amp;"/*",Лэндинг!$F$5:$F$300)+SUMIF(Лэндинг!$E$5:$E$300,"*/"&amp;$B181,Лэндинг!$K$5:$K$300)+SUMIF(Закрытые!$E$5:$E$300,$B181&amp;"/*",Закрытые!$F$5:$F$300)+SUMIF(Закрытые!$E$5:$E$300,"*/"&amp;$B181,Закрытые!$K$5:$K$300)+SUMIF(История!$B$5:$B$300,$B181&amp;"/*",История!$C$5:$C$300)+SUMIF(История!$B$5:$B$300,"*/"&amp;$B181,История!$H$5:$H$300),8))</f>
        <v/>
      </c>
      <c r="D181" s="240">
        <f>IF($B181="","",ROUND(SUMIF(Торговля!$E$5:$E$300,$B181&amp;"/*",Торговля!$I$5:$I$300)+SUMIF(Торговля!$E$5:$E$300,"*/"&amp;$B181,Торговля!$H$5:$H$300)+SUMIF(Лэндинг!$E$5:$E$300,$B181&amp;"/*",Лэндинг!$I$5:$I$300)+SUMIF(Лэндинг!$E$5:$E$300,"*/"&amp;$B181,Лэндинг!$H$5:$H$300)+SUMIF(Закрытые!$E$5:$E$300,$B181&amp;"/*",Закрытые!$I$5:$I$300)+SUMIF(Закрытые!$E$5:$E$300,"*/"&amp;$B181,Закрытые!$H$5:$H$300)+SUMIF(История!$B$5:$B$300,$B181&amp;"/*",История!$F$5:$F$300)+SUMIF(История!$B$5:$B$300,"*/"&amp;$B181,История!$E$5:$E$300),8))</f>
        <v/>
      </c>
      <c r="E181" s="339">
        <f>IF($B181="","",ROUND(C181-D181,8))</f>
        <v/>
      </c>
    </row>
    <row r="182" ht="22" customHeight="1">
      <c r="B182" s="320" t="n"/>
      <c r="C182" s="240">
        <f>IF($B182="","",ROUND(SUMIF(Торговля!$E$5:$E$300,$B182&amp;"/*",Торговля!$F$5:$F$300)+SUMIF(Торговля!$E$5:$E$300,"*/"&amp;$B182,Торговля!$K$5:$K$300)+SUMIF(Лэндинг!$E$5:$E$300,$B182&amp;"/*",Лэндинг!$F$5:$F$300)+SUMIF(Лэндинг!$E$5:$E$300,"*/"&amp;$B182,Лэндинг!$K$5:$K$300)+SUMIF(Закрытые!$E$5:$E$300,$B182&amp;"/*",Закрытые!$F$5:$F$300)+SUMIF(Закрытые!$E$5:$E$300,"*/"&amp;$B182,Закрытые!$K$5:$K$300)+SUMIF(История!$B$5:$B$300,$B182&amp;"/*",История!$C$5:$C$300)+SUMIF(История!$B$5:$B$300,"*/"&amp;$B182,История!$H$5:$H$300),8))</f>
        <v/>
      </c>
      <c r="D182" s="240">
        <f>IF($B182="","",ROUND(SUMIF(Торговля!$E$5:$E$300,$B182&amp;"/*",Торговля!$I$5:$I$300)+SUMIF(Торговля!$E$5:$E$300,"*/"&amp;$B182,Торговля!$H$5:$H$300)+SUMIF(Лэндинг!$E$5:$E$300,$B182&amp;"/*",Лэндинг!$I$5:$I$300)+SUMIF(Лэндинг!$E$5:$E$300,"*/"&amp;$B182,Лэндинг!$H$5:$H$300)+SUMIF(Закрытые!$E$5:$E$300,$B182&amp;"/*",Закрытые!$I$5:$I$300)+SUMIF(Закрытые!$E$5:$E$300,"*/"&amp;$B182,Закрытые!$H$5:$H$300)+SUMIF(История!$B$5:$B$300,$B182&amp;"/*",История!$F$5:$F$300)+SUMIF(История!$B$5:$B$300,"*/"&amp;$B182,История!$E$5:$E$300),8))</f>
        <v/>
      </c>
      <c r="E182" s="339">
        <f>IF($B182="","",ROUND(C182-D182,8))</f>
        <v/>
      </c>
    </row>
    <row r="183" ht="22" customHeight="1">
      <c r="B183" s="315" t="n"/>
      <c r="C183" s="240">
        <f>IF($B183="","",ROUND(SUMIF(Торговля!$E$5:$E$300,$B183&amp;"/*",Торговля!$F$5:$F$300)+SUMIF(Торговля!$E$5:$E$300,"*/"&amp;$B183,Торговля!$K$5:$K$300)+SUMIF(Лэндинг!$E$5:$E$300,$B183&amp;"/*",Лэндинг!$F$5:$F$300)+SUMIF(Лэндинг!$E$5:$E$300,"*/"&amp;$B183,Лэндинг!$K$5:$K$300)+SUMIF(Закрытые!$E$5:$E$300,$B183&amp;"/*",Закрытые!$F$5:$F$300)+SUMIF(Закрытые!$E$5:$E$300,"*/"&amp;$B183,Закрытые!$K$5:$K$300)+SUMIF(История!$B$5:$B$300,$B183&amp;"/*",История!$C$5:$C$300)+SUMIF(История!$B$5:$B$300,"*/"&amp;$B183,История!$H$5:$H$300),8))</f>
        <v/>
      </c>
      <c r="D183" s="240">
        <f>IF($B183="","",ROUND(SUMIF(Торговля!$E$5:$E$300,$B183&amp;"/*",Торговля!$I$5:$I$300)+SUMIF(Торговля!$E$5:$E$300,"*/"&amp;$B183,Торговля!$H$5:$H$300)+SUMIF(Лэндинг!$E$5:$E$300,$B183&amp;"/*",Лэндинг!$I$5:$I$300)+SUMIF(Лэндинг!$E$5:$E$300,"*/"&amp;$B183,Лэндинг!$H$5:$H$300)+SUMIF(Закрытые!$E$5:$E$300,$B183&amp;"/*",Закрытые!$I$5:$I$300)+SUMIF(Закрытые!$E$5:$E$300,"*/"&amp;$B183,Закрытые!$H$5:$H$300)+SUMIF(История!$B$5:$B$300,$B183&amp;"/*",История!$F$5:$F$300)+SUMIF(История!$B$5:$B$300,"*/"&amp;$B183,История!$E$5:$E$300),8))</f>
        <v/>
      </c>
      <c r="E183" s="339">
        <f>IF($B183="","",ROUND(C183-D183,8))</f>
        <v/>
      </c>
    </row>
    <row r="184" ht="22" customHeight="1">
      <c r="B184" s="320" t="n"/>
      <c r="C184" s="240">
        <f>IF($B184="","",ROUND(SUMIF(Торговля!$E$5:$E$300,$B184&amp;"/*",Торговля!$F$5:$F$300)+SUMIF(Торговля!$E$5:$E$300,"*/"&amp;$B184,Торговля!$K$5:$K$300)+SUMIF(Лэндинг!$E$5:$E$300,$B184&amp;"/*",Лэндинг!$F$5:$F$300)+SUMIF(Лэндинг!$E$5:$E$300,"*/"&amp;$B184,Лэндинг!$K$5:$K$300)+SUMIF(Закрытые!$E$5:$E$300,$B184&amp;"/*",Закрытые!$F$5:$F$300)+SUMIF(Закрытые!$E$5:$E$300,"*/"&amp;$B184,Закрытые!$K$5:$K$300)+SUMIF(История!$B$5:$B$300,$B184&amp;"/*",История!$C$5:$C$300)+SUMIF(История!$B$5:$B$300,"*/"&amp;$B184,История!$H$5:$H$300),8))</f>
        <v/>
      </c>
      <c r="D184" s="240">
        <f>IF($B184="","",ROUND(SUMIF(Торговля!$E$5:$E$300,$B184&amp;"/*",Торговля!$I$5:$I$300)+SUMIF(Торговля!$E$5:$E$300,"*/"&amp;$B184,Торговля!$H$5:$H$300)+SUMIF(Лэндинг!$E$5:$E$300,$B184&amp;"/*",Лэндинг!$I$5:$I$300)+SUMIF(Лэндинг!$E$5:$E$300,"*/"&amp;$B184,Лэндинг!$H$5:$H$300)+SUMIF(Закрытые!$E$5:$E$300,$B184&amp;"/*",Закрытые!$I$5:$I$300)+SUMIF(Закрытые!$E$5:$E$300,"*/"&amp;$B184,Закрытые!$H$5:$H$300)+SUMIF(История!$B$5:$B$300,$B184&amp;"/*",История!$F$5:$F$300)+SUMIF(История!$B$5:$B$300,"*/"&amp;$B184,История!$E$5:$E$300),8))</f>
        <v/>
      </c>
      <c r="E184" s="339">
        <f>IF($B184="","",ROUND(C184-D184,8))</f>
        <v/>
      </c>
    </row>
    <row r="185" ht="22" customHeight="1">
      <c r="B185" s="315" t="n"/>
      <c r="C185" s="240">
        <f>IF($B185="","",ROUND(SUMIF(Торговля!$E$5:$E$300,$B185&amp;"/*",Торговля!$F$5:$F$300)+SUMIF(Торговля!$E$5:$E$300,"*/"&amp;$B185,Торговля!$K$5:$K$300)+SUMIF(Лэндинг!$E$5:$E$300,$B185&amp;"/*",Лэндинг!$F$5:$F$300)+SUMIF(Лэндинг!$E$5:$E$300,"*/"&amp;$B185,Лэндинг!$K$5:$K$300)+SUMIF(Закрытые!$E$5:$E$300,$B185&amp;"/*",Закрытые!$F$5:$F$300)+SUMIF(Закрытые!$E$5:$E$300,"*/"&amp;$B185,Закрытые!$K$5:$K$300)+SUMIF(История!$B$5:$B$300,$B185&amp;"/*",История!$C$5:$C$300)+SUMIF(История!$B$5:$B$300,"*/"&amp;$B185,История!$H$5:$H$300),8))</f>
        <v/>
      </c>
      <c r="D185" s="240">
        <f>IF($B185="","",ROUND(SUMIF(Торговля!$E$5:$E$300,$B185&amp;"/*",Торговля!$I$5:$I$300)+SUMIF(Торговля!$E$5:$E$300,"*/"&amp;$B185,Торговля!$H$5:$H$300)+SUMIF(Лэндинг!$E$5:$E$300,$B185&amp;"/*",Лэндинг!$I$5:$I$300)+SUMIF(Лэндинг!$E$5:$E$300,"*/"&amp;$B185,Лэндинг!$H$5:$H$300)+SUMIF(Закрытые!$E$5:$E$300,$B185&amp;"/*",Закрытые!$I$5:$I$300)+SUMIF(Закрытые!$E$5:$E$300,"*/"&amp;$B185,Закрытые!$H$5:$H$300)+SUMIF(История!$B$5:$B$300,$B185&amp;"/*",История!$F$5:$F$300)+SUMIF(История!$B$5:$B$300,"*/"&amp;$B185,История!$E$5:$E$300),8))</f>
        <v/>
      </c>
      <c r="E185" s="339">
        <f>IF($B185="","",ROUND(C185-D185,8))</f>
        <v/>
      </c>
    </row>
    <row r="186" ht="22" customHeight="1">
      <c r="B186" s="320" t="n"/>
      <c r="C186" s="240">
        <f>IF($B186="","",ROUND(SUMIF(Торговля!$E$5:$E$300,$B186&amp;"/*",Торговля!$F$5:$F$300)+SUMIF(Торговля!$E$5:$E$300,"*/"&amp;$B186,Торговля!$K$5:$K$300)+SUMIF(Лэндинг!$E$5:$E$300,$B186&amp;"/*",Лэндинг!$F$5:$F$300)+SUMIF(Лэндинг!$E$5:$E$300,"*/"&amp;$B186,Лэндинг!$K$5:$K$300)+SUMIF(Закрытые!$E$5:$E$300,$B186&amp;"/*",Закрытые!$F$5:$F$300)+SUMIF(Закрытые!$E$5:$E$300,"*/"&amp;$B186,Закрытые!$K$5:$K$300)+SUMIF(История!$B$5:$B$300,$B186&amp;"/*",История!$C$5:$C$300)+SUMIF(История!$B$5:$B$300,"*/"&amp;$B186,История!$H$5:$H$300),8))</f>
        <v/>
      </c>
      <c r="D186" s="240">
        <f>IF($B186="","",ROUND(SUMIF(Торговля!$E$5:$E$300,$B186&amp;"/*",Торговля!$I$5:$I$300)+SUMIF(Торговля!$E$5:$E$300,"*/"&amp;$B186,Торговля!$H$5:$H$300)+SUMIF(Лэндинг!$E$5:$E$300,$B186&amp;"/*",Лэндинг!$I$5:$I$300)+SUMIF(Лэндинг!$E$5:$E$300,"*/"&amp;$B186,Лэндинг!$H$5:$H$300)+SUMIF(Закрытые!$E$5:$E$300,$B186&amp;"/*",Закрытые!$I$5:$I$300)+SUMIF(Закрытые!$E$5:$E$300,"*/"&amp;$B186,Закрытые!$H$5:$H$300)+SUMIF(История!$B$5:$B$300,$B186&amp;"/*",История!$F$5:$F$300)+SUMIF(История!$B$5:$B$300,"*/"&amp;$B186,История!$E$5:$E$300),8))</f>
        <v/>
      </c>
      <c r="E186" s="339">
        <f>IF($B186="","",ROUND(C186-D186,8))</f>
        <v/>
      </c>
    </row>
    <row r="187" ht="22" customHeight="1">
      <c r="B187" s="315" t="n"/>
      <c r="C187" s="240">
        <f>IF($B187="","",ROUND(SUMIF(Торговля!$E$5:$E$300,$B187&amp;"/*",Торговля!$F$5:$F$300)+SUMIF(Торговля!$E$5:$E$300,"*/"&amp;$B187,Торговля!$K$5:$K$300)+SUMIF(Лэндинг!$E$5:$E$300,$B187&amp;"/*",Лэндинг!$F$5:$F$300)+SUMIF(Лэндинг!$E$5:$E$300,"*/"&amp;$B187,Лэндинг!$K$5:$K$300)+SUMIF(Закрытые!$E$5:$E$300,$B187&amp;"/*",Закрытые!$F$5:$F$300)+SUMIF(Закрытые!$E$5:$E$300,"*/"&amp;$B187,Закрытые!$K$5:$K$300)+SUMIF(История!$B$5:$B$300,$B187&amp;"/*",История!$C$5:$C$300)+SUMIF(История!$B$5:$B$300,"*/"&amp;$B187,История!$H$5:$H$300),8))</f>
        <v/>
      </c>
      <c r="D187" s="240">
        <f>IF($B187="","",ROUND(SUMIF(Торговля!$E$5:$E$300,$B187&amp;"/*",Торговля!$I$5:$I$300)+SUMIF(Торговля!$E$5:$E$300,"*/"&amp;$B187,Торговля!$H$5:$H$300)+SUMIF(Лэндинг!$E$5:$E$300,$B187&amp;"/*",Лэндинг!$I$5:$I$300)+SUMIF(Лэндинг!$E$5:$E$300,"*/"&amp;$B187,Лэндинг!$H$5:$H$300)+SUMIF(Закрытые!$E$5:$E$300,$B187&amp;"/*",Закрытые!$I$5:$I$300)+SUMIF(Закрытые!$E$5:$E$300,"*/"&amp;$B187,Закрытые!$H$5:$H$300)+SUMIF(История!$B$5:$B$300,$B187&amp;"/*",История!$F$5:$F$300)+SUMIF(История!$B$5:$B$300,"*/"&amp;$B187,История!$E$5:$E$300),8))</f>
        <v/>
      </c>
      <c r="E187" s="339">
        <f>IF($B187="","",ROUND(C187-D187,8))</f>
        <v/>
      </c>
    </row>
    <row r="188" ht="22" customHeight="1">
      <c r="B188" s="320" t="n"/>
      <c r="C188" s="240">
        <f>IF($B188="","",ROUND(SUMIF(Торговля!$E$5:$E$300,$B188&amp;"/*",Торговля!$F$5:$F$300)+SUMIF(Торговля!$E$5:$E$300,"*/"&amp;$B188,Торговля!$K$5:$K$300)+SUMIF(Лэндинг!$E$5:$E$300,$B188&amp;"/*",Лэндинг!$F$5:$F$300)+SUMIF(Лэндинг!$E$5:$E$300,"*/"&amp;$B188,Лэндинг!$K$5:$K$300)+SUMIF(Закрытые!$E$5:$E$300,$B188&amp;"/*",Закрытые!$F$5:$F$300)+SUMIF(Закрытые!$E$5:$E$300,"*/"&amp;$B188,Закрытые!$K$5:$K$300)+SUMIF(История!$B$5:$B$300,$B188&amp;"/*",История!$C$5:$C$300)+SUMIF(История!$B$5:$B$300,"*/"&amp;$B188,История!$H$5:$H$300),8))</f>
        <v/>
      </c>
      <c r="D188" s="240">
        <f>IF($B188="","",ROUND(SUMIF(Торговля!$E$5:$E$300,$B188&amp;"/*",Торговля!$I$5:$I$300)+SUMIF(Торговля!$E$5:$E$300,"*/"&amp;$B188,Торговля!$H$5:$H$300)+SUMIF(Лэндинг!$E$5:$E$300,$B188&amp;"/*",Лэндинг!$I$5:$I$300)+SUMIF(Лэндинг!$E$5:$E$300,"*/"&amp;$B188,Лэндинг!$H$5:$H$300)+SUMIF(Закрытые!$E$5:$E$300,$B188&amp;"/*",Закрытые!$I$5:$I$300)+SUMIF(Закрытые!$E$5:$E$300,"*/"&amp;$B188,Закрытые!$H$5:$H$300)+SUMIF(История!$B$5:$B$300,$B188&amp;"/*",История!$F$5:$F$300)+SUMIF(История!$B$5:$B$300,"*/"&amp;$B188,История!$E$5:$E$300),8))</f>
        <v/>
      </c>
      <c r="E188" s="339">
        <f>IF($B188="","",ROUND(C188-D188,8))</f>
        <v/>
      </c>
    </row>
    <row r="189" ht="22" customHeight="1">
      <c r="B189" s="315" t="n"/>
      <c r="C189" s="240">
        <f>IF($B189="","",ROUND(SUMIF(Торговля!$E$5:$E$300,$B189&amp;"/*",Торговля!$F$5:$F$300)+SUMIF(Торговля!$E$5:$E$300,"*/"&amp;$B189,Торговля!$K$5:$K$300)+SUMIF(Лэндинг!$E$5:$E$300,$B189&amp;"/*",Лэндинг!$F$5:$F$300)+SUMIF(Лэндинг!$E$5:$E$300,"*/"&amp;$B189,Лэндинг!$K$5:$K$300)+SUMIF(Закрытые!$E$5:$E$300,$B189&amp;"/*",Закрытые!$F$5:$F$300)+SUMIF(Закрытые!$E$5:$E$300,"*/"&amp;$B189,Закрытые!$K$5:$K$300)+SUMIF(История!$B$5:$B$300,$B189&amp;"/*",История!$C$5:$C$300)+SUMIF(История!$B$5:$B$300,"*/"&amp;$B189,История!$H$5:$H$300),8))</f>
        <v/>
      </c>
      <c r="D189" s="240">
        <f>IF($B189="","",ROUND(SUMIF(Торговля!$E$5:$E$300,$B189&amp;"/*",Торговля!$I$5:$I$300)+SUMIF(Торговля!$E$5:$E$300,"*/"&amp;$B189,Торговля!$H$5:$H$300)+SUMIF(Лэндинг!$E$5:$E$300,$B189&amp;"/*",Лэндинг!$I$5:$I$300)+SUMIF(Лэндинг!$E$5:$E$300,"*/"&amp;$B189,Лэндинг!$H$5:$H$300)+SUMIF(Закрытые!$E$5:$E$300,$B189&amp;"/*",Закрытые!$I$5:$I$300)+SUMIF(Закрытые!$E$5:$E$300,"*/"&amp;$B189,Закрытые!$H$5:$H$300)+SUMIF(История!$B$5:$B$300,$B189&amp;"/*",История!$F$5:$F$300)+SUMIF(История!$B$5:$B$300,"*/"&amp;$B189,История!$E$5:$E$300),8))</f>
        <v/>
      </c>
      <c r="E189" s="339">
        <f>IF($B189="","",ROUND(C189-D189,8))</f>
        <v/>
      </c>
    </row>
    <row r="190" ht="22" customHeight="1">
      <c r="B190" s="320" t="n"/>
      <c r="C190" s="240">
        <f>IF($B190="","",ROUND(SUMIF(Торговля!$E$5:$E$300,$B190&amp;"/*",Торговля!$F$5:$F$300)+SUMIF(Торговля!$E$5:$E$300,"*/"&amp;$B190,Торговля!$K$5:$K$300)+SUMIF(Лэндинг!$E$5:$E$300,$B190&amp;"/*",Лэндинг!$F$5:$F$300)+SUMIF(Лэндинг!$E$5:$E$300,"*/"&amp;$B190,Лэндинг!$K$5:$K$300)+SUMIF(Закрытые!$E$5:$E$300,$B190&amp;"/*",Закрытые!$F$5:$F$300)+SUMIF(Закрытые!$E$5:$E$300,"*/"&amp;$B190,Закрытые!$K$5:$K$300)+SUMIF(История!$B$5:$B$300,$B190&amp;"/*",История!$C$5:$C$300)+SUMIF(История!$B$5:$B$300,"*/"&amp;$B190,История!$H$5:$H$300),8))</f>
        <v/>
      </c>
      <c r="D190" s="240">
        <f>IF($B190="","",ROUND(SUMIF(Торговля!$E$5:$E$300,$B190&amp;"/*",Торговля!$I$5:$I$300)+SUMIF(Торговля!$E$5:$E$300,"*/"&amp;$B190,Торговля!$H$5:$H$300)+SUMIF(Лэндинг!$E$5:$E$300,$B190&amp;"/*",Лэндинг!$I$5:$I$300)+SUMIF(Лэндинг!$E$5:$E$300,"*/"&amp;$B190,Лэндинг!$H$5:$H$300)+SUMIF(Закрытые!$E$5:$E$300,$B190&amp;"/*",Закрытые!$I$5:$I$300)+SUMIF(Закрытые!$E$5:$E$300,"*/"&amp;$B190,Закрытые!$H$5:$H$300)+SUMIF(История!$B$5:$B$300,$B190&amp;"/*",История!$F$5:$F$300)+SUMIF(История!$B$5:$B$300,"*/"&amp;$B190,История!$E$5:$E$300),8))</f>
        <v/>
      </c>
      <c r="E190" s="339">
        <f>IF($B190="","",ROUND(C190-D190,8))</f>
        <v/>
      </c>
    </row>
    <row r="191" ht="22" customHeight="1">
      <c r="B191" s="315" t="n"/>
      <c r="C191" s="240">
        <f>IF($B191="","",ROUND(SUMIF(Торговля!$E$5:$E$300,$B191&amp;"/*",Торговля!$F$5:$F$300)+SUMIF(Торговля!$E$5:$E$300,"*/"&amp;$B191,Торговля!$K$5:$K$300)+SUMIF(Лэндинг!$E$5:$E$300,$B191&amp;"/*",Лэндинг!$F$5:$F$300)+SUMIF(Лэндинг!$E$5:$E$300,"*/"&amp;$B191,Лэндинг!$K$5:$K$300)+SUMIF(Закрытые!$E$5:$E$300,$B191&amp;"/*",Закрытые!$F$5:$F$300)+SUMIF(Закрытые!$E$5:$E$300,"*/"&amp;$B191,Закрытые!$K$5:$K$300)+SUMIF(История!$B$5:$B$300,$B191&amp;"/*",История!$C$5:$C$300)+SUMIF(История!$B$5:$B$300,"*/"&amp;$B191,История!$H$5:$H$300),8))</f>
        <v/>
      </c>
      <c r="D191" s="240">
        <f>IF($B191="","",ROUND(SUMIF(Торговля!$E$5:$E$300,$B191&amp;"/*",Торговля!$I$5:$I$300)+SUMIF(Торговля!$E$5:$E$300,"*/"&amp;$B191,Торговля!$H$5:$H$300)+SUMIF(Лэндинг!$E$5:$E$300,$B191&amp;"/*",Лэндинг!$I$5:$I$300)+SUMIF(Лэндинг!$E$5:$E$300,"*/"&amp;$B191,Лэндинг!$H$5:$H$300)+SUMIF(Закрытые!$E$5:$E$300,$B191&amp;"/*",Закрытые!$I$5:$I$300)+SUMIF(Закрытые!$E$5:$E$300,"*/"&amp;$B191,Закрытые!$H$5:$H$300)+SUMIF(История!$B$5:$B$300,$B191&amp;"/*",История!$F$5:$F$300)+SUMIF(История!$B$5:$B$300,"*/"&amp;$B191,История!$E$5:$E$300),8))</f>
        <v/>
      </c>
      <c r="E191" s="339">
        <f>IF($B191="","",ROUND(C191-D191,8))</f>
        <v/>
      </c>
    </row>
    <row r="192" ht="22" customHeight="1">
      <c r="B192" s="320" t="n"/>
      <c r="C192" s="240">
        <f>IF($B192="","",ROUND(SUMIF(Торговля!$E$5:$E$300,$B192&amp;"/*",Торговля!$F$5:$F$300)+SUMIF(Торговля!$E$5:$E$300,"*/"&amp;$B192,Торговля!$K$5:$K$300)+SUMIF(Лэндинг!$E$5:$E$300,$B192&amp;"/*",Лэндинг!$F$5:$F$300)+SUMIF(Лэндинг!$E$5:$E$300,"*/"&amp;$B192,Лэндинг!$K$5:$K$300)+SUMIF(Закрытые!$E$5:$E$300,$B192&amp;"/*",Закрытые!$F$5:$F$300)+SUMIF(Закрытые!$E$5:$E$300,"*/"&amp;$B192,Закрытые!$K$5:$K$300)+SUMIF(История!$B$5:$B$300,$B192&amp;"/*",История!$C$5:$C$300)+SUMIF(История!$B$5:$B$300,"*/"&amp;$B192,История!$H$5:$H$300),8))</f>
        <v/>
      </c>
      <c r="D192" s="240">
        <f>IF($B192="","",ROUND(SUMIF(Торговля!$E$5:$E$300,$B192&amp;"/*",Торговля!$I$5:$I$300)+SUMIF(Торговля!$E$5:$E$300,"*/"&amp;$B192,Торговля!$H$5:$H$300)+SUMIF(Лэндинг!$E$5:$E$300,$B192&amp;"/*",Лэндинг!$I$5:$I$300)+SUMIF(Лэндинг!$E$5:$E$300,"*/"&amp;$B192,Лэндинг!$H$5:$H$300)+SUMIF(Закрытые!$E$5:$E$300,$B192&amp;"/*",Закрытые!$I$5:$I$300)+SUMIF(Закрытые!$E$5:$E$300,"*/"&amp;$B192,Закрытые!$H$5:$H$300)+SUMIF(История!$B$5:$B$300,$B192&amp;"/*",История!$F$5:$F$300)+SUMIF(История!$B$5:$B$300,"*/"&amp;$B192,История!$E$5:$E$300),8))</f>
        <v/>
      </c>
      <c r="E192" s="339">
        <f>IF($B192="","",ROUND(C192-D192,8))</f>
        <v/>
      </c>
    </row>
    <row r="193" ht="22" customHeight="1">
      <c r="B193" s="315" t="n"/>
      <c r="C193" s="240">
        <f>IF($B193="","",ROUND(SUMIF(Торговля!$E$5:$E$300,$B193&amp;"/*",Торговля!$F$5:$F$300)+SUMIF(Торговля!$E$5:$E$300,"*/"&amp;$B193,Торговля!$K$5:$K$300)+SUMIF(Лэндинг!$E$5:$E$300,$B193&amp;"/*",Лэндинг!$F$5:$F$300)+SUMIF(Лэндинг!$E$5:$E$300,"*/"&amp;$B193,Лэндинг!$K$5:$K$300)+SUMIF(Закрытые!$E$5:$E$300,$B193&amp;"/*",Закрытые!$F$5:$F$300)+SUMIF(Закрытые!$E$5:$E$300,"*/"&amp;$B193,Закрытые!$K$5:$K$300)+SUMIF(История!$B$5:$B$300,$B193&amp;"/*",История!$C$5:$C$300)+SUMIF(История!$B$5:$B$300,"*/"&amp;$B193,История!$H$5:$H$300),8))</f>
        <v/>
      </c>
      <c r="D193" s="240">
        <f>IF($B193="","",ROUND(SUMIF(Торговля!$E$5:$E$300,$B193&amp;"/*",Торговля!$I$5:$I$300)+SUMIF(Торговля!$E$5:$E$300,"*/"&amp;$B193,Торговля!$H$5:$H$300)+SUMIF(Лэндинг!$E$5:$E$300,$B193&amp;"/*",Лэндинг!$I$5:$I$300)+SUMIF(Лэндинг!$E$5:$E$300,"*/"&amp;$B193,Лэндинг!$H$5:$H$300)+SUMIF(Закрытые!$E$5:$E$300,$B193&amp;"/*",Закрытые!$I$5:$I$300)+SUMIF(Закрытые!$E$5:$E$300,"*/"&amp;$B193,Закрытые!$H$5:$H$300)+SUMIF(История!$B$5:$B$300,$B193&amp;"/*",История!$F$5:$F$300)+SUMIF(История!$B$5:$B$300,"*/"&amp;$B193,История!$E$5:$E$300),8))</f>
        <v/>
      </c>
      <c r="E193" s="339">
        <f>IF($B193="","",ROUND(C193-D193,8))</f>
        <v/>
      </c>
    </row>
    <row r="194" ht="22" customHeight="1">
      <c r="B194" s="320" t="n"/>
      <c r="C194" s="240">
        <f>IF($B194="","",ROUND(SUMIF(Торговля!$E$5:$E$300,$B194&amp;"/*",Торговля!$F$5:$F$300)+SUMIF(Торговля!$E$5:$E$300,"*/"&amp;$B194,Торговля!$K$5:$K$300)+SUMIF(Лэндинг!$E$5:$E$300,$B194&amp;"/*",Лэндинг!$F$5:$F$300)+SUMIF(Лэндинг!$E$5:$E$300,"*/"&amp;$B194,Лэндинг!$K$5:$K$300)+SUMIF(Закрытые!$E$5:$E$300,$B194&amp;"/*",Закрытые!$F$5:$F$300)+SUMIF(Закрытые!$E$5:$E$300,"*/"&amp;$B194,Закрытые!$K$5:$K$300)+SUMIF(История!$B$5:$B$300,$B194&amp;"/*",История!$C$5:$C$300)+SUMIF(История!$B$5:$B$300,"*/"&amp;$B194,История!$H$5:$H$300),8))</f>
        <v/>
      </c>
      <c r="D194" s="240">
        <f>IF($B194="","",ROUND(SUMIF(Торговля!$E$5:$E$300,$B194&amp;"/*",Торговля!$I$5:$I$300)+SUMIF(Торговля!$E$5:$E$300,"*/"&amp;$B194,Торговля!$H$5:$H$300)+SUMIF(Лэндинг!$E$5:$E$300,$B194&amp;"/*",Лэндинг!$I$5:$I$300)+SUMIF(Лэндинг!$E$5:$E$300,"*/"&amp;$B194,Лэндинг!$H$5:$H$300)+SUMIF(Закрытые!$E$5:$E$300,$B194&amp;"/*",Закрытые!$I$5:$I$300)+SUMIF(Закрытые!$E$5:$E$300,"*/"&amp;$B194,Закрытые!$H$5:$H$300)+SUMIF(История!$B$5:$B$300,$B194&amp;"/*",История!$F$5:$F$300)+SUMIF(История!$B$5:$B$300,"*/"&amp;$B194,История!$E$5:$E$300),8))</f>
        <v/>
      </c>
      <c r="E194" s="339">
        <f>IF($B194="","",ROUND(C194-D194,8))</f>
        <v/>
      </c>
    </row>
    <row r="195" ht="22" customHeight="1">
      <c r="B195" s="315" t="n"/>
      <c r="C195" s="240">
        <f>IF($B195="","",ROUND(SUMIF(Торговля!$E$5:$E$300,$B195&amp;"/*",Торговля!$F$5:$F$300)+SUMIF(Торговля!$E$5:$E$300,"*/"&amp;$B195,Торговля!$K$5:$K$300)+SUMIF(Лэндинг!$E$5:$E$300,$B195&amp;"/*",Лэндинг!$F$5:$F$300)+SUMIF(Лэндинг!$E$5:$E$300,"*/"&amp;$B195,Лэндинг!$K$5:$K$300)+SUMIF(Закрытые!$E$5:$E$300,$B195&amp;"/*",Закрытые!$F$5:$F$300)+SUMIF(Закрытые!$E$5:$E$300,"*/"&amp;$B195,Закрытые!$K$5:$K$300)+SUMIF(История!$B$5:$B$300,$B195&amp;"/*",История!$C$5:$C$300)+SUMIF(История!$B$5:$B$300,"*/"&amp;$B195,История!$H$5:$H$300),8))</f>
        <v/>
      </c>
      <c r="D195" s="240">
        <f>IF($B195="","",ROUND(SUMIF(Торговля!$E$5:$E$300,$B195&amp;"/*",Торговля!$I$5:$I$300)+SUMIF(Торговля!$E$5:$E$300,"*/"&amp;$B195,Торговля!$H$5:$H$300)+SUMIF(Лэндинг!$E$5:$E$300,$B195&amp;"/*",Лэндинг!$I$5:$I$300)+SUMIF(Лэндинг!$E$5:$E$300,"*/"&amp;$B195,Лэндинг!$H$5:$H$300)+SUMIF(Закрытые!$E$5:$E$300,$B195&amp;"/*",Закрытые!$I$5:$I$300)+SUMIF(Закрытые!$E$5:$E$300,"*/"&amp;$B195,Закрытые!$H$5:$H$300)+SUMIF(История!$B$5:$B$300,$B195&amp;"/*",История!$F$5:$F$300)+SUMIF(История!$B$5:$B$300,"*/"&amp;$B195,История!$E$5:$E$300),8))</f>
        <v/>
      </c>
      <c r="E195" s="339">
        <f>IF($B195="","",ROUND(C195-D195,8))</f>
        <v/>
      </c>
    </row>
    <row r="196" ht="22" customHeight="1">
      <c r="B196" s="320" t="n"/>
      <c r="C196" s="240">
        <f>IF($B196="","",ROUND(SUMIF(Торговля!$E$5:$E$300,$B196&amp;"/*",Торговля!$F$5:$F$300)+SUMIF(Торговля!$E$5:$E$300,"*/"&amp;$B196,Торговля!$K$5:$K$300)+SUMIF(Лэндинг!$E$5:$E$300,$B196&amp;"/*",Лэндинг!$F$5:$F$300)+SUMIF(Лэндинг!$E$5:$E$300,"*/"&amp;$B196,Лэндинг!$K$5:$K$300)+SUMIF(Закрытые!$E$5:$E$300,$B196&amp;"/*",Закрытые!$F$5:$F$300)+SUMIF(Закрытые!$E$5:$E$300,"*/"&amp;$B196,Закрытые!$K$5:$K$300)+SUMIF(История!$B$5:$B$300,$B196&amp;"/*",История!$C$5:$C$300)+SUMIF(История!$B$5:$B$300,"*/"&amp;$B196,История!$H$5:$H$300),8))</f>
        <v/>
      </c>
      <c r="D196" s="240">
        <f>IF($B196="","",ROUND(SUMIF(Торговля!$E$5:$E$300,$B196&amp;"/*",Торговля!$I$5:$I$300)+SUMIF(Торговля!$E$5:$E$300,"*/"&amp;$B196,Торговля!$H$5:$H$300)+SUMIF(Лэндинг!$E$5:$E$300,$B196&amp;"/*",Лэндинг!$I$5:$I$300)+SUMIF(Лэндинг!$E$5:$E$300,"*/"&amp;$B196,Лэндинг!$H$5:$H$300)+SUMIF(Закрытые!$E$5:$E$300,$B196&amp;"/*",Закрытые!$I$5:$I$300)+SUMIF(Закрытые!$E$5:$E$300,"*/"&amp;$B196,Закрытые!$H$5:$H$300)+SUMIF(История!$B$5:$B$300,$B196&amp;"/*",История!$F$5:$F$300)+SUMIF(История!$B$5:$B$300,"*/"&amp;$B196,История!$E$5:$E$300),8))</f>
        <v/>
      </c>
      <c r="E196" s="339">
        <f>IF($B196="","",ROUND(C196-D196,8))</f>
        <v/>
      </c>
    </row>
    <row r="197" ht="22" customHeight="1">
      <c r="B197" s="315" t="n"/>
      <c r="C197" s="240">
        <f>IF($B197="","",ROUND(SUMIF(Торговля!$E$5:$E$300,$B197&amp;"/*",Торговля!$F$5:$F$300)+SUMIF(Торговля!$E$5:$E$300,"*/"&amp;$B197,Торговля!$K$5:$K$300)+SUMIF(Лэндинг!$E$5:$E$300,$B197&amp;"/*",Лэндинг!$F$5:$F$300)+SUMIF(Лэндинг!$E$5:$E$300,"*/"&amp;$B197,Лэндинг!$K$5:$K$300)+SUMIF(Закрытые!$E$5:$E$300,$B197&amp;"/*",Закрытые!$F$5:$F$300)+SUMIF(Закрытые!$E$5:$E$300,"*/"&amp;$B197,Закрытые!$K$5:$K$300)+SUMIF(История!$B$5:$B$300,$B197&amp;"/*",История!$C$5:$C$300)+SUMIF(История!$B$5:$B$300,"*/"&amp;$B197,История!$H$5:$H$300),8))</f>
        <v/>
      </c>
      <c r="D197" s="240">
        <f>IF($B197="","",ROUND(SUMIF(Торговля!$E$5:$E$300,$B197&amp;"/*",Торговля!$I$5:$I$300)+SUMIF(Торговля!$E$5:$E$300,"*/"&amp;$B197,Торговля!$H$5:$H$300)+SUMIF(Лэндинг!$E$5:$E$300,$B197&amp;"/*",Лэндинг!$I$5:$I$300)+SUMIF(Лэндинг!$E$5:$E$300,"*/"&amp;$B197,Лэндинг!$H$5:$H$300)+SUMIF(Закрытые!$E$5:$E$300,$B197&amp;"/*",Закрытые!$I$5:$I$300)+SUMIF(Закрытые!$E$5:$E$300,"*/"&amp;$B197,Закрытые!$H$5:$H$300)+SUMIF(История!$B$5:$B$300,$B197&amp;"/*",История!$F$5:$F$300)+SUMIF(История!$B$5:$B$300,"*/"&amp;$B197,История!$E$5:$E$300),8))</f>
        <v/>
      </c>
      <c r="E197" s="339">
        <f>IF($B197="","",ROUND(C197-D197,8))</f>
        <v/>
      </c>
    </row>
    <row r="198" ht="22" customHeight="1">
      <c r="B198" s="320" t="n"/>
      <c r="C198" s="240">
        <f>IF($B198="","",ROUND(SUMIF(Торговля!$E$5:$E$300,$B198&amp;"/*",Торговля!$F$5:$F$300)+SUMIF(Торговля!$E$5:$E$300,"*/"&amp;$B198,Торговля!$K$5:$K$300)+SUMIF(Лэндинг!$E$5:$E$300,$B198&amp;"/*",Лэндинг!$F$5:$F$300)+SUMIF(Лэндинг!$E$5:$E$300,"*/"&amp;$B198,Лэндинг!$K$5:$K$300)+SUMIF(Закрытые!$E$5:$E$300,$B198&amp;"/*",Закрытые!$F$5:$F$300)+SUMIF(Закрытые!$E$5:$E$300,"*/"&amp;$B198,Закрытые!$K$5:$K$300)+SUMIF(История!$B$5:$B$300,$B198&amp;"/*",История!$C$5:$C$300)+SUMIF(История!$B$5:$B$300,"*/"&amp;$B198,История!$H$5:$H$300),8))</f>
        <v/>
      </c>
      <c r="D198" s="240">
        <f>IF($B198="","",ROUND(SUMIF(Торговля!$E$5:$E$300,$B198&amp;"/*",Торговля!$I$5:$I$300)+SUMIF(Торговля!$E$5:$E$300,"*/"&amp;$B198,Торговля!$H$5:$H$300)+SUMIF(Лэндинг!$E$5:$E$300,$B198&amp;"/*",Лэндинг!$I$5:$I$300)+SUMIF(Лэндинг!$E$5:$E$300,"*/"&amp;$B198,Лэндинг!$H$5:$H$300)+SUMIF(Закрытые!$E$5:$E$300,$B198&amp;"/*",Закрытые!$I$5:$I$300)+SUMIF(Закрытые!$E$5:$E$300,"*/"&amp;$B198,Закрытые!$H$5:$H$300)+SUMIF(История!$B$5:$B$300,$B198&amp;"/*",История!$F$5:$F$300)+SUMIF(История!$B$5:$B$300,"*/"&amp;$B198,История!$E$5:$E$300),8))</f>
        <v/>
      </c>
      <c r="E198" s="339">
        <f>IF($B198="","",ROUND(C198-D198,8))</f>
        <v/>
      </c>
    </row>
    <row r="199" ht="22" customHeight="1">
      <c r="B199" s="315" t="n"/>
      <c r="C199" s="240">
        <f>IF($B199="","",ROUND(SUMIF(Торговля!$E$5:$E$300,$B199&amp;"/*",Торговля!$F$5:$F$300)+SUMIF(Торговля!$E$5:$E$300,"*/"&amp;$B199,Торговля!$K$5:$K$300)+SUMIF(Лэндинг!$E$5:$E$300,$B199&amp;"/*",Лэндинг!$F$5:$F$300)+SUMIF(Лэндинг!$E$5:$E$300,"*/"&amp;$B199,Лэндинг!$K$5:$K$300)+SUMIF(Закрытые!$E$5:$E$300,$B199&amp;"/*",Закрытые!$F$5:$F$300)+SUMIF(Закрытые!$E$5:$E$300,"*/"&amp;$B199,Закрытые!$K$5:$K$300)+SUMIF(История!$B$5:$B$300,$B199&amp;"/*",История!$C$5:$C$300)+SUMIF(История!$B$5:$B$300,"*/"&amp;$B199,История!$H$5:$H$300),8))</f>
        <v/>
      </c>
      <c r="D199" s="240">
        <f>IF($B199="","",ROUND(SUMIF(Торговля!$E$5:$E$300,$B199&amp;"/*",Торговля!$I$5:$I$300)+SUMIF(Торговля!$E$5:$E$300,"*/"&amp;$B199,Торговля!$H$5:$H$300)+SUMIF(Лэндинг!$E$5:$E$300,$B199&amp;"/*",Лэндинг!$I$5:$I$300)+SUMIF(Лэндинг!$E$5:$E$300,"*/"&amp;$B199,Лэндинг!$H$5:$H$300)+SUMIF(Закрытые!$E$5:$E$300,$B199&amp;"/*",Закрытые!$I$5:$I$300)+SUMIF(Закрытые!$E$5:$E$300,"*/"&amp;$B199,Закрытые!$H$5:$H$300)+SUMIF(История!$B$5:$B$300,$B199&amp;"/*",История!$F$5:$F$300)+SUMIF(История!$B$5:$B$300,"*/"&amp;$B199,История!$E$5:$E$300),8))</f>
        <v/>
      </c>
      <c r="E199" s="339">
        <f>IF($B199="","",ROUND(C199-D199,8))</f>
        <v/>
      </c>
    </row>
    <row r="200" ht="22" customHeight="1">
      <c r="B200" s="320" t="n"/>
      <c r="C200" s="240">
        <f>IF($B200="","",ROUND(SUMIF(Торговля!$E$5:$E$300,$B200&amp;"/*",Торговля!$F$5:$F$300)+SUMIF(Торговля!$E$5:$E$300,"*/"&amp;$B200,Торговля!$K$5:$K$300)+SUMIF(Лэндинг!$E$5:$E$300,$B200&amp;"/*",Лэндинг!$F$5:$F$300)+SUMIF(Лэндинг!$E$5:$E$300,"*/"&amp;$B200,Лэндинг!$K$5:$K$300)+SUMIF(Закрытые!$E$5:$E$300,$B200&amp;"/*",Закрытые!$F$5:$F$300)+SUMIF(Закрытые!$E$5:$E$300,"*/"&amp;$B200,Закрытые!$K$5:$K$300)+SUMIF(История!$B$5:$B$300,$B200&amp;"/*",История!$C$5:$C$300)+SUMIF(История!$B$5:$B$300,"*/"&amp;$B200,История!$H$5:$H$300),8))</f>
        <v/>
      </c>
      <c r="D200" s="240">
        <f>IF($B200="","",ROUND(SUMIF(Торговля!$E$5:$E$300,$B200&amp;"/*",Торговля!$I$5:$I$300)+SUMIF(Торговля!$E$5:$E$300,"*/"&amp;$B200,Торговля!$H$5:$H$300)+SUMIF(Лэндинг!$E$5:$E$300,$B200&amp;"/*",Лэндинг!$I$5:$I$300)+SUMIF(Лэндинг!$E$5:$E$300,"*/"&amp;$B200,Лэндинг!$H$5:$H$300)+SUMIF(Закрытые!$E$5:$E$300,$B200&amp;"/*",Закрытые!$I$5:$I$300)+SUMIF(Закрытые!$E$5:$E$300,"*/"&amp;$B200,Закрытые!$H$5:$H$300)+SUMIF(История!$B$5:$B$300,$B200&amp;"/*",История!$F$5:$F$300)+SUMIF(История!$B$5:$B$300,"*/"&amp;$B200,История!$E$5:$E$300),8))</f>
        <v/>
      </c>
      <c r="E200" s="339">
        <f>IF($B200="","",ROUND(C200-D200,8))</f>
        <v/>
      </c>
    </row>
    <row r="201" ht="22" customHeight="1">
      <c r="B201" s="315" t="n"/>
      <c r="C201" s="240">
        <f>IF($B201="","",ROUND(SUMIF(Торговля!$E$5:$E$300,$B201&amp;"/*",Торговля!$F$5:$F$300)+SUMIF(Торговля!$E$5:$E$300,"*/"&amp;$B201,Торговля!$K$5:$K$300)+SUMIF(Лэндинг!$E$5:$E$300,$B201&amp;"/*",Лэндинг!$F$5:$F$300)+SUMIF(Лэндинг!$E$5:$E$300,"*/"&amp;$B201,Лэндинг!$K$5:$K$300)+SUMIF(Закрытые!$E$5:$E$300,$B201&amp;"/*",Закрытые!$F$5:$F$300)+SUMIF(Закрытые!$E$5:$E$300,"*/"&amp;$B201,Закрытые!$K$5:$K$300)+SUMIF(История!$B$5:$B$300,$B201&amp;"/*",История!$C$5:$C$300)+SUMIF(История!$B$5:$B$300,"*/"&amp;$B201,История!$H$5:$H$300),8))</f>
        <v/>
      </c>
      <c r="D201" s="240">
        <f>IF($B201="","",ROUND(SUMIF(Торговля!$E$5:$E$300,$B201&amp;"/*",Торговля!$I$5:$I$300)+SUMIF(Торговля!$E$5:$E$300,"*/"&amp;$B201,Торговля!$H$5:$H$300)+SUMIF(Лэндинг!$E$5:$E$300,$B201&amp;"/*",Лэндинг!$I$5:$I$300)+SUMIF(Лэндинг!$E$5:$E$300,"*/"&amp;$B201,Лэндинг!$H$5:$H$300)+SUMIF(Закрытые!$E$5:$E$300,$B201&amp;"/*",Закрытые!$I$5:$I$300)+SUMIF(Закрытые!$E$5:$E$300,"*/"&amp;$B201,Закрытые!$H$5:$H$300)+SUMIF(История!$B$5:$B$300,$B201&amp;"/*",История!$F$5:$F$300)+SUMIF(История!$B$5:$B$300,"*/"&amp;$B201,История!$E$5:$E$300),8))</f>
        <v/>
      </c>
      <c r="E201" s="339">
        <f>IF($B201="","",ROUND(C201-D201,8))</f>
        <v/>
      </c>
    </row>
    <row r="202" ht="22" customHeight="1">
      <c r="B202" s="320" t="n"/>
      <c r="C202" s="240">
        <f>IF($B202="","",ROUND(SUMIF(Торговля!$E$5:$E$300,$B202&amp;"/*",Торговля!$F$5:$F$300)+SUMIF(Торговля!$E$5:$E$300,"*/"&amp;$B202,Торговля!$K$5:$K$300)+SUMIF(Лэндинг!$E$5:$E$300,$B202&amp;"/*",Лэндинг!$F$5:$F$300)+SUMIF(Лэндинг!$E$5:$E$300,"*/"&amp;$B202,Лэндинг!$K$5:$K$300)+SUMIF(Закрытые!$E$5:$E$300,$B202&amp;"/*",Закрытые!$F$5:$F$300)+SUMIF(Закрытые!$E$5:$E$300,"*/"&amp;$B202,Закрытые!$K$5:$K$300)+SUMIF(История!$B$5:$B$300,$B202&amp;"/*",История!$C$5:$C$300)+SUMIF(История!$B$5:$B$300,"*/"&amp;$B202,История!$H$5:$H$300),8))</f>
        <v/>
      </c>
      <c r="D202" s="240">
        <f>IF($B202="","",ROUND(SUMIF(Торговля!$E$5:$E$300,$B202&amp;"/*",Торговля!$I$5:$I$300)+SUMIF(Торговля!$E$5:$E$300,"*/"&amp;$B202,Торговля!$H$5:$H$300)+SUMIF(Лэндинг!$E$5:$E$300,$B202&amp;"/*",Лэндинг!$I$5:$I$300)+SUMIF(Лэндинг!$E$5:$E$300,"*/"&amp;$B202,Лэндинг!$H$5:$H$300)+SUMIF(Закрытые!$E$5:$E$300,$B202&amp;"/*",Закрытые!$I$5:$I$300)+SUMIF(Закрытые!$E$5:$E$300,"*/"&amp;$B202,Закрытые!$H$5:$H$300)+SUMIF(История!$B$5:$B$300,$B202&amp;"/*",История!$F$5:$F$300)+SUMIF(История!$B$5:$B$300,"*/"&amp;$B202,История!$E$5:$E$300),8))</f>
        <v/>
      </c>
      <c r="E202" s="339">
        <f>IF($B202="","",ROUND(C202-D202,8))</f>
        <v/>
      </c>
    </row>
    <row r="203" ht="22" customHeight="1">
      <c r="B203" s="315" t="n"/>
      <c r="C203" s="240">
        <f>IF($B203="","",ROUND(SUMIF(Торговля!$E$5:$E$300,$B203&amp;"/*",Торговля!$F$5:$F$300)+SUMIF(Торговля!$E$5:$E$300,"*/"&amp;$B203,Торговля!$K$5:$K$300)+SUMIF(Лэндинг!$E$5:$E$300,$B203&amp;"/*",Лэндинг!$F$5:$F$300)+SUMIF(Лэндинг!$E$5:$E$300,"*/"&amp;$B203,Лэндинг!$K$5:$K$300)+SUMIF(Закрытые!$E$5:$E$300,$B203&amp;"/*",Закрытые!$F$5:$F$300)+SUMIF(Закрытые!$E$5:$E$300,"*/"&amp;$B203,Закрытые!$K$5:$K$300)+SUMIF(История!$B$5:$B$300,$B203&amp;"/*",История!$C$5:$C$300)+SUMIF(История!$B$5:$B$300,"*/"&amp;$B203,История!$H$5:$H$300),8))</f>
        <v/>
      </c>
      <c r="D203" s="240">
        <f>IF($B203="","",ROUND(SUMIF(Торговля!$E$5:$E$300,$B203&amp;"/*",Торговля!$I$5:$I$300)+SUMIF(Торговля!$E$5:$E$300,"*/"&amp;$B203,Торговля!$H$5:$H$300)+SUMIF(Лэндинг!$E$5:$E$300,$B203&amp;"/*",Лэндинг!$I$5:$I$300)+SUMIF(Лэндинг!$E$5:$E$300,"*/"&amp;$B203,Лэндинг!$H$5:$H$300)+SUMIF(Закрытые!$E$5:$E$300,$B203&amp;"/*",Закрытые!$I$5:$I$300)+SUMIF(Закрытые!$E$5:$E$300,"*/"&amp;$B203,Закрытые!$H$5:$H$300)+SUMIF(История!$B$5:$B$300,$B203&amp;"/*",История!$F$5:$F$300)+SUMIF(История!$B$5:$B$300,"*/"&amp;$B203,История!$E$5:$E$300),8))</f>
        <v/>
      </c>
      <c r="E203" s="339">
        <f>IF($B203="","",ROUND(C203-D203,8))</f>
        <v/>
      </c>
    </row>
    <row r="204" ht="22" customHeight="1">
      <c r="B204" s="320" t="n"/>
      <c r="C204" s="240">
        <f>IF($B204="","",ROUND(SUMIF(Торговля!$E$5:$E$300,$B204&amp;"/*",Торговля!$F$5:$F$300)+SUMIF(Торговля!$E$5:$E$300,"*/"&amp;$B204,Торговля!$K$5:$K$300)+SUMIF(Лэндинг!$E$5:$E$300,$B204&amp;"/*",Лэндинг!$F$5:$F$300)+SUMIF(Лэндинг!$E$5:$E$300,"*/"&amp;$B204,Лэндинг!$K$5:$K$300)+SUMIF(Закрытые!$E$5:$E$300,$B204&amp;"/*",Закрытые!$F$5:$F$300)+SUMIF(Закрытые!$E$5:$E$300,"*/"&amp;$B204,Закрытые!$K$5:$K$300)+SUMIF(История!$B$5:$B$300,$B204&amp;"/*",История!$C$5:$C$300)+SUMIF(История!$B$5:$B$300,"*/"&amp;$B204,История!$H$5:$H$300),8))</f>
        <v/>
      </c>
      <c r="D204" s="240">
        <f>IF($B204="","",ROUND(SUMIF(Торговля!$E$5:$E$300,$B204&amp;"/*",Торговля!$I$5:$I$300)+SUMIF(Торговля!$E$5:$E$300,"*/"&amp;$B204,Торговля!$H$5:$H$300)+SUMIF(Лэндинг!$E$5:$E$300,$B204&amp;"/*",Лэндинг!$I$5:$I$300)+SUMIF(Лэндинг!$E$5:$E$300,"*/"&amp;$B204,Лэндинг!$H$5:$H$300)+SUMIF(Закрытые!$E$5:$E$300,$B204&amp;"/*",Закрытые!$I$5:$I$300)+SUMIF(Закрытые!$E$5:$E$300,"*/"&amp;$B204,Закрытые!$H$5:$H$300)+SUMIF(История!$B$5:$B$300,$B204&amp;"/*",История!$F$5:$F$300)+SUMIF(История!$B$5:$B$300,"*/"&amp;$B204,История!$E$5:$E$300),8))</f>
        <v/>
      </c>
      <c r="E204" s="339">
        <f>IF($B204="","",ROUND(C204-D204,8))</f>
        <v/>
      </c>
    </row>
    <row r="205" ht="22" customHeight="1">
      <c r="B205" s="315" t="n"/>
      <c r="C205" s="240">
        <f>IF($B205="","",ROUND(SUMIF(Торговля!$E$5:$E$300,$B205&amp;"/*",Торговля!$F$5:$F$300)+SUMIF(Торговля!$E$5:$E$300,"*/"&amp;$B205,Торговля!$K$5:$K$300)+SUMIF(Лэндинг!$E$5:$E$300,$B205&amp;"/*",Лэндинг!$F$5:$F$300)+SUMIF(Лэндинг!$E$5:$E$300,"*/"&amp;$B205,Лэндинг!$K$5:$K$300)+SUMIF(Закрытые!$E$5:$E$300,$B205&amp;"/*",Закрытые!$F$5:$F$300)+SUMIF(Закрытые!$E$5:$E$300,"*/"&amp;$B205,Закрытые!$K$5:$K$300)+SUMIF(История!$B$5:$B$300,$B205&amp;"/*",История!$C$5:$C$300)+SUMIF(История!$B$5:$B$300,"*/"&amp;$B205,История!$H$5:$H$300),8))</f>
        <v/>
      </c>
      <c r="D205" s="240">
        <f>IF($B205="","",ROUND(SUMIF(Торговля!$E$5:$E$300,$B205&amp;"/*",Торговля!$I$5:$I$300)+SUMIF(Торговля!$E$5:$E$300,"*/"&amp;$B205,Торговля!$H$5:$H$300)+SUMIF(Лэндинг!$E$5:$E$300,$B205&amp;"/*",Лэндинг!$I$5:$I$300)+SUMIF(Лэндинг!$E$5:$E$300,"*/"&amp;$B205,Лэндинг!$H$5:$H$300)+SUMIF(Закрытые!$E$5:$E$300,$B205&amp;"/*",Закрытые!$I$5:$I$300)+SUMIF(Закрытые!$E$5:$E$300,"*/"&amp;$B205,Закрытые!$H$5:$H$300)+SUMIF(История!$B$5:$B$300,$B205&amp;"/*",История!$F$5:$F$300)+SUMIF(История!$B$5:$B$300,"*/"&amp;$B205,История!$E$5:$E$300),8))</f>
        <v/>
      </c>
      <c r="E205" s="339">
        <f>IF($B205="","",ROUND(C205-D205,8))</f>
        <v/>
      </c>
    </row>
    <row r="206" ht="22" customHeight="1">
      <c r="B206" s="320" t="n"/>
      <c r="C206" s="240">
        <f>IF($B206="","",ROUND(SUMIF(Торговля!$E$5:$E$300,$B206&amp;"/*",Торговля!$F$5:$F$300)+SUMIF(Торговля!$E$5:$E$300,"*/"&amp;$B206,Торговля!$K$5:$K$300)+SUMIF(Лэндинг!$E$5:$E$300,$B206&amp;"/*",Лэндинг!$F$5:$F$300)+SUMIF(Лэндинг!$E$5:$E$300,"*/"&amp;$B206,Лэндинг!$K$5:$K$300)+SUMIF(Закрытые!$E$5:$E$300,$B206&amp;"/*",Закрытые!$F$5:$F$300)+SUMIF(Закрытые!$E$5:$E$300,"*/"&amp;$B206,Закрытые!$K$5:$K$300)+SUMIF(История!$B$5:$B$300,$B206&amp;"/*",История!$C$5:$C$300)+SUMIF(История!$B$5:$B$300,"*/"&amp;$B206,История!$H$5:$H$300),8))</f>
        <v/>
      </c>
      <c r="D206" s="240">
        <f>IF($B206="","",ROUND(SUMIF(Торговля!$E$5:$E$300,$B206&amp;"/*",Торговля!$I$5:$I$300)+SUMIF(Торговля!$E$5:$E$300,"*/"&amp;$B206,Торговля!$H$5:$H$300)+SUMIF(Лэндинг!$E$5:$E$300,$B206&amp;"/*",Лэндинг!$I$5:$I$300)+SUMIF(Лэндинг!$E$5:$E$300,"*/"&amp;$B206,Лэндинг!$H$5:$H$300)+SUMIF(Закрытые!$E$5:$E$300,$B206&amp;"/*",Закрытые!$I$5:$I$300)+SUMIF(Закрытые!$E$5:$E$300,"*/"&amp;$B206,Закрытые!$H$5:$H$300)+SUMIF(История!$B$5:$B$300,$B206&amp;"/*",История!$F$5:$F$300)+SUMIF(История!$B$5:$B$300,"*/"&amp;$B206,История!$E$5:$E$300),8))</f>
        <v/>
      </c>
      <c r="E206" s="339">
        <f>IF($B206="","",ROUND(C206-D206,8))</f>
        <v/>
      </c>
    </row>
    <row r="207" ht="22" customHeight="1">
      <c r="B207" s="315" t="n"/>
      <c r="C207" s="240">
        <f>IF($B207="","",ROUND(SUMIF(Торговля!$E$5:$E$300,$B207&amp;"/*",Торговля!$F$5:$F$300)+SUMIF(Торговля!$E$5:$E$300,"*/"&amp;$B207,Торговля!$K$5:$K$300)+SUMIF(Лэндинг!$E$5:$E$300,$B207&amp;"/*",Лэндинг!$F$5:$F$300)+SUMIF(Лэндинг!$E$5:$E$300,"*/"&amp;$B207,Лэндинг!$K$5:$K$300)+SUMIF(Закрытые!$E$5:$E$300,$B207&amp;"/*",Закрытые!$F$5:$F$300)+SUMIF(Закрытые!$E$5:$E$300,"*/"&amp;$B207,Закрытые!$K$5:$K$300)+SUMIF(История!$B$5:$B$300,$B207&amp;"/*",История!$C$5:$C$300)+SUMIF(История!$B$5:$B$300,"*/"&amp;$B207,История!$H$5:$H$300),8))</f>
        <v/>
      </c>
      <c r="D207" s="240">
        <f>IF($B207="","",ROUND(SUMIF(Торговля!$E$5:$E$300,$B207&amp;"/*",Торговля!$I$5:$I$300)+SUMIF(Торговля!$E$5:$E$300,"*/"&amp;$B207,Торговля!$H$5:$H$300)+SUMIF(Лэндинг!$E$5:$E$300,$B207&amp;"/*",Лэндинг!$I$5:$I$300)+SUMIF(Лэндинг!$E$5:$E$300,"*/"&amp;$B207,Лэндинг!$H$5:$H$300)+SUMIF(Закрытые!$E$5:$E$300,$B207&amp;"/*",Закрытые!$I$5:$I$300)+SUMIF(Закрытые!$E$5:$E$300,"*/"&amp;$B207,Закрытые!$H$5:$H$300)+SUMIF(История!$B$5:$B$300,$B207&amp;"/*",История!$F$5:$F$300)+SUMIF(История!$B$5:$B$300,"*/"&amp;$B207,История!$E$5:$E$300),8))</f>
        <v/>
      </c>
      <c r="E207" s="339">
        <f>IF($B207="","",ROUND(C207-D207,8))</f>
        <v/>
      </c>
    </row>
    <row r="208" ht="22" customHeight="1">
      <c r="B208" s="320" t="n"/>
      <c r="C208" s="240">
        <f>IF($B208="","",ROUND(SUMIF(Торговля!$E$5:$E$300,$B208&amp;"/*",Торговля!$F$5:$F$300)+SUMIF(Торговля!$E$5:$E$300,"*/"&amp;$B208,Торговля!$K$5:$K$300)+SUMIF(Лэндинг!$E$5:$E$300,$B208&amp;"/*",Лэндинг!$F$5:$F$300)+SUMIF(Лэндинг!$E$5:$E$300,"*/"&amp;$B208,Лэндинг!$K$5:$K$300)+SUMIF(Закрытые!$E$5:$E$300,$B208&amp;"/*",Закрытые!$F$5:$F$300)+SUMIF(Закрытые!$E$5:$E$300,"*/"&amp;$B208,Закрытые!$K$5:$K$300)+SUMIF(История!$B$5:$B$300,$B208&amp;"/*",История!$C$5:$C$300)+SUMIF(История!$B$5:$B$300,"*/"&amp;$B208,История!$H$5:$H$300),8))</f>
        <v/>
      </c>
      <c r="D208" s="240">
        <f>IF($B208="","",ROUND(SUMIF(Торговля!$E$5:$E$300,$B208&amp;"/*",Торговля!$I$5:$I$300)+SUMIF(Торговля!$E$5:$E$300,"*/"&amp;$B208,Торговля!$H$5:$H$300)+SUMIF(Лэндинг!$E$5:$E$300,$B208&amp;"/*",Лэндинг!$I$5:$I$300)+SUMIF(Лэндинг!$E$5:$E$300,"*/"&amp;$B208,Лэндинг!$H$5:$H$300)+SUMIF(Закрытые!$E$5:$E$300,$B208&amp;"/*",Закрытые!$I$5:$I$300)+SUMIF(Закрытые!$E$5:$E$300,"*/"&amp;$B208,Закрытые!$H$5:$H$300)+SUMIF(История!$B$5:$B$300,$B208&amp;"/*",История!$F$5:$F$300)+SUMIF(История!$B$5:$B$300,"*/"&amp;$B208,История!$E$5:$E$300),8))</f>
        <v/>
      </c>
      <c r="E208" s="339">
        <f>IF($B208="","",ROUND(C208-D208,8))</f>
        <v/>
      </c>
    </row>
    <row r="209" ht="22" customHeight="1">
      <c r="B209" s="315" t="n"/>
      <c r="C209" s="240">
        <f>IF($B209="","",ROUND(SUMIF(Торговля!$E$5:$E$300,$B209&amp;"/*",Торговля!$F$5:$F$300)+SUMIF(Торговля!$E$5:$E$300,"*/"&amp;$B209,Торговля!$K$5:$K$300)+SUMIF(Лэндинг!$E$5:$E$300,$B209&amp;"/*",Лэндинг!$F$5:$F$300)+SUMIF(Лэндинг!$E$5:$E$300,"*/"&amp;$B209,Лэндинг!$K$5:$K$300)+SUMIF(Закрытые!$E$5:$E$300,$B209&amp;"/*",Закрытые!$F$5:$F$300)+SUMIF(Закрытые!$E$5:$E$300,"*/"&amp;$B209,Закрытые!$K$5:$K$300)+SUMIF(История!$B$5:$B$300,$B209&amp;"/*",История!$C$5:$C$300)+SUMIF(История!$B$5:$B$300,"*/"&amp;$B209,История!$H$5:$H$300),8))</f>
        <v/>
      </c>
      <c r="D209" s="240">
        <f>IF($B209="","",ROUND(SUMIF(Торговля!$E$5:$E$300,$B209&amp;"/*",Торговля!$I$5:$I$300)+SUMIF(Торговля!$E$5:$E$300,"*/"&amp;$B209,Торговля!$H$5:$H$300)+SUMIF(Лэндинг!$E$5:$E$300,$B209&amp;"/*",Лэндинг!$I$5:$I$300)+SUMIF(Лэндинг!$E$5:$E$300,"*/"&amp;$B209,Лэндинг!$H$5:$H$300)+SUMIF(Закрытые!$E$5:$E$300,$B209&amp;"/*",Закрытые!$I$5:$I$300)+SUMIF(Закрытые!$E$5:$E$300,"*/"&amp;$B209,Закрытые!$H$5:$H$300)+SUMIF(История!$B$5:$B$300,$B209&amp;"/*",История!$F$5:$F$300)+SUMIF(История!$B$5:$B$300,"*/"&amp;$B209,История!$E$5:$E$300),8))</f>
        <v/>
      </c>
      <c r="E209" s="339">
        <f>IF($B209="","",ROUND(C209-D209,8))</f>
        <v/>
      </c>
    </row>
    <row r="210" ht="22" customHeight="1">
      <c r="B210" s="320" t="n"/>
      <c r="C210" s="240">
        <f>IF($B210="","",ROUND(SUMIF(Торговля!$E$5:$E$300,$B210&amp;"/*",Торговля!$F$5:$F$300)+SUMIF(Торговля!$E$5:$E$300,"*/"&amp;$B210,Торговля!$K$5:$K$300)+SUMIF(Лэндинг!$E$5:$E$300,$B210&amp;"/*",Лэндинг!$F$5:$F$300)+SUMIF(Лэндинг!$E$5:$E$300,"*/"&amp;$B210,Лэндинг!$K$5:$K$300)+SUMIF(Закрытые!$E$5:$E$300,$B210&amp;"/*",Закрытые!$F$5:$F$300)+SUMIF(Закрытые!$E$5:$E$300,"*/"&amp;$B210,Закрытые!$K$5:$K$300)+SUMIF(История!$B$5:$B$300,$B210&amp;"/*",История!$C$5:$C$300)+SUMIF(История!$B$5:$B$300,"*/"&amp;$B210,История!$H$5:$H$300),8))</f>
        <v/>
      </c>
      <c r="D210" s="240">
        <f>IF($B210="","",ROUND(SUMIF(Торговля!$E$5:$E$300,$B210&amp;"/*",Торговля!$I$5:$I$300)+SUMIF(Торговля!$E$5:$E$300,"*/"&amp;$B210,Торговля!$H$5:$H$300)+SUMIF(Лэндинг!$E$5:$E$300,$B210&amp;"/*",Лэндинг!$I$5:$I$300)+SUMIF(Лэндинг!$E$5:$E$300,"*/"&amp;$B210,Лэндинг!$H$5:$H$300)+SUMIF(Закрытые!$E$5:$E$300,$B210&amp;"/*",Закрытые!$I$5:$I$300)+SUMIF(Закрытые!$E$5:$E$300,"*/"&amp;$B210,Закрытые!$H$5:$H$300)+SUMIF(История!$B$5:$B$300,$B210&amp;"/*",История!$F$5:$F$300)+SUMIF(История!$B$5:$B$300,"*/"&amp;$B210,История!$E$5:$E$300),8))</f>
        <v/>
      </c>
      <c r="E210" s="339">
        <f>IF($B210="","",ROUND(C210-D210,8))</f>
        <v/>
      </c>
    </row>
    <row r="211" ht="22" customHeight="1">
      <c r="B211" s="315" t="n"/>
      <c r="C211" s="240">
        <f>IF($B211="","",ROUND(SUMIF(Торговля!$E$5:$E$300,$B211&amp;"/*",Торговля!$F$5:$F$300)+SUMIF(Торговля!$E$5:$E$300,"*/"&amp;$B211,Торговля!$K$5:$K$300)+SUMIF(Лэндинг!$E$5:$E$300,$B211&amp;"/*",Лэндинг!$F$5:$F$300)+SUMIF(Лэндинг!$E$5:$E$300,"*/"&amp;$B211,Лэндинг!$K$5:$K$300)+SUMIF(Закрытые!$E$5:$E$300,$B211&amp;"/*",Закрытые!$F$5:$F$300)+SUMIF(Закрытые!$E$5:$E$300,"*/"&amp;$B211,Закрытые!$K$5:$K$300)+SUMIF(История!$B$5:$B$300,$B211&amp;"/*",История!$C$5:$C$300)+SUMIF(История!$B$5:$B$300,"*/"&amp;$B211,История!$H$5:$H$300),8))</f>
        <v/>
      </c>
      <c r="D211" s="240">
        <f>IF($B211="","",ROUND(SUMIF(Торговля!$E$5:$E$300,$B211&amp;"/*",Торговля!$I$5:$I$300)+SUMIF(Торговля!$E$5:$E$300,"*/"&amp;$B211,Торговля!$H$5:$H$300)+SUMIF(Лэндинг!$E$5:$E$300,$B211&amp;"/*",Лэндинг!$I$5:$I$300)+SUMIF(Лэндинг!$E$5:$E$300,"*/"&amp;$B211,Лэндинг!$H$5:$H$300)+SUMIF(Закрытые!$E$5:$E$300,$B211&amp;"/*",Закрытые!$I$5:$I$300)+SUMIF(Закрытые!$E$5:$E$300,"*/"&amp;$B211,Закрытые!$H$5:$H$300)+SUMIF(История!$B$5:$B$300,$B211&amp;"/*",История!$F$5:$F$300)+SUMIF(История!$B$5:$B$300,"*/"&amp;$B211,История!$E$5:$E$300),8))</f>
        <v/>
      </c>
      <c r="E211" s="339">
        <f>IF($B211="","",ROUND(C211-D211,8))</f>
        <v/>
      </c>
    </row>
    <row r="212" ht="22" customHeight="1">
      <c r="B212" s="320" t="n"/>
      <c r="C212" s="240">
        <f>IF($B212="","",ROUND(SUMIF(Торговля!$E$5:$E$300,$B212&amp;"/*",Торговля!$F$5:$F$300)+SUMIF(Торговля!$E$5:$E$300,"*/"&amp;$B212,Торговля!$K$5:$K$300)+SUMIF(Лэндинг!$E$5:$E$300,$B212&amp;"/*",Лэндинг!$F$5:$F$300)+SUMIF(Лэндинг!$E$5:$E$300,"*/"&amp;$B212,Лэндинг!$K$5:$K$300)+SUMIF(Закрытые!$E$5:$E$300,$B212&amp;"/*",Закрытые!$F$5:$F$300)+SUMIF(Закрытые!$E$5:$E$300,"*/"&amp;$B212,Закрытые!$K$5:$K$300)+SUMIF(История!$B$5:$B$300,$B212&amp;"/*",История!$C$5:$C$300)+SUMIF(История!$B$5:$B$300,"*/"&amp;$B212,История!$H$5:$H$300),8))</f>
        <v/>
      </c>
      <c r="D212" s="240">
        <f>IF($B212="","",ROUND(SUMIF(Торговля!$E$5:$E$300,$B212&amp;"/*",Торговля!$I$5:$I$300)+SUMIF(Торговля!$E$5:$E$300,"*/"&amp;$B212,Торговля!$H$5:$H$300)+SUMIF(Лэндинг!$E$5:$E$300,$B212&amp;"/*",Лэндинг!$I$5:$I$300)+SUMIF(Лэндинг!$E$5:$E$300,"*/"&amp;$B212,Лэндинг!$H$5:$H$300)+SUMIF(Закрытые!$E$5:$E$300,$B212&amp;"/*",Закрытые!$I$5:$I$300)+SUMIF(Закрытые!$E$5:$E$300,"*/"&amp;$B212,Закрытые!$H$5:$H$300)+SUMIF(История!$B$5:$B$300,$B212&amp;"/*",История!$F$5:$F$300)+SUMIF(История!$B$5:$B$300,"*/"&amp;$B212,История!$E$5:$E$300),8))</f>
        <v/>
      </c>
      <c r="E212" s="339">
        <f>IF($B212="","",ROUND(C212-D212,8))</f>
        <v/>
      </c>
    </row>
    <row r="213" ht="22" customHeight="1">
      <c r="B213" s="315" t="n"/>
      <c r="C213" s="240">
        <f>IF($B213="","",ROUND(SUMIF(Торговля!$E$5:$E$300,$B213&amp;"/*",Торговля!$F$5:$F$300)+SUMIF(Торговля!$E$5:$E$300,"*/"&amp;$B213,Торговля!$K$5:$K$300)+SUMIF(Лэндинг!$E$5:$E$300,$B213&amp;"/*",Лэндинг!$F$5:$F$300)+SUMIF(Лэндинг!$E$5:$E$300,"*/"&amp;$B213,Лэндинг!$K$5:$K$300)+SUMIF(Закрытые!$E$5:$E$300,$B213&amp;"/*",Закрытые!$F$5:$F$300)+SUMIF(Закрытые!$E$5:$E$300,"*/"&amp;$B213,Закрытые!$K$5:$K$300)+SUMIF(История!$B$5:$B$300,$B213&amp;"/*",История!$C$5:$C$300)+SUMIF(История!$B$5:$B$300,"*/"&amp;$B213,История!$H$5:$H$300),8))</f>
        <v/>
      </c>
      <c r="D213" s="240">
        <f>IF($B213="","",ROUND(SUMIF(Торговля!$E$5:$E$300,$B213&amp;"/*",Торговля!$I$5:$I$300)+SUMIF(Торговля!$E$5:$E$300,"*/"&amp;$B213,Торговля!$H$5:$H$300)+SUMIF(Лэндинг!$E$5:$E$300,$B213&amp;"/*",Лэндинг!$I$5:$I$300)+SUMIF(Лэндинг!$E$5:$E$300,"*/"&amp;$B213,Лэндинг!$H$5:$H$300)+SUMIF(Закрытые!$E$5:$E$300,$B213&amp;"/*",Закрытые!$I$5:$I$300)+SUMIF(Закрытые!$E$5:$E$300,"*/"&amp;$B213,Закрытые!$H$5:$H$300)+SUMIF(История!$B$5:$B$300,$B213&amp;"/*",История!$F$5:$F$300)+SUMIF(История!$B$5:$B$300,"*/"&amp;$B213,История!$E$5:$E$300),8))</f>
        <v/>
      </c>
      <c r="E213" s="339">
        <f>IF($B213="","",ROUND(C213-D213,8))</f>
        <v/>
      </c>
    </row>
    <row r="214" ht="22" customHeight="1">
      <c r="B214" s="320" t="n"/>
      <c r="C214" s="240">
        <f>IF($B214="","",ROUND(SUMIF(Торговля!$E$5:$E$300,$B214&amp;"/*",Торговля!$F$5:$F$300)+SUMIF(Торговля!$E$5:$E$300,"*/"&amp;$B214,Торговля!$K$5:$K$300)+SUMIF(Лэндинг!$E$5:$E$300,$B214&amp;"/*",Лэндинг!$F$5:$F$300)+SUMIF(Лэндинг!$E$5:$E$300,"*/"&amp;$B214,Лэндинг!$K$5:$K$300)+SUMIF(Закрытые!$E$5:$E$300,$B214&amp;"/*",Закрытые!$F$5:$F$300)+SUMIF(Закрытые!$E$5:$E$300,"*/"&amp;$B214,Закрытые!$K$5:$K$300)+SUMIF(История!$B$5:$B$300,$B214&amp;"/*",История!$C$5:$C$300)+SUMIF(История!$B$5:$B$300,"*/"&amp;$B214,История!$H$5:$H$300),8))</f>
        <v/>
      </c>
      <c r="D214" s="240">
        <f>IF($B214="","",ROUND(SUMIF(Торговля!$E$5:$E$300,$B214&amp;"/*",Торговля!$I$5:$I$300)+SUMIF(Торговля!$E$5:$E$300,"*/"&amp;$B214,Торговля!$H$5:$H$300)+SUMIF(Лэндинг!$E$5:$E$300,$B214&amp;"/*",Лэндинг!$I$5:$I$300)+SUMIF(Лэндинг!$E$5:$E$300,"*/"&amp;$B214,Лэндинг!$H$5:$H$300)+SUMIF(Закрытые!$E$5:$E$300,$B214&amp;"/*",Закрытые!$I$5:$I$300)+SUMIF(Закрытые!$E$5:$E$300,"*/"&amp;$B214,Закрытые!$H$5:$H$300)+SUMIF(История!$B$5:$B$300,$B214&amp;"/*",История!$F$5:$F$300)+SUMIF(История!$B$5:$B$300,"*/"&amp;$B214,История!$E$5:$E$300),8))</f>
        <v/>
      </c>
      <c r="E214" s="339">
        <f>IF($B214="","",ROUND(C214-D214,8))</f>
        <v/>
      </c>
    </row>
    <row r="215" ht="22" customHeight="1">
      <c r="B215" s="315" t="n"/>
      <c r="C215" s="240">
        <f>IF($B215="","",ROUND(SUMIF(Торговля!$E$5:$E$300,$B215&amp;"/*",Торговля!$F$5:$F$300)+SUMIF(Торговля!$E$5:$E$300,"*/"&amp;$B215,Торговля!$K$5:$K$300)+SUMIF(Лэндинг!$E$5:$E$300,$B215&amp;"/*",Лэндинг!$F$5:$F$300)+SUMIF(Лэндинг!$E$5:$E$300,"*/"&amp;$B215,Лэндинг!$K$5:$K$300)+SUMIF(Закрытые!$E$5:$E$300,$B215&amp;"/*",Закрытые!$F$5:$F$300)+SUMIF(Закрытые!$E$5:$E$300,"*/"&amp;$B215,Закрытые!$K$5:$K$300)+SUMIF(История!$B$5:$B$300,$B215&amp;"/*",История!$C$5:$C$300)+SUMIF(История!$B$5:$B$300,"*/"&amp;$B215,История!$H$5:$H$300),8))</f>
        <v/>
      </c>
      <c r="D215" s="240">
        <f>IF($B215="","",ROUND(SUMIF(Торговля!$E$5:$E$300,$B215&amp;"/*",Торговля!$I$5:$I$300)+SUMIF(Торговля!$E$5:$E$300,"*/"&amp;$B215,Торговля!$H$5:$H$300)+SUMIF(Лэндинг!$E$5:$E$300,$B215&amp;"/*",Лэндинг!$I$5:$I$300)+SUMIF(Лэндинг!$E$5:$E$300,"*/"&amp;$B215,Лэндинг!$H$5:$H$300)+SUMIF(Закрытые!$E$5:$E$300,$B215&amp;"/*",Закрытые!$I$5:$I$300)+SUMIF(Закрытые!$E$5:$E$300,"*/"&amp;$B215,Закрытые!$H$5:$H$300)+SUMIF(История!$B$5:$B$300,$B215&amp;"/*",История!$F$5:$F$300)+SUMIF(История!$B$5:$B$300,"*/"&amp;$B215,История!$E$5:$E$300),8))</f>
        <v/>
      </c>
      <c r="E215" s="339">
        <f>IF($B215="","",ROUND(C215-D215,8))</f>
        <v/>
      </c>
    </row>
    <row r="216" ht="22" customHeight="1">
      <c r="B216" s="320" t="n"/>
      <c r="C216" s="240">
        <f>IF($B216="","",ROUND(SUMIF(Торговля!$E$5:$E$300,$B216&amp;"/*",Торговля!$F$5:$F$300)+SUMIF(Торговля!$E$5:$E$300,"*/"&amp;$B216,Торговля!$K$5:$K$300)+SUMIF(Лэндинг!$E$5:$E$300,$B216&amp;"/*",Лэндинг!$F$5:$F$300)+SUMIF(Лэндинг!$E$5:$E$300,"*/"&amp;$B216,Лэндинг!$K$5:$K$300)+SUMIF(Закрытые!$E$5:$E$300,$B216&amp;"/*",Закрытые!$F$5:$F$300)+SUMIF(Закрытые!$E$5:$E$300,"*/"&amp;$B216,Закрытые!$K$5:$K$300)+SUMIF(История!$B$5:$B$300,$B216&amp;"/*",История!$C$5:$C$300)+SUMIF(История!$B$5:$B$300,"*/"&amp;$B216,История!$H$5:$H$300),8))</f>
        <v/>
      </c>
      <c r="D216" s="240">
        <f>IF($B216="","",ROUND(SUMIF(Торговля!$E$5:$E$300,$B216&amp;"/*",Торговля!$I$5:$I$300)+SUMIF(Торговля!$E$5:$E$300,"*/"&amp;$B216,Торговля!$H$5:$H$300)+SUMIF(Лэндинг!$E$5:$E$300,$B216&amp;"/*",Лэндинг!$I$5:$I$300)+SUMIF(Лэндинг!$E$5:$E$300,"*/"&amp;$B216,Лэндинг!$H$5:$H$300)+SUMIF(Закрытые!$E$5:$E$300,$B216&amp;"/*",Закрытые!$I$5:$I$300)+SUMIF(Закрытые!$E$5:$E$300,"*/"&amp;$B216,Закрытые!$H$5:$H$300)+SUMIF(История!$B$5:$B$300,$B216&amp;"/*",История!$F$5:$F$300)+SUMIF(История!$B$5:$B$300,"*/"&amp;$B216,История!$E$5:$E$300),8))</f>
        <v/>
      </c>
      <c r="E216" s="339">
        <f>IF($B216="","",ROUND(C216-D216,8))</f>
        <v/>
      </c>
    </row>
    <row r="217" ht="22" customHeight="1">
      <c r="B217" s="315" t="n"/>
      <c r="C217" s="240">
        <f>IF($B217="","",ROUND(SUMIF(Торговля!$E$5:$E$300,$B217&amp;"/*",Торговля!$F$5:$F$300)+SUMIF(Торговля!$E$5:$E$300,"*/"&amp;$B217,Торговля!$K$5:$K$300)+SUMIF(Лэндинг!$E$5:$E$300,$B217&amp;"/*",Лэндинг!$F$5:$F$300)+SUMIF(Лэндинг!$E$5:$E$300,"*/"&amp;$B217,Лэндинг!$K$5:$K$300)+SUMIF(Закрытые!$E$5:$E$300,$B217&amp;"/*",Закрытые!$F$5:$F$300)+SUMIF(Закрытые!$E$5:$E$300,"*/"&amp;$B217,Закрытые!$K$5:$K$300)+SUMIF(История!$B$5:$B$300,$B217&amp;"/*",История!$C$5:$C$300)+SUMIF(История!$B$5:$B$300,"*/"&amp;$B217,История!$H$5:$H$300),8))</f>
        <v/>
      </c>
      <c r="D217" s="240">
        <f>IF($B217="","",ROUND(SUMIF(Торговля!$E$5:$E$300,$B217&amp;"/*",Торговля!$I$5:$I$300)+SUMIF(Торговля!$E$5:$E$300,"*/"&amp;$B217,Торговля!$H$5:$H$300)+SUMIF(Лэндинг!$E$5:$E$300,$B217&amp;"/*",Лэндинг!$I$5:$I$300)+SUMIF(Лэндинг!$E$5:$E$300,"*/"&amp;$B217,Лэндинг!$H$5:$H$300)+SUMIF(Закрытые!$E$5:$E$300,$B217&amp;"/*",Закрытые!$I$5:$I$300)+SUMIF(Закрытые!$E$5:$E$300,"*/"&amp;$B217,Закрытые!$H$5:$H$300)+SUMIF(История!$B$5:$B$300,$B217&amp;"/*",История!$F$5:$F$300)+SUMIF(История!$B$5:$B$300,"*/"&amp;$B217,История!$E$5:$E$300),8))</f>
        <v/>
      </c>
      <c r="E217" s="339">
        <f>IF($B217="","",ROUND(C217-D217,8))</f>
        <v/>
      </c>
    </row>
    <row r="218" ht="22" customHeight="1">
      <c r="B218" s="320" t="n"/>
      <c r="C218" s="240">
        <f>IF($B218="","",ROUND(SUMIF(Торговля!$E$5:$E$300,$B218&amp;"/*",Торговля!$F$5:$F$300)+SUMIF(Торговля!$E$5:$E$300,"*/"&amp;$B218,Торговля!$K$5:$K$300)+SUMIF(Лэндинг!$E$5:$E$300,$B218&amp;"/*",Лэндинг!$F$5:$F$300)+SUMIF(Лэндинг!$E$5:$E$300,"*/"&amp;$B218,Лэндинг!$K$5:$K$300)+SUMIF(Закрытые!$E$5:$E$300,$B218&amp;"/*",Закрытые!$F$5:$F$300)+SUMIF(Закрытые!$E$5:$E$300,"*/"&amp;$B218,Закрытые!$K$5:$K$300)+SUMIF(История!$B$5:$B$300,$B218&amp;"/*",История!$C$5:$C$300)+SUMIF(История!$B$5:$B$300,"*/"&amp;$B218,История!$H$5:$H$300),8))</f>
        <v/>
      </c>
      <c r="D218" s="240">
        <f>IF($B218="","",ROUND(SUMIF(Торговля!$E$5:$E$300,$B218&amp;"/*",Торговля!$I$5:$I$300)+SUMIF(Торговля!$E$5:$E$300,"*/"&amp;$B218,Торговля!$H$5:$H$300)+SUMIF(Лэндинг!$E$5:$E$300,$B218&amp;"/*",Лэндинг!$I$5:$I$300)+SUMIF(Лэндинг!$E$5:$E$300,"*/"&amp;$B218,Лэндинг!$H$5:$H$300)+SUMIF(Закрытые!$E$5:$E$300,$B218&amp;"/*",Закрытые!$I$5:$I$300)+SUMIF(Закрытые!$E$5:$E$300,"*/"&amp;$B218,Закрытые!$H$5:$H$300)+SUMIF(История!$B$5:$B$300,$B218&amp;"/*",История!$F$5:$F$300)+SUMIF(История!$B$5:$B$300,"*/"&amp;$B218,История!$E$5:$E$300),8))</f>
        <v/>
      </c>
      <c r="E218" s="339">
        <f>IF($B218="","",ROUND(C218-D218,8))</f>
        <v/>
      </c>
    </row>
    <row r="219" ht="22" customHeight="1">
      <c r="B219" s="315" t="n"/>
      <c r="C219" s="240">
        <f>IF($B219="","",ROUND(SUMIF(Торговля!$E$5:$E$300,$B219&amp;"/*",Торговля!$F$5:$F$300)+SUMIF(Торговля!$E$5:$E$300,"*/"&amp;$B219,Торговля!$K$5:$K$300)+SUMIF(Лэндинг!$E$5:$E$300,$B219&amp;"/*",Лэндинг!$F$5:$F$300)+SUMIF(Лэндинг!$E$5:$E$300,"*/"&amp;$B219,Лэндинг!$K$5:$K$300)+SUMIF(Закрытые!$E$5:$E$300,$B219&amp;"/*",Закрытые!$F$5:$F$300)+SUMIF(Закрытые!$E$5:$E$300,"*/"&amp;$B219,Закрытые!$K$5:$K$300)+SUMIF(История!$B$5:$B$300,$B219&amp;"/*",История!$C$5:$C$300)+SUMIF(История!$B$5:$B$300,"*/"&amp;$B219,История!$H$5:$H$300),8))</f>
        <v/>
      </c>
      <c r="D219" s="240">
        <f>IF($B219="","",ROUND(SUMIF(Торговля!$E$5:$E$300,$B219&amp;"/*",Торговля!$I$5:$I$300)+SUMIF(Торговля!$E$5:$E$300,"*/"&amp;$B219,Торговля!$H$5:$H$300)+SUMIF(Лэндинг!$E$5:$E$300,$B219&amp;"/*",Лэндинг!$I$5:$I$300)+SUMIF(Лэндинг!$E$5:$E$300,"*/"&amp;$B219,Лэндинг!$H$5:$H$300)+SUMIF(Закрытые!$E$5:$E$300,$B219&amp;"/*",Закрытые!$I$5:$I$300)+SUMIF(Закрытые!$E$5:$E$300,"*/"&amp;$B219,Закрытые!$H$5:$H$300)+SUMIF(История!$B$5:$B$300,$B219&amp;"/*",История!$F$5:$F$300)+SUMIF(История!$B$5:$B$300,"*/"&amp;$B219,История!$E$5:$E$300),8))</f>
        <v/>
      </c>
      <c r="E219" s="339">
        <f>IF($B219="","",ROUND(C219-D219,8))</f>
        <v/>
      </c>
    </row>
    <row r="220" ht="22" customHeight="1">
      <c r="B220" s="320" t="n"/>
      <c r="C220" s="240">
        <f>IF($B220="","",ROUND(SUMIF(Торговля!$E$5:$E$300,$B220&amp;"/*",Торговля!$F$5:$F$300)+SUMIF(Торговля!$E$5:$E$300,"*/"&amp;$B220,Торговля!$K$5:$K$300)+SUMIF(Лэндинг!$E$5:$E$300,$B220&amp;"/*",Лэндинг!$F$5:$F$300)+SUMIF(Лэндинг!$E$5:$E$300,"*/"&amp;$B220,Лэндинг!$K$5:$K$300)+SUMIF(Закрытые!$E$5:$E$300,$B220&amp;"/*",Закрытые!$F$5:$F$300)+SUMIF(Закрытые!$E$5:$E$300,"*/"&amp;$B220,Закрытые!$K$5:$K$300)+SUMIF(История!$B$5:$B$300,$B220&amp;"/*",История!$C$5:$C$300)+SUMIF(История!$B$5:$B$300,"*/"&amp;$B220,История!$H$5:$H$300),8))</f>
        <v/>
      </c>
      <c r="D220" s="240">
        <f>IF($B220="","",ROUND(SUMIF(Торговля!$E$5:$E$300,$B220&amp;"/*",Торговля!$I$5:$I$300)+SUMIF(Торговля!$E$5:$E$300,"*/"&amp;$B220,Торговля!$H$5:$H$300)+SUMIF(Лэндинг!$E$5:$E$300,$B220&amp;"/*",Лэндинг!$I$5:$I$300)+SUMIF(Лэндинг!$E$5:$E$300,"*/"&amp;$B220,Лэндинг!$H$5:$H$300)+SUMIF(Закрытые!$E$5:$E$300,$B220&amp;"/*",Закрытые!$I$5:$I$300)+SUMIF(Закрытые!$E$5:$E$300,"*/"&amp;$B220,Закрытые!$H$5:$H$300)+SUMIF(История!$B$5:$B$300,$B220&amp;"/*",История!$F$5:$F$300)+SUMIF(История!$B$5:$B$300,"*/"&amp;$B220,История!$E$5:$E$300),8))</f>
        <v/>
      </c>
      <c r="E220" s="339">
        <f>IF($B220="","",ROUND(C220-D220,8))</f>
        <v/>
      </c>
    </row>
    <row r="221" ht="22" customHeight="1">
      <c r="B221" s="315" t="n"/>
      <c r="C221" s="240">
        <f>IF($B221="","",ROUND(SUMIF(Торговля!$E$5:$E$300,$B221&amp;"/*",Торговля!$F$5:$F$300)+SUMIF(Торговля!$E$5:$E$300,"*/"&amp;$B221,Торговля!$K$5:$K$300)+SUMIF(Лэндинг!$E$5:$E$300,$B221&amp;"/*",Лэндинг!$F$5:$F$300)+SUMIF(Лэндинг!$E$5:$E$300,"*/"&amp;$B221,Лэндинг!$K$5:$K$300)+SUMIF(Закрытые!$E$5:$E$300,$B221&amp;"/*",Закрытые!$F$5:$F$300)+SUMIF(Закрытые!$E$5:$E$300,"*/"&amp;$B221,Закрытые!$K$5:$K$300)+SUMIF(История!$B$5:$B$300,$B221&amp;"/*",История!$C$5:$C$300)+SUMIF(История!$B$5:$B$300,"*/"&amp;$B221,История!$H$5:$H$300),8))</f>
        <v/>
      </c>
      <c r="D221" s="240">
        <f>IF($B221="","",ROUND(SUMIF(Торговля!$E$5:$E$300,$B221&amp;"/*",Торговля!$I$5:$I$300)+SUMIF(Торговля!$E$5:$E$300,"*/"&amp;$B221,Торговля!$H$5:$H$300)+SUMIF(Лэндинг!$E$5:$E$300,$B221&amp;"/*",Лэндинг!$I$5:$I$300)+SUMIF(Лэндинг!$E$5:$E$300,"*/"&amp;$B221,Лэндинг!$H$5:$H$300)+SUMIF(Закрытые!$E$5:$E$300,$B221&amp;"/*",Закрытые!$I$5:$I$300)+SUMIF(Закрытые!$E$5:$E$300,"*/"&amp;$B221,Закрытые!$H$5:$H$300)+SUMIF(История!$B$5:$B$300,$B221&amp;"/*",История!$F$5:$F$300)+SUMIF(История!$B$5:$B$300,"*/"&amp;$B221,История!$E$5:$E$300),8))</f>
        <v/>
      </c>
      <c r="E221" s="339">
        <f>IF($B221="","",ROUND(C221-D221,8))</f>
        <v/>
      </c>
    </row>
    <row r="222" ht="22" customHeight="1">
      <c r="B222" s="320" t="n"/>
      <c r="C222" s="240">
        <f>IF($B222="","",ROUND(SUMIF(Торговля!$E$5:$E$300,$B222&amp;"/*",Торговля!$F$5:$F$300)+SUMIF(Торговля!$E$5:$E$300,"*/"&amp;$B222,Торговля!$K$5:$K$300)+SUMIF(Лэндинг!$E$5:$E$300,$B222&amp;"/*",Лэндинг!$F$5:$F$300)+SUMIF(Лэндинг!$E$5:$E$300,"*/"&amp;$B222,Лэндинг!$K$5:$K$300)+SUMIF(Закрытые!$E$5:$E$300,$B222&amp;"/*",Закрытые!$F$5:$F$300)+SUMIF(Закрытые!$E$5:$E$300,"*/"&amp;$B222,Закрытые!$K$5:$K$300)+SUMIF(История!$B$5:$B$300,$B222&amp;"/*",История!$C$5:$C$300)+SUMIF(История!$B$5:$B$300,"*/"&amp;$B222,История!$H$5:$H$300),8))</f>
        <v/>
      </c>
      <c r="D222" s="240">
        <f>IF($B222="","",ROUND(SUMIF(Торговля!$E$5:$E$300,$B222&amp;"/*",Торговля!$I$5:$I$300)+SUMIF(Торговля!$E$5:$E$300,"*/"&amp;$B222,Торговля!$H$5:$H$300)+SUMIF(Лэндинг!$E$5:$E$300,$B222&amp;"/*",Лэндинг!$I$5:$I$300)+SUMIF(Лэндинг!$E$5:$E$300,"*/"&amp;$B222,Лэндинг!$H$5:$H$300)+SUMIF(Закрытые!$E$5:$E$300,$B222&amp;"/*",Закрытые!$I$5:$I$300)+SUMIF(Закрытые!$E$5:$E$300,"*/"&amp;$B222,Закрытые!$H$5:$H$300)+SUMIF(История!$B$5:$B$300,$B222&amp;"/*",История!$F$5:$F$300)+SUMIF(История!$B$5:$B$300,"*/"&amp;$B222,История!$E$5:$E$300),8))</f>
        <v/>
      </c>
      <c r="E222" s="339">
        <f>IF($B222="","",ROUND(C222-D222,8))</f>
        <v/>
      </c>
    </row>
    <row r="223" ht="22" customHeight="1">
      <c r="B223" s="315" t="n"/>
      <c r="C223" s="240">
        <f>IF($B223="","",ROUND(SUMIF(Торговля!$E$5:$E$300,$B223&amp;"/*",Торговля!$F$5:$F$300)+SUMIF(Торговля!$E$5:$E$300,"*/"&amp;$B223,Торговля!$K$5:$K$300)+SUMIF(Лэндинг!$E$5:$E$300,$B223&amp;"/*",Лэндинг!$F$5:$F$300)+SUMIF(Лэндинг!$E$5:$E$300,"*/"&amp;$B223,Лэндинг!$K$5:$K$300)+SUMIF(Закрытые!$E$5:$E$300,$B223&amp;"/*",Закрытые!$F$5:$F$300)+SUMIF(Закрытые!$E$5:$E$300,"*/"&amp;$B223,Закрытые!$K$5:$K$300)+SUMIF(История!$B$5:$B$300,$B223&amp;"/*",История!$C$5:$C$300)+SUMIF(История!$B$5:$B$300,"*/"&amp;$B223,История!$H$5:$H$300),8))</f>
        <v/>
      </c>
      <c r="D223" s="240">
        <f>IF($B223="","",ROUND(SUMIF(Торговля!$E$5:$E$300,$B223&amp;"/*",Торговля!$I$5:$I$300)+SUMIF(Торговля!$E$5:$E$300,"*/"&amp;$B223,Торговля!$H$5:$H$300)+SUMIF(Лэндинг!$E$5:$E$300,$B223&amp;"/*",Лэндинг!$I$5:$I$300)+SUMIF(Лэндинг!$E$5:$E$300,"*/"&amp;$B223,Лэндинг!$H$5:$H$300)+SUMIF(Закрытые!$E$5:$E$300,$B223&amp;"/*",Закрытые!$I$5:$I$300)+SUMIF(Закрытые!$E$5:$E$300,"*/"&amp;$B223,Закрытые!$H$5:$H$300)+SUMIF(История!$B$5:$B$300,$B223&amp;"/*",История!$F$5:$F$300)+SUMIF(История!$B$5:$B$300,"*/"&amp;$B223,История!$E$5:$E$300),8))</f>
        <v/>
      </c>
      <c r="E223" s="339">
        <f>IF($B223="","",ROUND(C223-D223,8))</f>
        <v/>
      </c>
    </row>
    <row r="224" ht="22" customHeight="1">
      <c r="B224" s="320" t="n"/>
      <c r="C224" s="240">
        <f>IF($B224="","",ROUND(SUMIF(Торговля!$E$5:$E$300,$B224&amp;"/*",Торговля!$F$5:$F$300)+SUMIF(Торговля!$E$5:$E$300,"*/"&amp;$B224,Торговля!$K$5:$K$300)+SUMIF(Лэндинг!$E$5:$E$300,$B224&amp;"/*",Лэндинг!$F$5:$F$300)+SUMIF(Лэндинг!$E$5:$E$300,"*/"&amp;$B224,Лэндинг!$K$5:$K$300)+SUMIF(Закрытые!$E$5:$E$300,$B224&amp;"/*",Закрытые!$F$5:$F$300)+SUMIF(Закрытые!$E$5:$E$300,"*/"&amp;$B224,Закрытые!$K$5:$K$300)+SUMIF(История!$B$5:$B$300,$B224&amp;"/*",История!$C$5:$C$300)+SUMIF(История!$B$5:$B$300,"*/"&amp;$B224,История!$H$5:$H$300),8))</f>
        <v/>
      </c>
      <c r="D224" s="240">
        <f>IF($B224="","",ROUND(SUMIF(Торговля!$E$5:$E$300,$B224&amp;"/*",Торговля!$I$5:$I$300)+SUMIF(Торговля!$E$5:$E$300,"*/"&amp;$B224,Торговля!$H$5:$H$300)+SUMIF(Лэндинг!$E$5:$E$300,$B224&amp;"/*",Лэндинг!$I$5:$I$300)+SUMIF(Лэндинг!$E$5:$E$300,"*/"&amp;$B224,Лэндинг!$H$5:$H$300)+SUMIF(Закрытые!$E$5:$E$300,$B224&amp;"/*",Закрытые!$I$5:$I$300)+SUMIF(Закрытые!$E$5:$E$300,"*/"&amp;$B224,Закрытые!$H$5:$H$300)+SUMIF(История!$B$5:$B$300,$B224&amp;"/*",История!$F$5:$F$300)+SUMIF(История!$B$5:$B$300,"*/"&amp;$B224,История!$E$5:$E$300),8))</f>
        <v/>
      </c>
      <c r="E224" s="339">
        <f>IF($B224="","",ROUND(C224-D224,8))</f>
        <v/>
      </c>
    </row>
    <row r="225" ht="22" customHeight="1">
      <c r="B225" s="315" t="n"/>
      <c r="C225" s="240">
        <f>IF($B225="","",ROUND(SUMIF(Торговля!$E$5:$E$300,$B225&amp;"/*",Торговля!$F$5:$F$300)+SUMIF(Торговля!$E$5:$E$300,"*/"&amp;$B225,Торговля!$K$5:$K$300)+SUMIF(Лэндинг!$E$5:$E$300,$B225&amp;"/*",Лэндинг!$F$5:$F$300)+SUMIF(Лэндинг!$E$5:$E$300,"*/"&amp;$B225,Лэндинг!$K$5:$K$300)+SUMIF(Закрытые!$E$5:$E$300,$B225&amp;"/*",Закрытые!$F$5:$F$300)+SUMIF(Закрытые!$E$5:$E$300,"*/"&amp;$B225,Закрытые!$K$5:$K$300)+SUMIF(История!$B$5:$B$300,$B225&amp;"/*",История!$C$5:$C$300)+SUMIF(История!$B$5:$B$300,"*/"&amp;$B225,История!$H$5:$H$300),8))</f>
        <v/>
      </c>
      <c r="D225" s="240">
        <f>IF($B225="","",ROUND(SUMIF(Торговля!$E$5:$E$300,$B225&amp;"/*",Торговля!$I$5:$I$300)+SUMIF(Торговля!$E$5:$E$300,"*/"&amp;$B225,Торговля!$H$5:$H$300)+SUMIF(Лэндинг!$E$5:$E$300,$B225&amp;"/*",Лэндинг!$I$5:$I$300)+SUMIF(Лэндинг!$E$5:$E$300,"*/"&amp;$B225,Лэндинг!$H$5:$H$300)+SUMIF(Закрытые!$E$5:$E$300,$B225&amp;"/*",Закрытые!$I$5:$I$300)+SUMIF(Закрытые!$E$5:$E$300,"*/"&amp;$B225,Закрытые!$H$5:$H$300)+SUMIF(История!$B$5:$B$300,$B225&amp;"/*",История!$F$5:$F$300)+SUMIF(История!$B$5:$B$300,"*/"&amp;$B225,История!$E$5:$E$300),8))</f>
        <v/>
      </c>
      <c r="E225" s="339">
        <f>IF($B225="","",ROUND(C225-D225,8))</f>
        <v/>
      </c>
    </row>
    <row r="226" ht="22" customHeight="1">
      <c r="B226" s="320" t="n"/>
      <c r="C226" s="240">
        <f>IF($B226="","",ROUND(SUMIF(Торговля!$E$5:$E$300,$B226&amp;"/*",Торговля!$F$5:$F$300)+SUMIF(Торговля!$E$5:$E$300,"*/"&amp;$B226,Торговля!$K$5:$K$300)+SUMIF(Лэндинг!$E$5:$E$300,$B226&amp;"/*",Лэндинг!$F$5:$F$300)+SUMIF(Лэндинг!$E$5:$E$300,"*/"&amp;$B226,Лэндинг!$K$5:$K$300)+SUMIF(Закрытые!$E$5:$E$300,$B226&amp;"/*",Закрытые!$F$5:$F$300)+SUMIF(Закрытые!$E$5:$E$300,"*/"&amp;$B226,Закрытые!$K$5:$K$300)+SUMIF(История!$B$5:$B$300,$B226&amp;"/*",История!$C$5:$C$300)+SUMIF(История!$B$5:$B$300,"*/"&amp;$B226,История!$H$5:$H$300),8))</f>
        <v/>
      </c>
      <c r="D226" s="240">
        <f>IF($B226="","",ROUND(SUMIF(Торговля!$E$5:$E$300,$B226&amp;"/*",Торговля!$I$5:$I$300)+SUMIF(Торговля!$E$5:$E$300,"*/"&amp;$B226,Торговля!$H$5:$H$300)+SUMIF(Лэндинг!$E$5:$E$300,$B226&amp;"/*",Лэндинг!$I$5:$I$300)+SUMIF(Лэндинг!$E$5:$E$300,"*/"&amp;$B226,Лэндинг!$H$5:$H$300)+SUMIF(Закрытые!$E$5:$E$300,$B226&amp;"/*",Закрытые!$I$5:$I$300)+SUMIF(Закрытые!$E$5:$E$300,"*/"&amp;$B226,Закрытые!$H$5:$H$300)+SUMIF(История!$B$5:$B$300,$B226&amp;"/*",История!$F$5:$F$300)+SUMIF(История!$B$5:$B$300,"*/"&amp;$B226,История!$E$5:$E$300),8))</f>
        <v/>
      </c>
      <c r="E226" s="339">
        <f>IF($B226="","",ROUND(C226-D226,8))</f>
        <v/>
      </c>
    </row>
    <row r="227" ht="22" customHeight="1">
      <c r="B227" s="315" t="n"/>
      <c r="C227" s="240">
        <f>IF($B227="","",ROUND(SUMIF(Торговля!$E$5:$E$300,$B227&amp;"/*",Торговля!$F$5:$F$300)+SUMIF(Торговля!$E$5:$E$300,"*/"&amp;$B227,Торговля!$K$5:$K$300)+SUMIF(Лэндинг!$E$5:$E$300,$B227&amp;"/*",Лэндинг!$F$5:$F$300)+SUMIF(Лэндинг!$E$5:$E$300,"*/"&amp;$B227,Лэндинг!$K$5:$K$300)+SUMIF(Закрытые!$E$5:$E$300,$B227&amp;"/*",Закрытые!$F$5:$F$300)+SUMIF(Закрытые!$E$5:$E$300,"*/"&amp;$B227,Закрытые!$K$5:$K$300)+SUMIF(История!$B$5:$B$300,$B227&amp;"/*",История!$C$5:$C$300)+SUMIF(История!$B$5:$B$300,"*/"&amp;$B227,История!$H$5:$H$300),8))</f>
        <v/>
      </c>
      <c r="D227" s="240">
        <f>IF($B227="","",ROUND(SUMIF(Торговля!$E$5:$E$300,$B227&amp;"/*",Торговля!$I$5:$I$300)+SUMIF(Торговля!$E$5:$E$300,"*/"&amp;$B227,Торговля!$H$5:$H$300)+SUMIF(Лэндинг!$E$5:$E$300,$B227&amp;"/*",Лэндинг!$I$5:$I$300)+SUMIF(Лэндинг!$E$5:$E$300,"*/"&amp;$B227,Лэндинг!$H$5:$H$300)+SUMIF(Закрытые!$E$5:$E$300,$B227&amp;"/*",Закрытые!$I$5:$I$300)+SUMIF(Закрытые!$E$5:$E$300,"*/"&amp;$B227,Закрытые!$H$5:$H$300)+SUMIF(История!$B$5:$B$300,$B227&amp;"/*",История!$F$5:$F$300)+SUMIF(История!$B$5:$B$300,"*/"&amp;$B227,История!$E$5:$E$300),8))</f>
        <v/>
      </c>
      <c r="E227" s="339">
        <f>IF($B227="","",ROUND(C227-D227,8))</f>
        <v/>
      </c>
    </row>
    <row r="228" ht="22" customHeight="1">
      <c r="B228" s="320" t="n"/>
      <c r="C228" s="240">
        <f>IF($B228="","",ROUND(SUMIF(Торговля!$E$5:$E$300,$B228&amp;"/*",Торговля!$F$5:$F$300)+SUMIF(Торговля!$E$5:$E$300,"*/"&amp;$B228,Торговля!$K$5:$K$300)+SUMIF(Лэндинг!$E$5:$E$300,$B228&amp;"/*",Лэндинг!$F$5:$F$300)+SUMIF(Лэндинг!$E$5:$E$300,"*/"&amp;$B228,Лэндинг!$K$5:$K$300)+SUMIF(Закрытые!$E$5:$E$300,$B228&amp;"/*",Закрытые!$F$5:$F$300)+SUMIF(Закрытые!$E$5:$E$300,"*/"&amp;$B228,Закрытые!$K$5:$K$300)+SUMIF(История!$B$5:$B$300,$B228&amp;"/*",История!$C$5:$C$300)+SUMIF(История!$B$5:$B$300,"*/"&amp;$B228,История!$H$5:$H$300),8))</f>
        <v/>
      </c>
      <c r="D228" s="240">
        <f>IF($B228="","",ROUND(SUMIF(Торговля!$E$5:$E$300,$B228&amp;"/*",Торговля!$I$5:$I$300)+SUMIF(Торговля!$E$5:$E$300,"*/"&amp;$B228,Торговля!$H$5:$H$300)+SUMIF(Лэндинг!$E$5:$E$300,$B228&amp;"/*",Лэндинг!$I$5:$I$300)+SUMIF(Лэндинг!$E$5:$E$300,"*/"&amp;$B228,Лэндинг!$H$5:$H$300)+SUMIF(Закрытые!$E$5:$E$300,$B228&amp;"/*",Закрытые!$I$5:$I$300)+SUMIF(Закрытые!$E$5:$E$300,"*/"&amp;$B228,Закрытые!$H$5:$H$300)+SUMIF(История!$B$5:$B$300,$B228&amp;"/*",История!$F$5:$F$300)+SUMIF(История!$B$5:$B$300,"*/"&amp;$B228,История!$E$5:$E$300),8))</f>
        <v/>
      </c>
      <c r="E228" s="339">
        <f>IF($B228="","",ROUND(C228-D228,8))</f>
        <v/>
      </c>
    </row>
    <row r="229" ht="22" customHeight="1">
      <c r="B229" s="315" t="n"/>
      <c r="C229" s="240">
        <f>IF($B229="","",ROUND(SUMIF(Торговля!$E$5:$E$300,$B229&amp;"/*",Торговля!$F$5:$F$300)+SUMIF(Торговля!$E$5:$E$300,"*/"&amp;$B229,Торговля!$K$5:$K$300)+SUMIF(Лэндинг!$E$5:$E$300,$B229&amp;"/*",Лэндинг!$F$5:$F$300)+SUMIF(Лэндинг!$E$5:$E$300,"*/"&amp;$B229,Лэндинг!$K$5:$K$300)+SUMIF(Закрытые!$E$5:$E$300,$B229&amp;"/*",Закрытые!$F$5:$F$300)+SUMIF(Закрытые!$E$5:$E$300,"*/"&amp;$B229,Закрытые!$K$5:$K$300)+SUMIF(История!$B$5:$B$300,$B229&amp;"/*",История!$C$5:$C$300)+SUMIF(История!$B$5:$B$300,"*/"&amp;$B229,История!$H$5:$H$300),8))</f>
        <v/>
      </c>
      <c r="D229" s="240">
        <f>IF($B229="","",ROUND(SUMIF(Торговля!$E$5:$E$300,$B229&amp;"/*",Торговля!$I$5:$I$300)+SUMIF(Торговля!$E$5:$E$300,"*/"&amp;$B229,Торговля!$H$5:$H$300)+SUMIF(Лэндинг!$E$5:$E$300,$B229&amp;"/*",Лэндинг!$I$5:$I$300)+SUMIF(Лэндинг!$E$5:$E$300,"*/"&amp;$B229,Лэндинг!$H$5:$H$300)+SUMIF(Закрытые!$E$5:$E$300,$B229&amp;"/*",Закрытые!$I$5:$I$300)+SUMIF(Закрытые!$E$5:$E$300,"*/"&amp;$B229,Закрытые!$H$5:$H$300)+SUMIF(История!$B$5:$B$300,$B229&amp;"/*",История!$F$5:$F$300)+SUMIF(История!$B$5:$B$300,"*/"&amp;$B229,История!$E$5:$E$300),8))</f>
        <v/>
      </c>
      <c r="E229" s="339">
        <f>IF($B229="","",ROUND(C229-D229,8))</f>
        <v/>
      </c>
    </row>
    <row r="230" ht="22" customHeight="1">
      <c r="B230" s="320" t="n"/>
      <c r="C230" s="240">
        <f>IF($B230="","",ROUND(SUMIF(Торговля!$E$5:$E$300,$B230&amp;"/*",Торговля!$F$5:$F$300)+SUMIF(Торговля!$E$5:$E$300,"*/"&amp;$B230,Торговля!$K$5:$K$300)+SUMIF(Лэндинг!$E$5:$E$300,$B230&amp;"/*",Лэндинг!$F$5:$F$300)+SUMIF(Лэндинг!$E$5:$E$300,"*/"&amp;$B230,Лэндинг!$K$5:$K$300)+SUMIF(Закрытые!$E$5:$E$300,$B230&amp;"/*",Закрытые!$F$5:$F$300)+SUMIF(Закрытые!$E$5:$E$300,"*/"&amp;$B230,Закрытые!$K$5:$K$300)+SUMIF(История!$B$5:$B$300,$B230&amp;"/*",История!$C$5:$C$300)+SUMIF(История!$B$5:$B$300,"*/"&amp;$B230,История!$H$5:$H$300),8))</f>
        <v/>
      </c>
      <c r="D230" s="240">
        <f>IF($B230="","",ROUND(SUMIF(Торговля!$E$5:$E$300,$B230&amp;"/*",Торговля!$I$5:$I$300)+SUMIF(Торговля!$E$5:$E$300,"*/"&amp;$B230,Торговля!$H$5:$H$300)+SUMIF(Лэндинг!$E$5:$E$300,$B230&amp;"/*",Лэндинг!$I$5:$I$300)+SUMIF(Лэндинг!$E$5:$E$300,"*/"&amp;$B230,Лэндинг!$H$5:$H$300)+SUMIF(Закрытые!$E$5:$E$300,$B230&amp;"/*",Закрытые!$I$5:$I$300)+SUMIF(Закрытые!$E$5:$E$300,"*/"&amp;$B230,Закрытые!$H$5:$H$300)+SUMIF(История!$B$5:$B$300,$B230&amp;"/*",История!$F$5:$F$300)+SUMIF(История!$B$5:$B$300,"*/"&amp;$B230,История!$E$5:$E$300),8))</f>
        <v/>
      </c>
      <c r="E230" s="339">
        <f>IF($B230="","",ROUND(C230-D230,8))</f>
        <v/>
      </c>
    </row>
    <row r="231" ht="22" customHeight="1">
      <c r="B231" s="315" t="n"/>
      <c r="C231" s="240">
        <f>IF($B231="","",ROUND(SUMIF(Торговля!$E$5:$E$300,$B231&amp;"/*",Торговля!$F$5:$F$300)+SUMIF(Торговля!$E$5:$E$300,"*/"&amp;$B231,Торговля!$K$5:$K$300)+SUMIF(Лэндинг!$E$5:$E$300,$B231&amp;"/*",Лэндинг!$F$5:$F$300)+SUMIF(Лэндинг!$E$5:$E$300,"*/"&amp;$B231,Лэндинг!$K$5:$K$300)+SUMIF(Закрытые!$E$5:$E$300,$B231&amp;"/*",Закрытые!$F$5:$F$300)+SUMIF(Закрытые!$E$5:$E$300,"*/"&amp;$B231,Закрытые!$K$5:$K$300)+SUMIF(История!$B$5:$B$300,$B231&amp;"/*",История!$C$5:$C$300)+SUMIF(История!$B$5:$B$300,"*/"&amp;$B231,История!$H$5:$H$300),8))</f>
        <v/>
      </c>
      <c r="D231" s="240">
        <f>IF($B231="","",ROUND(SUMIF(Торговля!$E$5:$E$300,$B231&amp;"/*",Торговля!$I$5:$I$300)+SUMIF(Торговля!$E$5:$E$300,"*/"&amp;$B231,Торговля!$H$5:$H$300)+SUMIF(Лэндинг!$E$5:$E$300,$B231&amp;"/*",Лэндинг!$I$5:$I$300)+SUMIF(Лэндинг!$E$5:$E$300,"*/"&amp;$B231,Лэндинг!$H$5:$H$300)+SUMIF(Закрытые!$E$5:$E$300,$B231&amp;"/*",Закрытые!$I$5:$I$300)+SUMIF(Закрытые!$E$5:$E$300,"*/"&amp;$B231,Закрытые!$H$5:$H$300)+SUMIF(История!$B$5:$B$300,$B231&amp;"/*",История!$F$5:$F$300)+SUMIF(История!$B$5:$B$300,"*/"&amp;$B231,История!$E$5:$E$300),8))</f>
        <v/>
      </c>
      <c r="E231" s="339">
        <f>IF($B231="","",ROUND(C231-D231,8))</f>
        <v/>
      </c>
    </row>
    <row r="232" ht="22" customHeight="1">
      <c r="B232" s="320" t="n"/>
      <c r="C232" s="240">
        <f>IF($B232="","",ROUND(SUMIF(Торговля!$E$5:$E$300,$B232&amp;"/*",Торговля!$F$5:$F$300)+SUMIF(Торговля!$E$5:$E$300,"*/"&amp;$B232,Торговля!$K$5:$K$300)+SUMIF(Лэндинг!$E$5:$E$300,$B232&amp;"/*",Лэндинг!$F$5:$F$300)+SUMIF(Лэндинг!$E$5:$E$300,"*/"&amp;$B232,Лэндинг!$K$5:$K$300)+SUMIF(Закрытые!$E$5:$E$300,$B232&amp;"/*",Закрытые!$F$5:$F$300)+SUMIF(Закрытые!$E$5:$E$300,"*/"&amp;$B232,Закрытые!$K$5:$K$300)+SUMIF(История!$B$5:$B$300,$B232&amp;"/*",История!$C$5:$C$300)+SUMIF(История!$B$5:$B$300,"*/"&amp;$B232,История!$H$5:$H$300),8))</f>
        <v/>
      </c>
      <c r="D232" s="240">
        <f>IF($B232="","",ROUND(SUMIF(Торговля!$E$5:$E$300,$B232&amp;"/*",Торговля!$I$5:$I$300)+SUMIF(Торговля!$E$5:$E$300,"*/"&amp;$B232,Торговля!$H$5:$H$300)+SUMIF(Лэндинг!$E$5:$E$300,$B232&amp;"/*",Лэндинг!$I$5:$I$300)+SUMIF(Лэндинг!$E$5:$E$300,"*/"&amp;$B232,Лэндинг!$H$5:$H$300)+SUMIF(Закрытые!$E$5:$E$300,$B232&amp;"/*",Закрытые!$I$5:$I$300)+SUMIF(Закрытые!$E$5:$E$300,"*/"&amp;$B232,Закрытые!$H$5:$H$300)+SUMIF(История!$B$5:$B$300,$B232&amp;"/*",История!$F$5:$F$300)+SUMIF(История!$B$5:$B$300,"*/"&amp;$B232,История!$E$5:$E$300),8))</f>
        <v/>
      </c>
      <c r="E232" s="339">
        <f>IF($B232="","",ROUND(C232-D232,8))</f>
        <v/>
      </c>
    </row>
    <row r="233" ht="22" customHeight="1">
      <c r="B233" s="315" t="n"/>
      <c r="C233" s="240">
        <f>IF($B233="","",ROUND(SUMIF(Торговля!$E$5:$E$300,$B233&amp;"/*",Торговля!$F$5:$F$300)+SUMIF(Торговля!$E$5:$E$300,"*/"&amp;$B233,Торговля!$K$5:$K$300)+SUMIF(Лэндинг!$E$5:$E$300,$B233&amp;"/*",Лэндинг!$F$5:$F$300)+SUMIF(Лэндинг!$E$5:$E$300,"*/"&amp;$B233,Лэндинг!$K$5:$K$300)+SUMIF(Закрытые!$E$5:$E$300,$B233&amp;"/*",Закрытые!$F$5:$F$300)+SUMIF(Закрытые!$E$5:$E$300,"*/"&amp;$B233,Закрытые!$K$5:$K$300)+SUMIF(История!$B$5:$B$300,$B233&amp;"/*",История!$C$5:$C$300)+SUMIF(История!$B$5:$B$300,"*/"&amp;$B233,История!$H$5:$H$300),8))</f>
        <v/>
      </c>
      <c r="D233" s="240">
        <f>IF($B233="","",ROUND(SUMIF(Торговля!$E$5:$E$300,$B233&amp;"/*",Торговля!$I$5:$I$300)+SUMIF(Торговля!$E$5:$E$300,"*/"&amp;$B233,Торговля!$H$5:$H$300)+SUMIF(Лэндинг!$E$5:$E$300,$B233&amp;"/*",Лэндинг!$I$5:$I$300)+SUMIF(Лэндинг!$E$5:$E$300,"*/"&amp;$B233,Лэндинг!$H$5:$H$300)+SUMIF(Закрытые!$E$5:$E$300,$B233&amp;"/*",Закрытые!$I$5:$I$300)+SUMIF(Закрытые!$E$5:$E$300,"*/"&amp;$B233,Закрытые!$H$5:$H$300)+SUMIF(История!$B$5:$B$300,$B233&amp;"/*",История!$F$5:$F$300)+SUMIF(История!$B$5:$B$300,"*/"&amp;$B233,История!$E$5:$E$300),8))</f>
        <v/>
      </c>
      <c r="E233" s="339">
        <f>IF($B233="","",ROUND(C233-D233,8))</f>
        <v/>
      </c>
    </row>
    <row r="234" ht="22" customHeight="1">
      <c r="B234" s="320" t="n"/>
      <c r="C234" s="240">
        <f>IF($B234="","",ROUND(SUMIF(Торговля!$E$5:$E$300,$B234&amp;"/*",Торговля!$F$5:$F$300)+SUMIF(Торговля!$E$5:$E$300,"*/"&amp;$B234,Торговля!$K$5:$K$300)+SUMIF(Лэндинг!$E$5:$E$300,$B234&amp;"/*",Лэндинг!$F$5:$F$300)+SUMIF(Лэндинг!$E$5:$E$300,"*/"&amp;$B234,Лэндинг!$K$5:$K$300)+SUMIF(Закрытые!$E$5:$E$300,$B234&amp;"/*",Закрытые!$F$5:$F$300)+SUMIF(Закрытые!$E$5:$E$300,"*/"&amp;$B234,Закрытые!$K$5:$K$300)+SUMIF(История!$B$5:$B$300,$B234&amp;"/*",История!$C$5:$C$300)+SUMIF(История!$B$5:$B$300,"*/"&amp;$B234,История!$H$5:$H$300),8))</f>
        <v/>
      </c>
      <c r="D234" s="240">
        <f>IF($B234="","",ROUND(SUMIF(Торговля!$E$5:$E$300,$B234&amp;"/*",Торговля!$I$5:$I$300)+SUMIF(Торговля!$E$5:$E$300,"*/"&amp;$B234,Торговля!$H$5:$H$300)+SUMIF(Лэндинг!$E$5:$E$300,$B234&amp;"/*",Лэндинг!$I$5:$I$300)+SUMIF(Лэндинг!$E$5:$E$300,"*/"&amp;$B234,Лэндинг!$H$5:$H$300)+SUMIF(Закрытые!$E$5:$E$300,$B234&amp;"/*",Закрытые!$I$5:$I$300)+SUMIF(Закрытые!$E$5:$E$300,"*/"&amp;$B234,Закрытые!$H$5:$H$300)+SUMIF(История!$B$5:$B$300,$B234&amp;"/*",История!$F$5:$F$300)+SUMIF(История!$B$5:$B$300,"*/"&amp;$B234,История!$E$5:$E$300),8))</f>
        <v/>
      </c>
      <c r="E234" s="339">
        <f>IF($B234="","",ROUND(C234-D234,8))</f>
        <v/>
      </c>
    </row>
    <row r="235" ht="22" customHeight="1">
      <c r="B235" s="315" t="n"/>
      <c r="C235" s="240">
        <f>IF($B235="","",ROUND(SUMIF(Торговля!$E$5:$E$300,$B235&amp;"/*",Торговля!$F$5:$F$300)+SUMIF(Торговля!$E$5:$E$300,"*/"&amp;$B235,Торговля!$K$5:$K$300)+SUMIF(Лэндинг!$E$5:$E$300,$B235&amp;"/*",Лэндинг!$F$5:$F$300)+SUMIF(Лэндинг!$E$5:$E$300,"*/"&amp;$B235,Лэндинг!$K$5:$K$300)+SUMIF(Закрытые!$E$5:$E$300,$B235&amp;"/*",Закрытые!$F$5:$F$300)+SUMIF(Закрытые!$E$5:$E$300,"*/"&amp;$B235,Закрытые!$K$5:$K$300)+SUMIF(История!$B$5:$B$300,$B235&amp;"/*",История!$C$5:$C$300)+SUMIF(История!$B$5:$B$300,"*/"&amp;$B235,История!$H$5:$H$300),8))</f>
        <v/>
      </c>
      <c r="D235" s="240">
        <f>IF($B235="","",ROUND(SUMIF(Торговля!$E$5:$E$300,$B235&amp;"/*",Торговля!$I$5:$I$300)+SUMIF(Торговля!$E$5:$E$300,"*/"&amp;$B235,Торговля!$H$5:$H$300)+SUMIF(Лэндинг!$E$5:$E$300,$B235&amp;"/*",Лэндинг!$I$5:$I$300)+SUMIF(Лэндинг!$E$5:$E$300,"*/"&amp;$B235,Лэндинг!$H$5:$H$300)+SUMIF(Закрытые!$E$5:$E$300,$B235&amp;"/*",Закрытые!$I$5:$I$300)+SUMIF(Закрытые!$E$5:$E$300,"*/"&amp;$B235,Закрытые!$H$5:$H$300)+SUMIF(История!$B$5:$B$300,$B235&amp;"/*",История!$F$5:$F$300)+SUMIF(История!$B$5:$B$300,"*/"&amp;$B235,История!$E$5:$E$300),8))</f>
        <v/>
      </c>
      <c r="E235" s="339">
        <f>IF($B235="","",ROUND(C235-D235,8))</f>
        <v/>
      </c>
    </row>
    <row r="236" ht="22" customHeight="1">
      <c r="B236" s="320" t="n"/>
      <c r="C236" s="240">
        <f>IF($B236="","",ROUND(SUMIF(Торговля!$E$5:$E$300,$B236&amp;"/*",Торговля!$F$5:$F$300)+SUMIF(Торговля!$E$5:$E$300,"*/"&amp;$B236,Торговля!$K$5:$K$300)+SUMIF(Лэндинг!$E$5:$E$300,$B236&amp;"/*",Лэндинг!$F$5:$F$300)+SUMIF(Лэндинг!$E$5:$E$300,"*/"&amp;$B236,Лэндинг!$K$5:$K$300)+SUMIF(Закрытые!$E$5:$E$300,$B236&amp;"/*",Закрытые!$F$5:$F$300)+SUMIF(Закрытые!$E$5:$E$300,"*/"&amp;$B236,Закрытые!$K$5:$K$300)+SUMIF(История!$B$5:$B$300,$B236&amp;"/*",История!$C$5:$C$300)+SUMIF(История!$B$5:$B$300,"*/"&amp;$B236,История!$H$5:$H$300),8))</f>
        <v/>
      </c>
      <c r="D236" s="240">
        <f>IF($B236="","",ROUND(SUMIF(Торговля!$E$5:$E$300,$B236&amp;"/*",Торговля!$I$5:$I$300)+SUMIF(Торговля!$E$5:$E$300,"*/"&amp;$B236,Торговля!$H$5:$H$300)+SUMIF(Лэндинг!$E$5:$E$300,$B236&amp;"/*",Лэндинг!$I$5:$I$300)+SUMIF(Лэндинг!$E$5:$E$300,"*/"&amp;$B236,Лэндинг!$H$5:$H$300)+SUMIF(Закрытые!$E$5:$E$300,$B236&amp;"/*",Закрытые!$I$5:$I$300)+SUMIF(Закрытые!$E$5:$E$300,"*/"&amp;$B236,Закрытые!$H$5:$H$300)+SUMIF(История!$B$5:$B$300,$B236&amp;"/*",История!$F$5:$F$300)+SUMIF(История!$B$5:$B$300,"*/"&amp;$B236,История!$E$5:$E$300),8))</f>
        <v/>
      </c>
      <c r="E236" s="339">
        <f>IF($B236="","",ROUND(C236-D236,8))</f>
        <v/>
      </c>
    </row>
    <row r="237" ht="22" customHeight="1">
      <c r="B237" s="315" t="n"/>
      <c r="C237" s="240">
        <f>IF($B237="","",ROUND(SUMIF(Торговля!$E$5:$E$300,$B237&amp;"/*",Торговля!$F$5:$F$300)+SUMIF(Торговля!$E$5:$E$300,"*/"&amp;$B237,Торговля!$K$5:$K$300)+SUMIF(Лэндинг!$E$5:$E$300,$B237&amp;"/*",Лэндинг!$F$5:$F$300)+SUMIF(Лэндинг!$E$5:$E$300,"*/"&amp;$B237,Лэндинг!$K$5:$K$300)+SUMIF(Закрытые!$E$5:$E$300,$B237&amp;"/*",Закрытые!$F$5:$F$300)+SUMIF(Закрытые!$E$5:$E$300,"*/"&amp;$B237,Закрытые!$K$5:$K$300)+SUMIF(История!$B$5:$B$300,$B237&amp;"/*",История!$C$5:$C$300)+SUMIF(История!$B$5:$B$300,"*/"&amp;$B237,История!$H$5:$H$300),8))</f>
        <v/>
      </c>
      <c r="D237" s="240">
        <f>IF($B237="","",ROUND(SUMIF(Торговля!$E$5:$E$300,$B237&amp;"/*",Торговля!$I$5:$I$300)+SUMIF(Торговля!$E$5:$E$300,"*/"&amp;$B237,Торговля!$H$5:$H$300)+SUMIF(Лэндинг!$E$5:$E$300,$B237&amp;"/*",Лэндинг!$I$5:$I$300)+SUMIF(Лэндинг!$E$5:$E$300,"*/"&amp;$B237,Лэндинг!$H$5:$H$300)+SUMIF(Закрытые!$E$5:$E$300,$B237&amp;"/*",Закрытые!$I$5:$I$300)+SUMIF(Закрытые!$E$5:$E$300,"*/"&amp;$B237,Закрытые!$H$5:$H$300)+SUMIF(История!$B$5:$B$300,$B237&amp;"/*",История!$F$5:$F$300)+SUMIF(История!$B$5:$B$300,"*/"&amp;$B237,История!$E$5:$E$300),8))</f>
        <v/>
      </c>
      <c r="E237" s="339">
        <f>IF($B237="","",ROUND(C237-D237,8))</f>
        <v/>
      </c>
    </row>
    <row r="238" ht="22" customHeight="1">
      <c r="B238" s="320" t="n"/>
      <c r="C238" s="240">
        <f>IF($B238="","",ROUND(SUMIF(Торговля!$E$5:$E$300,$B238&amp;"/*",Торговля!$F$5:$F$300)+SUMIF(Торговля!$E$5:$E$300,"*/"&amp;$B238,Торговля!$K$5:$K$300)+SUMIF(Лэндинг!$E$5:$E$300,$B238&amp;"/*",Лэндинг!$F$5:$F$300)+SUMIF(Лэндинг!$E$5:$E$300,"*/"&amp;$B238,Лэндинг!$K$5:$K$300)+SUMIF(Закрытые!$E$5:$E$300,$B238&amp;"/*",Закрытые!$F$5:$F$300)+SUMIF(Закрытые!$E$5:$E$300,"*/"&amp;$B238,Закрытые!$K$5:$K$300)+SUMIF(История!$B$5:$B$300,$B238&amp;"/*",История!$C$5:$C$300)+SUMIF(История!$B$5:$B$300,"*/"&amp;$B238,История!$H$5:$H$300),8))</f>
        <v/>
      </c>
      <c r="D238" s="240">
        <f>IF($B238="","",ROUND(SUMIF(Торговля!$E$5:$E$300,$B238&amp;"/*",Торговля!$I$5:$I$300)+SUMIF(Торговля!$E$5:$E$300,"*/"&amp;$B238,Торговля!$H$5:$H$300)+SUMIF(Лэндинг!$E$5:$E$300,$B238&amp;"/*",Лэндинг!$I$5:$I$300)+SUMIF(Лэндинг!$E$5:$E$300,"*/"&amp;$B238,Лэндинг!$H$5:$H$300)+SUMIF(Закрытые!$E$5:$E$300,$B238&amp;"/*",Закрытые!$I$5:$I$300)+SUMIF(Закрытые!$E$5:$E$300,"*/"&amp;$B238,Закрытые!$H$5:$H$300)+SUMIF(История!$B$5:$B$300,$B238&amp;"/*",История!$F$5:$F$300)+SUMIF(История!$B$5:$B$300,"*/"&amp;$B238,История!$E$5:$E$300),8))</f>
        <v/>
      </c>
      <c r="E238" s="339">
        <f>IF($B238="","",ROUND(C238-D238,8))</f>
        <v/>
      </c>
    </row>
    <row r="239" ht="22" customHeight="1">
      <c r="B239" s="315" t="n"/>
      <c r="C239" s="240">
        <f>IF($B239="","",ROUND(SUMIF(Торговля!$E$5:$E$300,$B239&amp;"/*",Торговля!$F$5:$F$300)+SUMIF(Торговля!$E$5:$E$300,"*/"&amp;$B239,Торговля!$K$5:$K$300)+SUMIF(Лэндинг!$E$5:$E$300,$B239&amp;"/*",Лэндинг!$F$5:$F$300)+SUMIF(Лэндинг!$E$5:$E$300,"*/"&amp;$B239,Лэндинг!$K$5:$K$300)+SUMIF(Закрытые!$E$5:$E$300,$B239&amp;"/*",Закрытые!$F$5:$F$300)+SUMIF(Закрытые!$E$5:$E$300,"*/"&amp;$B239,Закрытые!$K$5:$K$300)+SUMIF(История!$B$5:$B$300,$B239&amp;"/*",История!$C$5:$C$300)+SUMIF(История!$B$5:$B$300,"*/"&amp;$B239,История!$H$5:$H$300),8))</f>
        <v/>
      </c>
      <c r="D239" s="240">
        <f>IF($B239="","",ROUND(SUMIF(Торговля!$E$5:$E$300,$B239&amp;"/*",Торговля!$I$5:$I$300)+SUMIF(Торговля!$E$5:$E$300,"*/"&amp;$B239,Торговля!$H$5:$H$300)+SUMIF(Лэндинг!$E$5:$E$300,$B239&amp;"/*",Лэндинг!$I$5:$I$300)+SUMIF(Лэндинг!$E$5:$E$300,"*/"&amp;$B239,Лэндинг!$H$5:$H$300)+SUMIF(Закрытые!$E$5:$E$300,$B239&amp;"/*",Закрытые!$I$5:$I$300)+SUMIF(Закрытые!$E$5:$E$300,"*/"&amp;$B239,Закрытые!$H$5:$H$300)+SUMIF(История!$B$5:$B$300,$B239&amp;"/*",История!$F$5:$F$300)+SUMIF(История!$B$5:$B$300,"*/"&amp;$B239,История!$E$5:$E$300),8))</f>
        <v/>
      </c>
      <c r="E239" s="339">
        <f>IF($B239="","",ROUND(C239-D239,8))</f>
        <v/>
      </c>
    </row>
    <row r="240" ht="22" customHeight="1">
      <c r="B240" s="320" t="n"/>
      <c r="C240" s="240">
        <f>IF($B240="","",ROUND(SUMIF(Торговля!$E$5:$E$300,$B240&amp;"/*",Торговля!$F$5:$F$300)+SUMIF(Торговля!$E$5:$E$300,"*/"&amp;$B240,Торговля!$K$5:$K$300)+SUMIF(Лэндинг!$E$5:$E$300,$B240&amp;"/*",Лэндинг!$F$5:$F$300)+SUMIF(Лэндинг!$E$5:$E$300,"*/"&amp;$B240,Лэндинг!$K$5:$K$300)+SUMIF(Закрытые!$E$5:$E$300,$B240&amp;"/*",Закрытые!$F$5:$F$300)+SUMIF(Закрытые!$E$5:$E$300,"*/"&amp;$B240,Закрытые!$K$5:$K$300)+SUMIF(История!$B$5:$B$300,$B240&amp;"/*",История!$C$5:$C$300)+SUMIF(История!$B$5:$B$300,"*/"&amp;$B240,История!$H$5:$H$300),8))</f>
        <v/>
      </c>
      <c r="D240" s="240">
        <f>IF($B240="","",ROUND(SUMIF(Торговля!$E$5:$E$300,$B240&amp;"/*",Торговля!$I$5:$I$300)+SUMIF(Торговля!$E$5:$E$300,"*/"&amp;$B240,Торговля!$H$5:$H$300)+SUMIF(Лэндинг!$E$5:$E$300,$B240&amp;"/*",Лэндинг!$I$5:$I$300)+SUMIF(Лэндинг!$E$5:$E$300,"*/"&amp;$B240,Лэндинг!$H$5:$H$300)+SUMIF(Закрытые!$E$5:$E$300,$B240&amp;"/*",Закрытые!$I$5:$I$300)+SUMIF(Закрытые!$E$5:$E$300,"*/"&amp;$B240,Закрытые!$H$5:$H$300)+SUMIF(История!$B$5:$B$300,$B240&amp;"/*",История!$F$5:$F$300)+SUMIF(История!$B$5:$B$300,"*/"&amp;$B240,История!$E$5:$E$300),8))</f>
        <v/>
      </c>
      <c r="E240" s="339">
        <f>IF($B240="","",ROUND(C240-D240,8))</f>
        <v/>
      </c>
    </row>
    <row r="241" ht="22" customHeight="1">
      <c r="B241" s="315" t="n"/>
      <c r="C241" s="240">
        <f>IF($B241="","",ROUND(SUMIF(Торговля!$E$5:$E$300,$B241&amp;"/*",Торговля!$F$5:$F$300)+SUMIF(Торговля!$E$5:$E$300,"*/"&amp;$B241,Торговля!$K$5:$K$300)+SUMIF(Лэндинг!$E$5:$E$300,$B241&amp;"/*",Лэндинг!$F$5:$F$300)+SUMIF(Лэндинг!$E$5:$E$300,"*/"&amp;$B241,Лэндинг!$K$5:$K$300)+SUMIF(Закрытые!$E$5:$E$300,$B241&amp;"/*",Закрытые!$F$5:$F$300)+SUMIF(Закрытые!$E$5:$E$300,"*/"&amp;$B241,Закрытые!$K$5:$K$300)+SUMIF(История!$B$5:$B$300,$B241&amp;"/*",История!$C$5:$C$300)+SUMIF(История!$B$5:$B$300,"*/"&amp;$B241,История!$H$5:$H$300),8))</f>
        <v/>
      </c>
      <c r="D241" s="240">
        <f>IF($B241="","",ROUND(SUMIF(Торговля!$E$5:$E$300,$B241&amp;"/*",Торговля!$I$5:$I$300)+SUMIF(Торговля!$E$5:$E$300,"*/"&amp;$B241,Торговля!$H$5:$H$300)+SUMIF(Лэндинг!$E$5:$E$300,$B241&amp;"/*",Лэндинг!$I$5:$I$300)+SUMIF(Лэндинг!$E$5:$E$300,"*/"&amp;$B241,Лэндинг!$H$5:$H$300)+SUMIF(Закрытые!$E$5:$E$300,$B241&amp;"/*",Закрытые!$I$5:$I$300)+SUMIF(Закрытые!$E$5:$E$300,"*/"&amp;$B241,Закрытые!$H$5:$H$300)+SUMIF(История!$B$5:$B$300,$B241&amp;"/*",История!$F$5:$F$300)+SUMIF(История!$B$5:$B$300,"*/"&amp;$B241,История!$E$5:$E$300),8))</f>
        <v/>
      </c>
      <c r="E241" s="339">
        <f>IF($B241="","",ROUND(C241-D241,8))</f>
        <v/>
      </c>
    </row>
    <row r="242" ht="22" customHeight="1">
      <c r="B242" s="320" t="n"/>
      <c r="C242" s="240">
        <f>IF($B242="","",ROUND(SUMIF(Торговля!$E$5:$E$300,$B242&amp;"/*",Торговля!$F$5:$F$300)+SUMIF(Торговля!$E$5:$E$300,"*/"&amp;$B242,Торговля!$K$5:$K$300)+SUMIF(Лэндинг!$E$5:$E$300,$B242&amp;"/*",Лэндинг!$F$5:$F$300)+SUMIF(Лэндинг!$E$5:$E$300,"*/"&amp;$B242,Лэндинг!$K$5:$K$300)+SUMIF(Закрытые!$E$5:$E$300,$B242&amp;"/*",Закрытые!$F$5:$F$300)+SUMIF(Закрытые!$E$5:$E$300,"*/"&amp;$B242,Закрытые!$K$5:$K$300)+SUMIF(История!$B$5:$B$300,$B242&amp;"/*",История!$C$5:$C$300)+SUMIF(История!$B$5:$B$300,"*/"&amp;$B242,История!$H$5:$H$300),8))</f>
        <v/>
      </c>
      <c r="D242" s="240">
        <f>IF($B242="","",ROUND(SUMIF(Торговля!$E$5:$E$300,$B242&amp;"/*",Торговля!$I$5:$I$300)+SUMIF(Торговля!$E$5:$E$300,"*/"&amp;$B242,Торговля!$H$5:$H$300)+SUMIF(Лэндинг!$E$5:$E$300,$B242&amp;"/*",Лэндинг!$I$5:$I$300)+SUMIF(Лэндинг!$E$5:$E$300,"*/"&amp;$B242,Лэндинг!$H$5:$H$300)+SUMIF(Закрытые!$E$5:$E$300,$B242&amp;"/*",Закрытые!$I$5:$I$300)+SUMIF(Закрытые!$E$5:$E$300,"*/"&amp;$B242,Закрытые!$H$5:$H$300)+SUMIF(История!$B$5:$B$300,$B242&amp;"/*",История!$F$5:$F$300)+SUMIF(История!$B$5:$B$300,"*/"&amp;$B242,История!$E$5:$E$300),8))</f>
        <v/>
      </c>
      <c r="E242" s="339">
        <f>IF($B242="","",ROUND(C242-D242,8))</f>
        <v/>
      </c>
    </row>
    <row r="243" ht="22" customHeight="1">
      <c r="B243" s="315" t="n"/>
      <c r="C243" s="240">
        <f>IF($B243="","",ROUND(SUMIF(Торговля!$E$5:$E$300,$B243&amp;"/*",Торговля!$F$5:$F$300)+SUMIF(Торговля!$E$5:$E$300,"*/"&amp;$B243,Торговля!$K$5:$K$300)+SUMIF(Лэндинг!$E$5:$E$300,$B243&amp;"/*",Лэндинг!$F$5:$F$300)+SUMIF(Лэндинг!$E$5:$E$300,"*/"&amp;$B243,Лэндинг!$K$5:$K$300)+SUMIF(Закрытые!$E$5:$E$300,$B243&amp;"/*",Закрытые!$F$5:$F$300)+SUMIF(Закрытые!$E$5:$E$300,"*/"&amp;$B243,Закрытые!$K$5:$K$300)+SUMIF(История!$B$5:$B$300,$B243&amp;"/*",История!$C$5:$C$300)+SUMIF(История!$B$5:$B$300,"*/"&amp;$B243,История!$H$5:$H$300),8))</f>
        <v/>
      </c>
      <c r="D243" s="240">
        <f>IF($B243="","",ROUND(SUMIF(Торговля!$E$5:$E$300,$B243&amp;"/*",Торговля!$I$5:$I$300)+SUMIF(Торговля!$E$5:$E$300,"*/"&amp;$B243,Торговля!$H$5:$H$300)+SUMIF(Лэндинг!$E$5:$E$300,$B243&amp;"/*",Лэндинг!$I$5:$I$300)+SUMIF(Лэндинг!$E$5:$E$300,"*/"&amp;$B243,Лэндинг!$H$5:$H$300)+SUMIF(Закрытые!$E$5:$E$300,$B243&amp;"/*",Закрытые!$I$5:$I$300)+SUMIF(Закрытые!$E$5:$E$300,"*/"&amp;$B243,Закрытые!$H$5:$H$300)+SUMIF(История!$B$5:$B$300,$B243&amp;"/*",История!$F$5:$F$300)+SUMIF(История!$B$5:$B$300,"*/"&amp;$B243,История!$E$5:$E$300),8))</f>
        <v/>
      </c>
      <c r="E243" s="339">
        <f>IF($B243="","",ROUND(C243-D243,8))</f>
        <v/>
      </c>
    </row>
    <row r="244" ht="22" customHeight="1">
      <c r="B244" s="320" t="n"/>
      <c r="C244" s="240">
        <f>IF($B244="","",ROUND(SUMIF(Торговля!$E$5:$E$300,$B244&amp;"/*",Торговля!$F$5:$F$300)+SUMIF(Торговля!$E$5:$E$300,"*/"&amp;$B244,Торговля!$K$5:$K$300)+SUMIF(Лэндинг!$E$5:$E$300,$B244&amp;"/*",Лэндинг!$F$5:$F$300)+SUMIF(Лэндинг!$E$5:$E$300,"*/"&amp;$B244,Лэндинг!$K$5:$K$300)+SUMIF(Закрытые!$E$5:$E$300,$B244&amp;"/*",Закрытые!$F$5:$F$300)+SUMIF(Закрытые!$E$5:$E$300,"*/"&amp;$B244,Закрытые!$K$5:$K$300)+SUMIF(История!$B$5:$B$300,$B244&amp;"/*",История!$C$5:$C$300)+SUMIF(История!$B$5:$B$300,"*/"&amp;$B244,История!$H$5:$H$300),8))</f>
        <v/>
      </c>
      <c r="D244" s="240">
        <f>IF($B244="","",ROUND(SUMIF(Торговля!$E$5:$E$300,$B244&amp;"/*",Торговля!$I$5:$I$300)+SUMIF(Торговля!$E$5:$E$300,"*/"&amp;$B244,Торговля!$H$5:$H$300)+SUMIF(Лэндинг!$E$5:$E$300,$B244&amp;"/*",Лэндинг!$I$5:$I$300)+SUMIF(Лэндинг!$E$5:$E$300,"*/"&amp;$B244,Лэндинг!$H$5:$H$300)+SUMIF(Закрытые!$E$5:$E$300,$B244&amp;"/*",Закрытые!$I$5:$I$300)+SUMIF(Закрытые!$E$5:$E$300,"*/"&amp;$B244,Закрытые!$H$5:$H$300)+SUMIF(История!$B$5:$B$300,$B244&amp;"/*",История!$F$5:$F$300)+SUMIF(История!$B$5:$B$300,"*/"&amp;$B244,История!$E$5:$E$300),8))</f>
        <v/>
      </c>
      <c r="E244" s="339">
        <f>IF($B244="","",ROUND(C244-D244,8))</f>
        <v/>
      </c>
    </row>
    <row r="245" ht="22" customHeight="1">
      <c r="B245" s="315" t="n"/>
      <c r="C245" s="240">
        <f>IF($B245="","",ROUND(SUMIF(Торговля!$E$5:$E$300,$B245&amp;"/*",Торговля!$F$5:$F$300)+SUMIF(Торговля!$E$5:$E$300,"*/"&amp;$B245,Торговля!$K$5:$K$300)+SUMIF(Лэндинг!$E$5:$E$300,$B245&amp;"/*",Лэндинг!$F$5:$F$300)+SUMIF(Лэндинг!$E$5:$E$300,"*/"&amp;$B245,Лэндинг!$K$5:$K$300)+SUMIF(Закрытые!$E$5:$E$300,$B245&amp;"/*",Закрытые!$F$5:$F$300)+SUMIF(Закрытые!$E$5:$E$300,"*/"&amp;$B245,Закрытые!$K$5:$K$300)+SUMIF(История!$B$5:$B$300,$B245&amp;"/*",История!$C$5:$C$300)+SUMIF(История!$B$5:$B$300,"*/"&amp;$B245,История!$H$5:$H$300),8))</f>
        <v/>
      </c>
      <c r="D245" s="240">
        <f>IF($B245="","",ROUND(SUMIF(Торговля!$E$5:$E$300,$B245&amp;"/*",Торговля!$I$5:$I$300)+SUMIF(Торговля!$E$5:$E$300,"*/"&amp;$B245,Торговля!$H$5:$H$300)+SUMIF(Лэндинг!$E$5:$E$300,$B245&amp;"/*",Лэндинг!$I$5:$I$300)+SUMIF(Лэндинг!$E$5:$E$300,"*/"&amp;$B245,Лэндинг!$H$5:$H$300)+SUMIF(Закрытые!$E$5:$E$300,$B245&amp;"/*",Закрытые!$I$5:$I$300)+SUMIF(Закрытые!$E$5:$E$300,"*/"&amp;$B245,Закрытые!$H$5:$H$300)+SUMIF(История!$B$5:$B$300,$B245&amp;"/*",История!$F$5:$F$300)+SUMIF(История!$B$5:$B$300,"*/"&amp;$B245,История!$E$5:$E$300),8))</f>
        <v/>
      </c>
      <c r="E245" s="339">
        <f>IF($B245="","",ROUND(C245-D245,8))</f>
        <v/>
      </c>
    </row>
    <row r="246" ht="22" customHeight="1">
      <c r="B246" s="320" t="n"/>
      <c r="C246" s="240">
        <f>IF($B246="","",ROUND(SUMIF(Торговля!$E$5:$E$300,$B246&amp;"/*",Торговля!$F$5:$F$300)+SUMIF(Торговля!$E$5:$E$300,"*/"&amp;$B246,Торговля!$K$5:$K$300)+SUMIF(Лэндинг!$E$5:$E$300,$B246&amp;"/*",Лэндинг!$F$5:$F$300)+SUMIF(Лэндинг!$E$5:$E$300,"*/"&amp;$B246,Лэндинг!$K$5:$K$300)+SUMIF(Закрытые!$E$5:$E$300,$B246&amp;"/*",Закрытые!$F$5:$F$300)+SUMIF(Закрытые!$E$5:$E$300,"*/"&amp;$B246,Закрытые!$K$5:$K$300)+SUMIF(История!$B$5:$B$300,$B246&amp;"/*",История!$C$5:$C$300)+SUMIF(История!$B$5:$B$300,"*/"&amp;$B246,История!$H$5:$H$300),8))</f>
        <v/>
      </c>
      <c r="D246" s="240">
        <f>IF($B246="","",ROUND(SUMIF(Торговля!$E$5:$E$300,$B246&amp;"/*",Торговля!$I$5:$I$300)+SUMIF(Торговля!$E$5:$E$300,"*/"&amp;$B246,Торговля!$H$5:$H$300)+SUMIF(Лэндинг!$E$5:$E$300,$B246&amp;"/*",Лэндинг!$I$5:$I$300)+SUMIF(Лэндинг!$E$5:$E$300,"*/"&amp;$B246,Лэндинг!$H$5:$H$300)+SUMIF(Закрытые!$E$5:$E$300,$B246&amp;"/*",Закрытые!$I$5:$I$300)+SUMIF(Закрытые!$E$5:$E$300,"*/"&amp;$B246,Закрытые!$H$5:$H$300)+SUMIF(История!$B$5:$B$300,$B246&amp;"/*",История!$F$5:$F$300)+SUMIF(История!$B$5:$B$300,"*/"&amp;$B246,История!$E$5:$E$300),8))</f>
        <v/>
      </c>
      <c r="E246" s="339">
        <f>IF($B246="","",ROUND(C246-D246,8))</f>
        <v/>
      </c>
    </row>
    <row r="247" ht="22" customHeight="1">
      <c r="B247" s="315" t="n"/>
      <c r="C247" s="240">
        <f>IF($B247="","",ROUND(SUMIF(Торговля!$E$5:$E$300,$B247&amp;"/*",Торговля!$F$5:$F$300)+SUMIF(Торговля!$E$5:$E$300,"*/"&amp;$B247,Торговля!$K$5:$K$300)+SUMIF(Лэндинг!$E$5:$E$300,$B247&amp;"/*",Лэндинг!$F$5:$F$300)+SUMIF(Лэндинг!$E$5:$E$300,"*/"&amp;$B247,Лэндинг!$K$5:$K$300)+SUMIF(Закрытые!$E$5:$E$300,$B247&amp;"/*",Закрытые!$F$5:$F$300)+SUMIF(Закрытые!$E$5:$E$300,"*/"&amp;$B247,Закрытые!$K$5:$K$300)+SUMIF(История!$B$5:$B$300,$B247&amp;"/*",История!$C$5:$C$300)+SUMIF(История!$B$5:$B$300,"*/"&amp;$B247,История!$H$5:$H$300),8))</f>
        <v/>
      </c>
      <c r="D247" s="240">
        <f>IF($B247="","",ROUND(SUMIF(Торговля!$E$5:$E$300,$B247&amp;"/*",Торговля!$I$5:$I$300)+SUMIF(Торговля!$E$5:$E$300,"*/"&amp;$B247,Торговля!$H$5:$H$300)+SUMIF(Лэндинг!$E$5:$E$300,$B247&amp;"/*",Лэндинг!$I$5:$I$300)+SUMIF(Лэндинг!$E$5:$E$300,"*/"&amp;$B247,Лэндинг!$H$5:$H$300)+SUMIF(Закрытые!$E$5:$E$300,$B247&amp;"/*",Закрытые!$I$5:$I$300)+SUMIF(Закрытые!$E$5:$E$300,"*/"&amp;$B247,Закрытые!$H$5:$H$300)+SUMIF(История!$B$5:$B$300,$B247&amp;"/*",История!$F$5:$F$300)+SUMIF(История!$B$5:$B$300,"*/"&amp;$B247,История!$E$5:$E$300),8))</f>
        <v/>
      </c>
      <c r="E247" s="339">
        <f>IF($B247="","",ROUND(C247-D247,8))</f>
        <v/>
      </c>
    </row>
    <row r="248" ht="22" customHeight="1">
      <c r="B248" s="320" t="n"/>
      <c r="C248" s="240">
        <f>IF($B248="","",ROUND(SUMIF(Торговля!$E$5:$E$300,$B248&amp;"/*",Торговля!$F$5:$F$300)+SUMIF(Торговля!$E$5:$E$300,"*/"&amp;$B248,Торговля!$K$5:$K$300)+SUMIF(Лэндинг!$E$5:$E$300,$B248&amp;"/*",Лэндинг!$F$5:$F$300)+SUMIF(Лэндинг!$E$5:$E$300,"*/"&amp;$B248,Лэндинг!$K$5:$K$300)+SUMIF(Закрытые!$E$5:$E$300,$B248&amp;"/*",Закрытые!$F$5:$F$300)+SUMIF(Закрытые!$E$5:$E$300,"*/"&amp;$B248,Закрытые!$K$5:$K$300)+SUMIF(История!$B$5:$B$300,$B248&amp;"/*",История!$C$5:$C$300)+SUMIF(История!$B$5:$B$300,"*/"&amp;$B248,История!$H$5:$H$300),8))</f>
        <v/>
      </c>
      <c r="D248" s="240">
        <f>IF($B248="","",ROUND(SUMIF(Торговля!$E$5:$E$300,$B248&amp;"/*",Торговля!$I$5:$I$300)+SUMIF(Торговля!$E$5:$E$300,"*/"&amp;$B248,Торговля!$H$5:$H$300)+SUMIF(Лэндинг!$E$5:$E$300,$B248&amp;"/*",Лэндинг!$I$5:$I$300)+SUMIF(Лэндинг!$E$5:$E$300,"*/"&amp;$B248,Лэндинг!$H$5:$H$300)+SUMIF(Закрытые!$E$5:$E$300,$B248&amp;"/*",Закрытые!$I$5:$I$300)+SUMIF(Закрытые!$E$5:$E$300,"*/"&amp;$B248,Закрытые!$H$5:$H$300)+SUMIF(История!$B$5:$B$300,$B248&amp;"/*",История!$F$5:$F$300)+SUMIF(История!$B$5:$B$300,"*/"&amp;$B248,История!$E$5:$E$300),8))</f>
        <v/>
      </c>
      <c r="E248" s="339">
        <f>IF($B248="","",ROUND(C248-D248,8))</f>
        <v/>
      </c>
    </row>
    <row r="249" ht="22" customHeight="1">
      <c r="B249" s="315" t="n"/>
      <c r="C249" s="240">
        <f>IF($B249="","",ROUND(SUMIF(Торговля!$E$5:$E$300,$B249&amp;"/*",Торговля!$F$5:$F$300)+SUMIF(Торговля!$E$5:$E$300,"*/"&amp;$B249,Торговля!$K$5:$K$300)+SUMIF(Лэндинг!$E$5:$E$300,$B249&amp;"/*",Лэндинг!$F$5:$F$300)+SUMIF(Лэндинг!$E$5:$E$300,"*/"&amp;$B249,Лэндинг!$K$5:$K$300)+SUMIF(Закрытые!$E$5:$E$300,$B249&amp;"/*",Закрытые!$F$5:$F$300)+SUMIF(Закрытые!$E$5:$E$300,"*/"&amp;$B249,Закрытые!$K$5:$K$300)+SUMIF(История!$B$5:$B$300,$B249&amp;"/*",История!$C$5:$C$300)+SUMIF(История!$B$5:$B$300,"*/"&amp;$B249,История!$H$5:$H$300),8))</f>
        <v/>
      </c>
      <c r="D249" s="240">
        <f>IF($B249="","",ROUND(SUMIF(Торговля!$E$5:$E$300,$B249&amp;"/*",Торговля!$I$5:$I$300)+SUMIF(Торговля!$E$5:$E$300,"*/"&amp;$B249,Торговля!$H$5:$H$300)+SUMIF(Лэндинг!$E$5:$E$300,$B249&amp;"/*",Лэндинг!$I$5:$I$300)+SUMIF(Лэндинг!$E$5:$E$300,"*/"&amp;$B249,Лэндинг!$H$5:$H$300)+SUMIF(Закрытые!$E$5:$E$300,$B249&amp;"/*",Закрытые!$I$5:$I$300)+SUMIF(Закрытые!$E$5:$E$300,"*/"&amp;$B249,Закрытые!$H$5:$H$300)+SUMIF(История!$B$5:$B$300,$B249&amp;"/*",История!$F$5:$F$300)+SUMIF(История!$B$5:$B$300,"*/"&amp;$B249,История!$E$5:$E$300),8))</f>
        <v/>
      </c>
      <c r="E249" s="339">
        <f>IF($B249="","",ROUND(C249-D249,8))</f>
        <v/>
      </c>
    </row>
    <row r="250" ht="22" customHeight="1">
      <c r="B250" s="320" t="n"/>
      <c r="C250" s="240">
        <f>IF($B250="","",ROUND(SUMIF(Торговля!$E$5:$E$300,$B250&amp;"/*",Торговля!$F$5:$F$300)+SUMIF(Торговля!$E$5:$E$300,"*/"&amp;$B250,Торговля!$K$5:$K$300)+SUMIF(Лэндинг!$E$5:$E$300,$B250&amp;"/*",Лэндинг!$F$5:$F$300)+SUMIF(Лэндинг!$E$5:$E$300,"*/"&amp;$B250,Лэндинг!$K$5:$K$300)+SUMIF(Закрытые!$E$5:$E$300,$B250&amp;"/*",Закрытые!$F$5:$F$300)+SUMIF(Закрытые!$E$5:$E$300,"*/"&amp;$B250,Закрытые!$K$5:$K$300)+SUMIF(История!$B$5:$B$300,$B250&amp;"/*",История!$C$5:$C$300)+SUMIF(История!$B$5:$B$300,"*/"&amp;$B250,История!$H$5:$H$300),8))</f>
        <v/>
      </c>
      <c r="D250" s="240">
        <f>IF($B250="","",ROUND(SUMIF(Торговля!$E$5:$E$300,$B250&amp;"/*",Торговля!$I$5:$I$300)+SUMIF(Торговля!$E$5:$E$300,"*/"&amp;$B250,Торговля!$H$5:$H$300)+SUMIF(Лэндинг!$E$5:$E$300,$B250&amp;"/*",Лэндинг!$I$5:$I$300)+SUMIF(Лэндинг!$E$5:$E$300,"*/"&amp;$B250,Лэндинг!$H$5:$H$300)+SUMIF(Закрытые!$E$5:$E$300,$B250&amp;"/*",Закрытые!$I$5:$I$300)+SUMIF(Закрытые!$E$5:$E$300,"*/"&amp;$B250,Закрытые!$H$5:$H$300)+SUMIF(История!$B$5:$B$300,$B250&amp;"/*",История!$F$5:$F$300)+SUMIF(История!$B$5:$B$300,"*/"&amp;$B250,История!$E$5:$E$300),8))</f>
        <v/>
      </c>
      <c r="E250" s="339">
        <f>IF($B250="","",ROUND(C250-D250,8))</f>
        <v/>
      </c>
    </row>
    <row r="251" ht="22" customHeight="1">
      <c r="B251" s="315" t="n"/>
      <c r="C251" s="240">
        <f>IF($B251="","",ROUND(SUMIF(Торговля!$E$5:$E$300,$B251&amp;"/*",Торговля!$F$5:$F$300)+SUMIF(Торговля!$E$5:$E$300,"*/"&amp;$B251,Торговля!$K$5:$K$300)+SUMIF(Лэндинг!$E$5:$E$300,$B251&amp;"/*",Лэндинг!$F$5:$F$300)+SUMIF(Лэндинг!$E$5:$E$300,"*/"&amp;$B251,Лэндинг!$K$5:$K$300)+SUMIF(Закрытые!$E$5:$E$300,$B251&amp;"/*",Закрытые!$F$5:$F$300)+SUMIF(Закрытые!$E$5:$E$300,"*/"&amp;$B251,Закрытые!$K$5:$K$300)+SUMIF(История!$B$5:$B$300,$B251&amp;"/*",История!$C$5:$C$300)+SUMIF(История!$B$5:$B$300,"*/"&amp;$B251,История!$H$5:$H$300),8))</f>
        <v/>
      </c>
      <c r="D251" s="240">
        <f>IF($B251="","",ROUND(SUMIF(Торговля!$E$5:$E$300,$B251&amp;"/*",Торговля!$I$5:$I$300)+SUMIF(Торговля!$E$5:$E$300,"*/"&amp;$B251,Торговля!$H$5:$H$300)+SUMIF(Лэндинг!$E$5:$E$300,$B251&amp;"/*",Лэндинг!$I$5:$I$300)+SUMIF(Лэндинг!$E$5:$E$300,"*/"&amp;$B251,Лэндинг!$H$5:$H$300)+SUMIF(Закрытые!$E$5:$E$300,$B251&amp;"/*",Закрытые!$I$5:$I$300)+SUMIF(Закрытые!$E$5:$E$300,"*/"&amp;$B251,Закрытые!$H$5:$H$300)+SUMIF(История!$B$5:$B$300,$B251&amp;"/*",История!$F$5:$F$300)+SUMIF(История!$B$5:$B$300,"*/"&amp;$B251,История!$E$5:$E$300),8))</f>
        <v/>
      </c>
      <c r="E251" s="339">
        <f>IF($B251="","",ROUND(C251-D251,8))</f>
        <v/>
      </c>
    </row>
    <row r="252" ht="22" customHeight="1">
      <c r="B252" s="320" t="n"/>
      <c r="C252" s="240">
        <f>IF($B252="","",ROUND(SUMIF(Торговля!$E$5:$E$300,$B252&amp;"/*",Торговля!$F$5:$F$300)+SUMIF(Торговля!$E$5:$E$300,"*/"&amp;$B252,Торговля!$K$5:$K$300)+SUMIF(Лэндинг!$E$5:$E$300,$B252&amp;"/*",Лэндинг!$F$5:$F$300)+SUMIF(Лэндинг!$E$5:$E$300,"*/"&amp;$B252,Лэндинг!$K$5:$K$300)+SUMIF(Закрытые!$E$5:$E$300,$B252&amp;"/*",Закрытые!$F$5:$F$300)+SUMIF(Закрытые!$E$5:$E$300,"*/"&amp;$B252,Закрытые!$K$5:$K$300)+SUMIF(История!$B$5:$B$300,$B252&amp;"/*",История!$C$5:$C$300)+SUMIF(История!$B$5:$B$300,"*/"&amp;$B252,История!$H$5:$H$300),8))</f>
        <v/>
      </c>
      <c r="D252" s="240">
        <f>IF($B252="","",ROUND(SUMIF(Торговля!$E$5:$E$300,$B252&amp;"/*",Торговля!$I$5:$I$300)+SUMIF(Торговля!$E$5:$E$300,"*/"&amp;$B252,Торговля!$H$5:$H$300)+SUMIF(Лэндинг!$E$5:$E$300,$B252&amp;"/*",Лэндинг!$I$5:$I$300)+SUMIF(Лэндинг!$E$5:$E$300,"*/"&amp;$B252,Лэндинг!$H$5:$H$300)+SUMIF(Закрытые!$E$5:$E$300,$B252&amp;"/*",Закрытые!$I$5:$I$300)+SUMIF(Закрытые!$E$5:$E$300,"*/"&amp;$B252,Закрытые!$H$5:$H$300)+SUMIF(История!$B$5:$B$300,$B252&amp;"/*",История!$F$5:$F$300)+SUMIF(История!$B$5:$B$300,"*/"&amp;$B252,История!$E$5:$E$300),8))</f>
        <v/>
      </c>
      <c r="E252" s="339">
        <f>IF($B252="","",ROUND(C252-D252,8))</f>
        <v/>
      </c>
    </row>
    <row r="253" ht="22" customHeight="1">
      <c r="B253" s="315" t="n"/>
      <c r="C253" s="240">
        <f>IF($B253="","",ROUND(SUMIF(Торговля!$E$5:$E$300,$B253&amp;"/*",Торговля!$F$5:$F$300)+SUMIF(Торговля!$E$5:$E$300,"*/"&amp;$B253,Торговля!$K$5:$K$300)+SUMIF(Лэндинг!$E$5:$E$300,$B253&amp;"/*",Лэндинг!$F$5:$F$300)+SUMIF(Лэндинг!$E$5:$E$300,"*/"&amp;$B253,Лэндинг!$K$5:$K$300)+SUMIF(Закрытые!$E$5:$E$300,$B253&amp;"/*",Закрытые!$F$5:$F$300)+SUMIF(Закрытые!$E$5:$E$300,"*/"&amp;$B253,Закрытые!$K$5:$K$300)+SUMIF(История!$B$5:$B$300,$B253&amp;"/*",История!$C$5:$C$300)+SUMIF(История!$B$5:$B$300,"*/"&amp;$B253,История!$H$5:$H$300),8))</f>
        <v/>
      </c>
      <c r="D253" s="240">
        <f>IF($B253="","",ROUND(SUMIF(Торговля!$E$5:$E$300,$B253&amp;"/*",Торговля!$I$5:$I$300)+SUMIF(Торговля!$E$5:$E$300,"*/"&amp;$B253,Торговля!$H$5:$H$300)+SUMIF(Лэндинг!$E$5:$E$300,$B253&amp;"/*",Лэндинг!$I$5:$I$300)+SUMIF(Лэндинг!$E$5:$E$300,"*/"&amp;$B253,Лэндинг!$H$5:$H$300)+SUMIF(Закрытые!$E$5:$E$300,$B253&amp;"/*",Закрытые!$I$5:$I$300)+SUMIF(Закрытые!$E$5:$E$300,"*/"&amp;$B253,Закрытые!$H$5:$H$300)+SUMIF(История!$B$5:$B$300,$B253&amp;"/*",История!$F$5:$F$300)+SUMIF(История!$B$5:$B$300,"*/"&amp;$B253,История!$E$5:$E$300),8))</f>
        <v/>
      </c>
      <c r="E253" s="339">
        <f>IF($B253="","",ROUND(C253-D253,8))</f>
        <v/>
      </c>
    </row>
    <row r="254" ht="22" customHeight="1">
      <c r="B254" s="320" t="n"/>
      <c r="C254" s="240">
        <f>IF($B254="","",ROUND(SUMIF(Торговля!$E$5:$E$300,$B254&amp;"/*",Торговля!$F$5:$F$300)+SUMIF(Торговля!$E$5:$E$300,"*/"&amp;$B254,Торговля!$K$5:$K$300)+SUMIF(Лэндинг!$E$5:$E$300,$B254&amp;"/*",Лэндинг!$F$5:$F$300)+SUMIF(Лэндинг!$E$5:$E$300,"*/"&amp;$B254,Лэндинг!$K$5:$K$300)+SUMIF(Закрытые!$E$5:$E$300,$B254&amp;"/*",Закрытые!$F$5:$F$300)+SUMIF(Закрытые!$E$5:$E$300,"*/"&amp;$B254,Закрытые!$K$5:$K$300)+SUMIF(История!$B$5:$B$300,$B254&amp;"/*",История!$C$5:$C$300)+SUMIF(История!$B$5:$B$300,"*/"&amp;$B254,История!$H$5:$H$300),8))</f>
        <v/>
      </c>
      <c r="D254" s="240">
        <f>IF($B254="","",ROUND(SUMIF(Торговля!$E$5:$E$300,$B254&amp;"/*",Торговля!$I$5:$I$300)+SUMIF(Торговля!$E$5:$E$300,"*/"&amp;$B254,Торговля!$H$5:$H$300)+SUMIF(Лэндинг!$E$5:$E$300,$B254&amp;"/*",Лэндинг!$I$5:$I$300)+SUMIF(Лэндинг!$E$5:$E$300,"*/"&amp;$B254,Лэндинг!$H$5:$H$300)+SUMIF(Закрытые!$E$5:$E$300,$B254&amp;"/*",Закрытые!$I$5:$I$300)+SUMIF(Закрытые!$E$5:$E$300,"*/"&amp;$B254,Закрытые!$H$5:$H$300)+SUMIF(История!$B$5:$B$300,$B254&amp;"/*",История!$F$5:$F$300)+SUMIF(История!$B$5:$B$300,"*/"&amp;$B254,История!$E$5:$E$300),8))</f>
        <v/>
      </c>
      <c r="E254" s="339">
        <f>IF($B254="","",ROUND(C254-D254,8))</f>
        <v/>
      </c>
    </row>
    <row r="255" ht="22" customHeight="1">
      <c r="B255" s="315" t="n"/>
      <c r="C255" s="240">
        <f>IF($B255="","",ROUND(SUMIF(Торговля!$E$5:$E$300,$B255&amp;"/*",Торговля!$F$5:$F$300)+SUMIF(Торговля!$E$5:$E$300,"*/"&amp;$B255,Торговля!$K$5:$K$300)+SUMIF(Лэндинг!$E$5:$E$300,$B255&amp;"/*",Лэндинг!$F$5:$F$300)+SUMIF(Лэндинг!$E$5:$E$300,"*/"&amp;$B255,Лэндинг!$K$5:$K$300)+SUMIF(Закрытые!$E$5:$E$300,$B255&amp;"/*",Закрытые!$F$5:$F$300)+SUMIF(Закрытые!$E$5:$E$300,"*/"&amp;$B255,Закрытые!$K$5:$K$300)+SUMIF(История!$B$5:$B$300,$B255&amp;"/*",История!$C$5:$C$300)+SUMIF(История!$B$5:$B$300,"*/"&amp;$B255,История!$H$5:$H$300),8))</f>
        <v/>
      </c>
      <c r="D255" s="240">
        <f>IF($B255="","",ROUND(SUMIF(Торговля!$E$5:$E$300,$B255&amp;"/*",Торговля!$I$5:$I$300)+SUMIF(Торговля!$E$5:$E$300,"*/"&amp;$B255,Торговля!$H$5:$H$300)+SUMIF(Лэндинг!$E$5:$E$300,$B255&amp;"/*",Лэндинг!$I$5:$I$300)+SUMIF(Лэндинг!$E$5:$E$300,"*/"&amp;$B255,Лэндинг!$H$5:$H$300)+SUMIF(Закрытые!$E$5:$E$300,$B255&amp;"/*",Закрытые!$I$5:$I$300)+SUMIF(Закрытые!$E$5:$E$300,"*/"&amp;$B255,Закрытые!$H$5:$H$300)+SUMIF(История!$B$5:$B$300,$B255&amp;"/*",История!$F$5:$F$300)+SUMIF(История!$B$5:$B$300,"*/"&amp;$B255,История!$E$5:$E$300),8))</f>
        <v/>
      </c>
      <c r="E255" s="339">
        <f>IF($B255="","",ROUND(C255-D255,8))</f>
        <v/>
      </c>
    </row>
    <row r="256" ht="22" customHeight="1">
      <c r="B256" s="320" t="n"/>
      <c r="C256" s="240">
        <f>IF($B256="","",ROUND(SUMIF(Торговля!$E$5:$E$300,$B256&amp;"/*",Торговля!$F$5:$F$300)+SUMIF(Торговля!$E$5:$E$300,"*/"&amp;$B256,Торговля!$K$5:$K$300)+SUMIF(Лэндинг!$E$5:$E$300,$B256&amp;"/*",Лэндинг!$F$5:$F$300)+SUMIF(Лэндинг!$E$5:$E$300,"*/"&amp;$B256,Лэндинг!$K$5:$K$300)+SUMIF(Закрытые!$E$5:$E$300,$B256&amp;"/*",Закрытые!$F$5:$F$300)+SUMIF(Закрытые!$E$5:$E$300,"*/"&amp;$B256,Закрытые!$K$5:$K$300)+SUMIF(История!$B$5:$B$300,$B256&amp;"/*",История!$C$5:$C$300)+SUMIF(История!$B$5:$B$300,"*/"&amp;$B256,История!$H$5:$H$300),8))</f>
        <v/>
      </c>
      <c r="D256" s="240">
        <f>IF($B256="","",ROUND(SUMIF(Торговля!$E$5:$E$300,$B256&amp;"/*",Торговля!$I$5:$I$300)+SUMIF(Торговля!$E$5:$E$300,"*/"&amp;$B256,Торговля!$H$5:$H$300)+SUMIF(Лэндинг!$E$5:$E$300,$B256&amp;"/*",Лэндинг!$I$5:$I$300)+SUMIF(Лэндинг!$E$5:$E$300,"*/"&amp;$B256,Лэндинг!$H$5:$H$300)+SUMIF(Закрытые!$E$5:$E$300,$B256&amp;"/*",Закрытые!$I$5:$I$300)+SUMIF(Закрытые!$E$5:$E$300,"*/"&amp;$B256,Закрытые!$H$5:$H$300)+SUMIF(История!$B$5:$B$300,$B256&amp;"/*",История!$F$5:$F$300)+SUMIF(История!$B$5:$B$300,"*/"&amp;$B256,История!$E$5:$E$300),8))</f>
        <v/>
      </c>
      <c r="E256" s="339">
        <f>IF($B256="","",ROUND(C256-D256,8))</f>
        <v/>
      </c>
    </row>
    <row r="257" ht="22" customHeight="1">
      <c r="B257" s="315" t="n"/>
      <c r="C257" s="240">
        <f>IF($B257="","",ROUND(SUMIF(Торговля!$E$5:$E$300,$B257&amp;"/*",Торговля!$F$5:$F$300)+SUMIF(Торговля!$E$5:$E$300,"*/"&amp;$B257,Торговля!$K$5:$K$300)+SUMIF(Лэндинг!$E$5:$E$300,$B257&amp;"/*",Лэндинг!$F$5:$F$300)+SUMIF(Лэндинг!$E$5:$E$300,"*/"&amp;$B257,Лэндинг!$K$5:$K$300)+SUMIF(Закрытые!$E$5:$E$300,$B257&amp;"/*",Закрытые!$F$5:$F$300)+SUMIF(Закрытые!$E$5:$E$300,"*/"&amp;$B257,Закрытые!$K$5:$K$300)+SUMIF(История!$B$5:$B$300,$B257&amp;"/*",История!$C$5:$C$300)+SUMIF(История!$B$5:$B$300,"*/"&amp;$B257,История!$H$5:$H$300),8))</f>
        <v/>
      </c>
      <c r="D257" s="240">
        <f>IF($B257="","",ROUND(SUMIF(Торговля!$E$5:$E$300,$B257&amp;"/*",Торговля!$I$5:$I$300)+SUMIF(Торговля!$E$5:$E$300,"*/"&amp;$B257,Торговля!$H$5:$H$300)+SUMIF(Лэндинг!$E$5:$E$300,$B257&amp;"/*",Лэндинг!$I$5:$I$300)+SUMIF(Лэндинг!$E$5:$E$300,"*/"&amp;$B257,Лэндинг!$H$5:$H$300)+SUMIF(Закрытые!$E$5:$E$300,$B257&amp;"/*",Закрытые!$I$5:$I$300)+SUMIF(Закрытые!$E$5:$E$300,"*/"&amp;$B257,Закрытые!$H$5:$H$300)+SUMIF(История!$B$5:$B$300,$B257&amp;"/*",История!$F$5:$F$300)+SUMIF(История!$B$5:$B$300,"*/"&amp;$B257,История!$E$5:$E$300),8))</f>
        <v/>
      </c>
      <c r="E257" s="339">
        <f>IF($B257="","",ROUND(C257-D257,8))</f>
        <v/>
      </c>
    </row>
    <row r="258" ht="22" customHeight="1">
      <c r="B258" s="320" t="n"/>
      <c r="C258" s="240">
        <f>IF($B258="","",ROUND(SUMIF(Торговля!$E$5:$E$300,$B258&amp;"/*",Торговля!$F$5:$F$300)+SUMIF(Торговля!$E$5:$E$300,"*/"&amp;$B258,Торговля!$K$5:$K$300)+SUMIF(Лэндинг!$E$5:$E$300,$B258&amp;"/*",Лэндинг!$F$5:$F$300)+SUMIF(Лэндинг!$E$5:$E$300,"*/"&amp;$B258,Лэндинг!$K$5:$K$300)+SUMIF(Закрытые!$E$5:$E$300,$B258&amp;"/*",Закрытые!$F$5:$F$300)+SUMIF(Закрытые!$E$5:$E$300,"*/"&amp;$B258,Закрытые!$K$5:$K$300)+SUMIF(История!$B$5:$B$300,$B258&amp;"/*",История!$C$5:$C$300)+SUMIF(История!$B$5:$B$300,"*/"&amp;$B258,История!$H$5:$H$300),8))</f>
        <v/>
      </c>
      <c r="D258" s="240">
        <f>IF($B258="","",ROUND(SUMIF(Торговля!$E$5:$E$300,$B258&amp;"/*",Торговля!$I$5:$I$300)+SUMIF(Торговля!$E$5:$E$300,"*/"&amp;$B258,Торговля!$H$5:$H$300)+SUMIF(Лэндинг!$E$5:$E$300,$B258&amp;"/*",Лэндинг!$I$5:$I$300)+SUMIF(Лэндинг!$E$5:$E$300,"*/"&amp;$B258,Лэндинг!$H$5:$H$300)+SUMIF(Закрытые!$E$5:$E$300,$B258&amp;"/*",Закрытые!$I$5:$I$300)+SUMIF(Закрытые!$E$5:$E$300,"*/"&amp;$B258,Закрытые!$H$5:$H$300)+SUMIF(История!$B$5:$B$300,$B258&amp;"/*",История!$F$5:$F$300)+SUMIF(История!$B$5:$B$300,"*/"&amp;$B258,История!$E$5:$E$300),8))</f>
        <v/>
      </c>
      <c r="E258" s="339">
        <f>IF($B258="","",ROUND(C258-D258,8))</f>
        <v/>
      </c>
    </row>
    <row r="259" ht="22" customHeight="1">
      <c r="B259" s="315" t="n"/>
      <c r="C259" s="240">
        <f>IF($B259="","",ROUND(SUMIF(Торговля!$E$5:$E$300,$B259&amp;"/*",Торговля!$F$5:$F$300)+SUMIF(Торговля!$E$5:$E$300,"*/"&amp;$B259,Торговля!$K$5:$K$300)+SUMIF(Лэндинг!$E$5:$E$300,$B259&amp;"/*",Лэндинг!$F$5:$F$300)+SUMIF(Лэндинг!$E$5:$E$300,"*/"&amp;$B259,Лэндинг!$K$5:$K$300)+SUMIF(Закрытые!$E$5:$E$300,$B259&amp;"/*",Закрытые!$F$5:$F$300)+SUMIF(Закрытые!$E$5:$E$300,"*/"&amp;$B259,Закрытые!$K$5:$K$300)+SUMIF(История!$B$5:$B$300,$B259&amp;"/*",История!$C$5:$C$300)+SUMIF(История!$B$5:$B$300,"*/"&amp;$B259,История!$H$5:$H$300),8))</f>
        <v/>
      </c>
      <c r="D259" s="240">
        <f>IF($B259="","",ROUND(SUMIF(Торговля!$E$5:$E$300,$B259&amp;"/*",Торговля!$I$5:$I$300)+SUMIF(Торговля!$E$5:$E$300,"*/"&amp;$B259,Торговля!$H$5:$H$300)+SUMIF(Лэндинг!$E$5:$E$300,$B259&amp;"/*",Лэндинг!$I$5:$I$300)+SUMIF(Лэндинг!$E$5:$E$300,"*/"&amp;$B259,Лэндинг!$H$5:$H$300)+SUMIF(Закрытые!$E$5:$E$300,$B259&amp;"/*",Закрытые!$I$5:$I$300)+SUMIF(Закрытые!$E$5:$E$300,"*/"&amp;$B259,Закрытые!$H$5:$H$300)+SUMIF(История!$B$5:$B$300,$B259&amp;"/*",История!$F$5:$F$300)+SUMIF(История!$B$5:$B$300,"*/"&amp;$B259,История!$E$5:$E$300),8))</f>
        <v/>
      </c>
      <c r="E259" s="339">
        <f>IF($B259="","",ROUND(C259-D259,8))</f>
        <v/>
      </c>
    </row>
    <row r="260" ht="22" customHeight="1">
      <c r="B260" s="320" t="n"/>
      <c r="C260" s="240">
        <f>IF($B260="","",ROUND(SUMIF(Торговля!$E$5:$E$300,$B260&amp;"/*",Торговля!$F$5:$F$300)+SUMIF(Торговля!$E$5:$E$300,"*/"&amp;$B260,Торговля!$K$5:$K$300)+SUMIF(Лэндинг!$E$5:$E$300,$B260&amp;"/*",Лэндинг!$F$5:$F$300)+SUMIF(Лэндинг!$E$5:$E$300,"*/"&amp;$B260,Лэндинг!$K$5:$K$300)+SUMIF(Закрытые!$E$5:$E$300,$B260&amp;"/*",Закрытые!$F$5:$F$300)+SUMIF(Закрытые!$E$5:$E$300,"*/"&amp;$B260,Закрытые!$K$5:$K$300)+SUMIF(История!$B$5:$B$300,$B260&amp;"/*",История!$C$5:$C$300)+SUMIF(История!$B$5:$B$300,"*/"&amp;$B260,История!$H$5:$H$300),8))</f>
        <v/>
      </c>
      <c r="D260" s="240">
        <f>IF($B260="","",ROUND(SUMIF(Торговля!$E$5:$E$300,$B260&amp;"/*",Торговля!$I$5:$I$300)+SUMIF(Торговля!$E$5:$E$300,"*/"&amp;$B260,Торговля!$H$5:$H$300)+SUMIF(Лэндинг!$E$5:$E$300,$B260&amp;"/*",Лэндинг!$I$5:$I$300)+SUMIF(Лэндинг!$E$5:$E$300,"*/"&amp;$B260,Лэндинг!$H$5:$H$300)+SUMIF(Закрытые!$E$5:$E$300,$B260&amp;"/*",Закрытые!$I$5:$I$300)+SUMIF(Закрытые!$E$5:$E$300,"*/"&amp;$B260,Закрытые!$H$5:$H$300)+SUMIF(История!$B$5:$B$300,$B260&amp;"/*",История!$F$5:$F$300)+SUMIF(История!$B$5:$B$300,"*/"&amp;$B260,История!$E$5:$E$300),8))</f>
        <v/>
      </c>
      <c r="E260" s="339">
        <f>IF($B260="","",ROUND(C260-D260,8))</f>
        <v/>
      </c>
    </row>
    <row r="261" ht="22" customHeight="1">
      <c r="B261" s="315" t="n"/>
      <c r="C261" s="240">
        <f>IF($B261="","",ROUND(SUMIF(Торговля!$E$5:$E$300,$B261&amp;"/*",Торговля!$F$5:$F$300)+SUMIF(Торговля!$E$5:$E$300,"*/"&amp;$B261,Торговля!$K$5:$K$300)+SUMIF(Лэндинг!$E$5:$E$300,$B261&amp;"/*",Лэндинг!$F$5:$F$300)+SUMIF(Лэндинг!$E$5:$E$300,"*/"&amp;$B261,Лэндинг!$K$5:$K$300)+SUMIF(Закрытые!$E$5:$E$300,$B261&amp;"/*",Закрытые!$F$5:$F$300)+SUMIF(Закрытые!$E$5:$E$300,"*/"&amp;$B261,Закрытые!$K$5:$K$300)+SUMIF(История!$B$5:$B$300,$B261&amp;"/*",История!$C$5:$C$300)+SUMIF(История!$B$5:$B$300,"*/"&amp;$B261,История!$H$5:$H$300),8))</f>
        <v/>
      </c>
      <c r="D261" s="240">
        <f>IF($B261="","",ROUND(SUMIF(Торговля!$E$5:$E$300,$B261&amp;"/*",Торговля!$I$5:$I$300)+SUMIF(Торговля!$E$5:$E$300,"*/"&amp;$B261,Торговля!$H$5:$H$300)+SUMIF(Лэндинг!$E$5:$E$300,$B261&amp;"/*",Лэндинг!$I$5:$I$300)+SUMIF(Лэндинг!$E$5:$E$300,"*/"&amp;$B261,Лэндинг!$H$5:$H$300)+SUMIF(Закрытые!$E$5:$E$300,$B261&amp;"/*",Закрытые!$I$5:$I$300)+SUMIF(Закрытые!$E$5:$E$300,"*/"&amp;$B261,Закрытые!$H$5:$H$300)+SUMIF(История!$B$5:$B$300,$B261&amp;"/*",История!$F$5:$F$300)+SUMIF(История!$B$5:$B$300,"*/"&amp;$B261,История!$E$5:$E$300),8))</f>
        <v/>
      </c>
      <c r="E261" s="339">
        <f>IF($B261="","",ROUND(C261-D261,8))</f>
        <v/>
      </c>
    </row>
    <row r="262" ht="22" customHeight="1">
      <c r="B262" s="320" t="n"/>
      <c r="C262" s="240">
        <f>IF($B262="","",ROUND(SUMIF(Торговля!$E$5:$E$300,$B262&amp;"/*",Торговля!$F$5:$F$300)+SUMIF(Торговля!$E$5:$E$300,"*/"&amp;$B262,Торговля!$K$5:$K$300)+SUMIF(Лэндинг!$E$5:$E$300,$B262&amp;"/*",Лэндинг!$F$5:$F$300)+SUMIF(Лэндинг!$E$5:$E$300,"*/"&amp;$B262,Лэндинг!$K$5:$K$300)+SUMIF(Закрытые!$E$5:$E$300,$B262&amp;"/*",Закрытые!$F$5:$F$300)+SUMIF(Закрытые!$E$5:$E$300,"*/"&amp;$B262,Закрытые!$K$5:$K$300)+SUMIF(История!$B$5:$B$300,$B262&amp;"/*",История!$C$5:$C$300)+SUMIF(История!$B$5:$B$300,"*/"&amp;$B262,История!$H$5:$H$300),8))</f>
        <v/>
      </c>
      <c r="D262" s="240">
        <f>IF($B262="","",ROUND(SUMIF(Торговля!$E$5:$E$300,$B262&amp;"/*",Торговля!$I$5:$I$300)+SUMIF(Торговля!$E$5:$E$300,"*/"&amp;$B262,Торговля!$H$5:$H$300)+SUMIF(Лэндинг!$E$5:$E$300,$B262&amp;"/*",Лэндинг!$I$5:$I$300)+SUMIF(Лэндинг!$E$5:$E$300,"*/"&amp;$B262,Лэндинг!$H$5:$H$300)+SUMIF(Закрытые!$E$5:$E$300,$B262&amp;"/*",Закрытые!$I$5:$I$300)+SUMIF(Закрытые!$E$5:$E$300,"*/"&amp;$B262,Закрытые!$H$5:$H$300)+SUMIF(История!$B$5:$B$300,$B262&amp;"/*",История!$F$5:$F$300)+SUMIF(История!$B$5:$B$300,"*/"&amp;$B262,История!$E$5:$E$300),8))</f>
        <v/>
      </c>
      <c r="E262" s="339">
        <f>IF($B262="","",ROUND(C262-D262,8))</f>
        <v/>
      </c>
    </row>
    <row r="263" ht="22" customHeight="1">
      <c r="B263" s="315" t="n"/>
      <c r="C263" s="240">
        <f>IF($B263="","",ROUND(SUMIF(Торговля!$E$5:$E$300,$B263&amp;"/*",Торговля!$F$5:$F$300)+SUMIF(Торговля!$E$5:$E$300,"*/"&amp;$B263,Торговля!$K$5:$K$300)+SUMIF(Лэндинг!$E$5:$E$300,$B263&amp;"/*",Лэндинг!$F$5:$F$300)+SUMIF(Лэндинг!$E$5:$E$300,"*/"&amp;$B263,Лэндинг!$K$5:$K$300)+SUMIF(Закрытые!$E$5:$E$300,$B263&amp;"/*",Закрытые!$F$5:$F$300)+SUMIF(Закрытые!$E$5:$E$300,"*/"&amp;$B263,Закрытые!$K$5:$K$300)+SUMIF(История!$B$5:$B$300,$B263&amp;"/*",История!$C$5:$C$300)+SUMIF(История!$B$5:$B$300,"*/"&amp;$B263,История!$H$5:$H$300),8))</f>
        <v/>
      </c>
      <c r="D263" s="240">
        <f>IF($B263="","",ROUND(SUMIF(Торговля!$E$5:$E$300,$B263&amp;"/*",Торговля!$I$5:$I$300)+SUMIF(Торговля!$E$5:$E$300,"*/"&amp;$B263,Торговля!$H$5:$H$300)+SUMIF(Лэндинг!$E$5:$E$300,$B263&amp;"/*",Лэндинг!$I$5:$I$300)+SUMIF(Лэндинг!$E$5:$E$300,"*/"&amp;$B263,Лэндинг!$H$5:$H$300)+SUMIF(Закрытые!$E$5:$E$300,$B263&amp;"/*",Закрытые!$I$5:$I$300)+SUMIF(Закрытые!$E$5:$E$300,"*/"&amp;$B263,Закрытые!$H$5:$H$300)+SUMIF(История!$B$5:$B$300,$B263&amp;"/*",История!$F$5:$F$300)+SUMIF(История!$B$5:$B$300,"*/"&amp;$B263,История!$E$5:$E$300),8))</f>
        <v/>
      </c>
      <c r="E263" s="339">
        <f>IF($B263="","",ROUND(C263-D263,8))</f>
        <v/>
      </c>
    </row>
    <row r="264" ht="22" customHeight="1">
      <c r="B264" s="320" t="n"/>
      <c r="C264" s="240">
        <f>IF($B264="","",ROUND(SUMIF(Торговля!$E$5:$E$300,$B264&amp;"/*",Торговля!$F$5:$F$300)+SUMIF(Торговля!$E$5:$E$300,"*/"&amp;$B264,Торговля!$K$5:$K$300)+SUMIF(Лэндинг!$E$5:$E$300,$B264&amp;"/*",Лэндинг!$F$5:$F$300)+SUMIF(Лэндинг!$E$5:$E$300,"*/"&amp;$B264,Лэндинг!$K$5:$K$300)+SUMIF(Закрытые!$E$5:$E$300,$B264&amp;"/*",Закрытые!$F$5:$F$300)+SUMIF(Закрытые!$E$5:$E$300,"*/"&amp;$B264,Закрытые!$K$5:$K$300)+SUMIF(История!$B$5:$B$300,$B264&amp;"/*",История!$C$5:$C$300)+SUMIF(История!$B$5:$B$300,"*/"&amp;$B264,История!$H$5:$H$300),8))</f>
        <v/>
      </c>
      <c r="D264" s="240">
        <f>IF($B264="","",ROUND(SUMIF(Торговля!$E$5:$E$300,$B264&amp;"/*",Торговля!$I$5:$I$300)+SUMIF(Торговля!$E$5:$E$300,"*/"&amp;$B264,Торговля!$H$5:$H$300)+SUMIF(Лэндинг!$E$5:$E$300,$B264&amp;"/*",Лэндинг!$I$5:$I$300)+SUMIF(Лэндинг!$E$5:$E$300,"*/"&amp;$B264,Лэндинг!$H$5:$H$300)+SUMIF(Закрытые!$E$5:$E$300,$B264&amp;"/*",Закрытые!$I$5:$I$300)+SUMIF(Закрытые!$E$5:$E$300,"*/"&amp;$B264,Закрытые!$H$5:$H$300)+SUMIF(История!$B$5:$B$300,$B264&amp;"/*",История!$F$5:$F$300)+SUMIF(История!$B$5:$B$300,"*/"&amp;$B264,История!$E$5:$E$300),8))</f>
        <v/>
      </c>
      <c r="E264" s="339">
        <f>IF($B264="","",ROUND(C264-D264,8))</f>
        <v/>
      </c>
    </row>
    <row r="265" ht="22" customHeight="1">
      <c r="B265" s="315" t="n"/>
      <c r="C265" s="240">
        <f>IF($B265="","",ROUND(SUMIF(Торговля!$E$5:$E$300,$B265&amp;"/*",Торговля!$F$5:$F$300)+SUMIF(Торговля!$E$5:$E$300,"*/"&amp;$B265,Торговля!$K$5:$K$300)+SUMIF(Лэндинг!$E$5:$E$300,$B265&amp;"/*",Лэндинг!$F$5:$F$300)+SUMIF(Лэндинг!$E$5:$E$300,"*/"&amp;$B265,Лэндинг!$K$5:$K$300)+SUMIF(Закрытые!$E$5:$E$300,$B265&amp;"/*",Закрытые!$F$5:$F$300)+SUMIF(Закрытые!$E$5:$E$300,"*/"&amp;$B265,Закрытые!$K$5:$K$300)+SUMIF(История!$B$5:$B$300,$B265&amp;"/*",История!$C$5:$C$300)+SUMIF(История!$B$5:$B$300,"*/"&amp;$B265,История!$H$5:$H$300),8))</f>
        <v/>
      </c>
      <c r="D265" s="240">
        <f>IF($B265="","",ROUND(SUMIF(Торговля!$E$5:$E$300,$B265&amp;"/*",Торговля!$I$5:$I$300)+SUMIF(Торговля!$E$5:$E$300,"*/"&amp;$B265,Торговля!$H$5:$H$300)+SUMIF(Лэндинг!$E$5:$E$300,$B265&amp;"/*",Лэндинг!$I$5:$I$300)+SUMIF(Лэндинг!$E$5:$E$300,"*/"&amp;$B265,Лэндинг!$H$5:$H$300)+SUMIF(Закрытые!$E$5:$E$300,$B265&amp;"/*",Закрытые!$I$5:$I$300)+SUMIF(Закрытые!$E$5:$E$300,"*/"&amp;$B265,Закрытые!$H$5:$H$300)+SUMIF(История!$B$5:$B$300,$B265&amp;"/*",История!$F$5:$F$300)+SUMIF(История!$B$5:$B$300,"*/"&amp;$B265,История!$E$5:$E$300),8))</f>
        <v/>
      </c>
      <c r="E265" s="339">
        <f>IF($B265="","",ROUND(C265-D265,8))</f>
        <v/>
      </c>
    </row>
    <row r="266" ht="22" customHeight="1">
      <c r="B266" s="320" t="n"/>
      <c r="C266" s="240">
        <f>IF($B266="","",ROUND(SUMIF(Торговля!$E$5:$E$300,$B266&amp;"/*",Торговля!$F$5:$F$300)+SUMIF(Торговля!$E$5:$E$300,"*/"&amp;$B266,Торговля!$K$5:$K$300)+SUMIF(Лэндинг!$E$5:$E$300,$B266&amp;"/*",Лэндинг!$F$5:$F$300)+SUMIF(Лэндинг!$E$5:$E$300,"*/"&amp;$B266,Лэндинг!$K$5:$K$300)+SUMIF(Закрытые!$E$5:$E$300,$B266&amp;"/*",Закрытые!$F$5:$F$300)+SUMIF(Закрытые!$E$5:$E$300,"*/"&amp;$B266,Закрытые!$K$5:$K$300)+SUMIF(История!$B$5:$B$300,$B266&amp;"/*",История!$C$5:$C$300)+SUMIF(История!$B$5:$B$300,"*/"&amp;$B266,История!$H$5:$H$300),8))</f>
        <v/>
      </c>
      <c r="D266" s="240">
        <f>IF($B266="","",ROUND(SUMIF(Торговля!$E$5:$E$300,$B266&amp;"/*",Торговля!$I$5:$I$300)+SUMIF(Торговля!$E$5:$E$300,"*/"&amp;$B266,Торговля!$H$5:$H$300)+SUMIF(Лэндинг!$E$5:$E$300,$B266&amp;"/*",Лэндинг!$I$5:$I$300)+SUMIF(Лэндинг!$E$5:$E$300,"*/"&amp;$B266,Лэндинг!$H$5:$H$300)+SUMIF(Закрытые!$E$5:$E$300,$B266&amp;"/*",Закрытые!$I$5:$I$300)+SUMIF(Закрытые!$E$5:$E$300,"*/"&amp;$B266,Закрытые!$H$5:$H$300)+SUMIF(История!$B$5:$B$300,$B266&amp;"/*",История!$F$5:$F$300)+SUMIF(История!$B$5:$B$300,"*/"&amp;$B266,История!$E$5:$E$300),8))</f>
        <v/>
      </c>
      <c r="E266" s="339">
        <f>IF($B266="","",ROUND(C266-D266,8))</f>
        <v/>
      </c>
    </row>
    <row r="267" ht="22" customHeight="1">
      <c r="B267" s="315" t="n"/>
      <c r="C267" s="240">
        <f>IF($B267="","",ROUND(SUMIF(Торговля!$E$5:$E$300,$B267&amp;"/*",Торговля!$F$5:$F$300)+SUMIF(Торговля!$E$5:$E$300,"*/"&amp;$B267,Торговля!$K$5:$K$300)+SUMIF(Лэндинг!$E$5:$E$300,$B267&amp;"/*",Лэндинг!$F$5:$F$300)+SUMIF(Лэндинг!$E$5:$E$300,"*/"&amp;$B267,Лэндинг!$K$5:$K$300)+SUMIF(Закрытые!$E$5:$E$300,$B267&amp;"/*",Закрытые!$F$5:$F$300)+SUMIF(Закрытые!$E$5:$E$300,"*/"&amp;$B267,Закрытые!$K$5:$K$300)+SUMIF(История!$B$5:$B$300,$B267&amp;"/*",История!$C$5:$C$300)+SUMIF(История!$B$5:$B$300,"*/"&amp;$B267,История!$H$5:$H$300),8))</f>
        <v/>
      </c>
      <c r="D267" s="240">
        <f>IF($B267="","",ROUND(SUMIF(Торговля!$E$5:$E$300,$B267&amp;"/*",Торговля!$I$5:$I$300)+SUMIF(Торговля!$E$5:$E$300,"*/"&amp;$B267,Торговля!$H$5:$H$300)+SUMIF(Лэндинг!$E$5:$E$300,$B267&amp;"/*",Лэндинг!$I$5:$I$300)+SUMIF(Лэндинг!$E$5:$E$300,"*/"&amp;$B267,Лэндинг!$H$5:$H$300)+SUMIF(Закрытые!$E$5:$E$300,$B267&amp;"/*",Закрытые!$I$5:$I$300)+SUMIF(Закрытые!$E$5:$E$300,"*/"&amp;$B267,Закрытые!$H$5:$H$300)+SUMIF(История!$B$5:$B$300,$B267&amp;"/*",История!$F$5:$F$300)+SUMIF(История!$B$5:$B$300,"*/"&amp;$B267,История!$E$5:$E$300),8))</f>
        <v/>
      </c>
      <c r="E267" s="339">
        <f>IF($B267="","",ROUND(C267-D267,8))</f>
        <v/>
      </c>
    </row>
    <row r="268" ht="22" customHeight="1">
      <c r="B268" s="320" t="n"/>
      <c r="C268" s="240">
        <f>IF($B268="","",ROUND(SUMIF(Торговля!$E$5:$E$300,$B268&amp;"/*",Торговля!$F$5:$F$300)+SUMIF(Торговля!$E$5:$E$300,"*/"&amp;$B268,Торговля!$K$5:$K$300)+SUMIF(Лэндинг!$E$5:$E$300,$B268&amp;"/*",Лэндинг!$F$5:$F$300)+SUMIF(Лэндинг!$E$5:$E$300,"*/"&amp;$B268,Лэндинг!$K$5:$K$300)+SUMIF(Закрытые!$E$5:$E$300,$B268&amp;"/*",Закрытые!$F$5:$F$300)+SUMIF(Закрытые!$E$5:$E$300,"*/"&amp;$B268,Закрытые!$K$5:$K$300)+SUMIF(История!$B$5:$B$300,$B268&amp;"/*",История!$C$5:$C$300)+SUMIF(История!$B$5:$B$300,"*/"&amp;$B268,История!$H$5:$H$300),8))</f>
        <v/>
      </c>
      <c r="D268" s="240">
        <f>IF($B268="","",ROUND(SUMIF(Торговля!$E$5:$E$300,$B268&amp;"/*",Торговля!$I$5:$I$300)+SUMIF(Торговля!$E$5:$E$300,"*/"&amp;$B268,Торговля!$H$5:$H$300)+SUMIF(Лэндинг!$E$5:$E$300,$B268&amp;"/*",Лэндинг!$I$5:$I$300)+SUMIF(Лэндинг!$E$5:$E$300,"*/"&amp;$B268,Лэндинг!$H$5:$H$300)+SUMIF(Закрытые!$E$5:$E$300,$B268&amp;"/*",Закрытые!$I$5:$I$300)+SUMIF(Закрытые!$E$5:$E$300,"*/"&amp;$B268,Закрытые!$H$5:$H$300)+SUMIF(История!$B$5:$B$300,$B268&amp;"/*",История!$F$5:$F$300)+SUMIF(История!$B$5:$B$300,"*/"&amp;$B268,История!$E$5:$E$300),8))</f>
        <v/>
      </c>
      <c r="E268" s="339">
        <f>IF($B268="","",ROUND(C268-D268,8))</f>
        <v/>
      </c>
    </row>
    <row r="269" ht="22" customHeight="1">
      <c r="B269" s="315" t="n"/>
      <c r="C269" s="240">
        <f>IF($B269="","",ROUND(SUMIF(Торговля!$E$5:$E$300,$B269&amp;"/*",Торговля!$F$5:$F$300)+SUMIF(Торговля!$E$5:$E$300,"*/"&amp;$B269,Торговля!$K$5:$K$300)+SUMIF(Лэндинг!$E$5:$E$300,$B269&amp;"/*",Лэндинг!$F$5:$F$300)+SUMIF(Лэндинг!$E$5:$E$300,"*/"&amp;$B269,Лэндинг!$K$5:$K$300)+SUMIF(Закрытые!$E$5:$E$300,$B269&amp;"/*",Закрытые!$F$5:$F$300)+SUMIF(Закрытые!$E$5:$E$300,"*/"&amp;$B269,Закрытые!$K$5:$K$300)+SUMIF(История!$B$5:$B$300,$B269&amp;"/*",История!$C$5:$C$300)+SUMIF(История!$B$5:$B$300,"*/"&amp;$B269,История!$H$5:$H$300),8))</f>
        <v/>
      </c>
      <c r="D269" s="240">
        <f>IF($B269="","",ROUND(SUMIF(Торговля!$E$5:$E$300,$B269&amp;"/*",Торговля!$I$5:$I$300)+SUMIF(Торговля!$E$5:$E$300,"*/"&amp;$B269,Торговля!$H$5:$H$300)+SUMIF(Лэндинг!$E$5:$E$300,$B269&amp;"/*",Лэндинг!$I$5:$I$300)+SUMIF(Лэндинг!$E$5:$E$300,"*/"&amp;$B269,Лэндинг!$H$5:$H$300)+SUMIF(Закрытые!$E$5:$E$300,$B269&amp;"/*",Закрытые!$I$5:$I$300)+SUMIF(Закрытые!$E$5:$E$300,"*/"&amp;$B269,Закрытые!$H$5:$H$300)+SUMIF(История!$B$5:$B$300,$B269&amp;"/*",История!$F$5:$F$300)+SUMIF(История!$B$5:$B$300,"*/"&amp;$B269,История!$E$5:$E$300),8))</f>
        <v/>
      </c>
      <c r="E269" s="339">
        <f>IF($B269="","",ROUND(C269-D269,8))</f>
        <v/>
      </c>
    </row>
    <row r="270" ht="22" customHeight="1">
      <c r="B270" s="320" t="n"/>
      <c r="C270" s="240">
        <f>IF($B270="","",ROUND(SUMIF(Торговля!$E$5:$E$300,$B270&amp;"/*",Торговля!$F$5:$F$300)+SUMIF(Торговля!$E$5:$E$300,"*/"&amp;$B270,Торговля!$K$5:$K$300)+SUMIF(Лэндинг!$E$5:$E$300,$B270&amp;"/*",Лэндинг!$F$5:$F$300)+SUMIF(Лэндинг!$E$5:$E$300,"*/"&amp;$B270,Лэндинг!$K$5:$K$300)+SUMIF(Закрытые!$E$5:$E$300,$B270&amp;"/*",Закрытые!$F$5:$F$300)+SUMIF(Закрытые!$E$5:$E$300,"*/"&amp;$B270,Закрытые!$K$5:$K$300)+SUMIF(История!$B$5:$B$300,$B270&amp;"/*",История!$C$5:$C$300)+SUMIF(История!$B$5:$B$300,"*/"&amp;$B270,История!$H$5:$H$300),8))</f>
        <v/>
      </c>
      <c r="D270" s="240">
        <f>IF($B270="","",ROUND(SUMIF(Торговля!$E$5:$E$300,$B270&amp;"/*",Торговля!$I$5:$I$300)+SUMIF(Торговля!$E$5:$E$300,"*/"&amp;$B270,Торговля!$H$5:$H$300)+SUMIF(Лэндинг!$E$5:$E$300,$B270&amp;"/*",Лэндинг!$I$5:$I$300)+SUMIF(Лэндинг!$E$5:$E$300,"*/"&amp;$B270,Лэндинг!$H$5:$H$300)+SUMIF(Закрытые!$E$5:$E$300,$B270&amp;"/*",Закрытые!$I$5:$I$300)+SUMIF(Закрытые!$E$5:$E$300,"*/"&amp;$B270,Закрытые!$H$5:$H$300)+SUMIF(История!$B$5:$B$300,$B270&amp;"/*",История!$F$5:$F$300)+SUMIF(История!$B$5:$B$300,"*/"&amp;$B270,История!$E$5:$E$300),8))</f>
        <v/>
      </c>
      <c r="E270" s="339">
        <f>IF($B270="","",ROUND(C270-D270,8))</f>
        <v/>
      </c>
    </row>
    <row r="271" ht="22" customHeight="1">
      <c r="B271" s="315" t="n"/>
      <c r="C271" s="240">
        <f>IF($B271="","",ROUND(SUMIF(Торговля!$E$5:$E$300,$B271&amp;"/*",Торговля!$F$5:$F$300)+SUMIF(Торговля!$E$5:$E$300,"*/"&amp;$B271,Торговля!$K$5:$K$300)+SUMIF(Лэндинг!$E$5:$E$300,$B271&amp;"/*",Лэндинг!$F$5:$F$300)+SUMIF(Лэндинг!$E$5:$E$300,"*/"&amp;$B271,Лэндинг!$K$5:$K$300)+SUMIF(Закрытые!$E$5:$E$300,$B271&amp;"/*",Закрытые!$F$5:$F$300)+SUMIF(Закрытые!$E$5:$E$300,"*/"&amp;$B271,Закрытые!$K$5:$K$300)+SUMIF(История!$B$5:$B$300,$B271&amp;"/*",История!$C$5:$C$300)+SUMIF(История!$B$5:$B$300,"*/"&amp;$B271,История!$H$5:$H$300),8))</f>
        <v/>
      </c>
      <c r="D271" s="240">
        <f>IF($B271="","",ROUND(SUMIF(Торговля!$E$5:$E$300,$B271&amp;"/*",Торговля!$I$5:$I$300)+SUMIF(Торговля!$E$5:$E$300,"*/"&amp;$B271,Торговля!$H$5:$H$300)+SUMIF(Лэндинг!$E$5:$E$300,$B271&amp;"/*",Лэндинг!$I$5:$I$300)+SUMIF(Лэндинг!$E$5:$E$300,"*/"&amp;$B271,Лэндинг!$H$5:$H$300)+SUMIF(Закрытые!$E$5:$E$300,$B271&amp;"/*",Закрытые!$I$5:$I$300)+SUMIF(Закрытые!$E$5:$E$300,"*/"&amp;$B271,Закрытые!$H$5:$H$300)+SUMIF(История!$B$5:$B$300,$B271&amp;"/*",История!$F$5:$F$300)+SUMIF(История!$B$5:$B$300,"*/"&amp;$B271,История!$E$5:$E$300),8))</f>
        <v/>
      </c>
      <c r="E271" s="339">
        <f>IF($B271="","",ROUND(C271-D271,8))</f>
        <v/>
      </c>
    </row>
    <row r="272" ht="22" customHeight="1">
      <c r="B272" s="320" t="n"/>
      <c r="C272" s="240">
        <f>IF($B272="","",ROUND(SUMIF(Торговля!$E$5:$E$300,$B272&amp;"/*",Торговля!$F$5:$F$300)+SUMIF(Торговля!$E$5:$E$300,"*/"&amp;$B272,Торговля!$K$5:$K$300)+SUMIF(Лэндинг!$E$5:$E$300,$B272&amp;"/*",Лэндинг!$F$5:$F$300)+SUMIF(Лэндинг!$E$5:$E$300,"*/"&amp;$B272,Лэндинг!$K$5:$K$300)+SUMIF(Закрытые!$E$5:$E$300,$B272&amp;"/*",Закрытые!$F$5:$F$300)+SUMIF(Закрытые!$E$5:$E$300,"*/"&amp;$B272,Закрытые!$K$5:$K$300)+SUMIF(История!$B$5:$B$300,$B272&amp;"/*",История!$C$5:$C$300)+SUMIF(История!$B$5:$B$300,"*/"&amp;$B272,История!$H$5:$H$300),8))</f>
        <v/>
      </c>
      <c r="D272" s="240">
        <f>IF($B272="","",ROUND(SUMIF(Торговля!$E$5:$E$300,$B272&amp;"/*",Торговля!$I$5:$I$300)+SUMIF(Торговля!$E$5:$E$300,"*/"&amp;$B272,Торговля!$H$5:$H$300)+SUMIF(Лэндинг!$E$5:$E$300,$B272&amp;"/*",Лэндинг!$I$5:$I$300)+SUMIF(Лэндинг!$E$5:$E$300,"*/"&amp;$B272,Лэндинг!$H$5:$H$300)+SUMIF(Закрытые!$E$5:$E$300,$B272&amp;"/*",Закрытые!$I$5:$I$300)+SUMIF(Закрытые!$E$5:$E$300,"*/"&amp;$B272,Закрытые!$H$5:$H$300)+SUMIF(История!$B$5:$B$300,$B272&amp;"/*",История!$F$5:$F$300)+SUMIF(История!$B$5:$B$300,"*/"&amp;$B272,История!$E$5:$E$300),8))</f>
        <v/>
      </c>
      <c r="E272" s="339">
        <f>IF($B272="","",ROUND(C272-D272,8))</f>
        <v/>
      </c>
    </row>
    <row r="273" ht="22" customHeight="1">
      <c r="B273" s="315" t="n"/>
      <c r="C273" s="240">
        <f>IF($B273="","",ROUND(SUMIF(Торговля!$E$5:$E$300,$B273&amp;"/*",Торговля!$F$5:$F$300)+SUMIF(Торговля!$E$5:$E$300,"*/"&amp;$B273,Торговля!$K$5:$K$300)+SUMIF(Лэндинг!$E$5:$E$300,$B273&amp;"/*",Лэндинг!$F$5:$F$300)+SUMIF(Лэндинг!$E$5:$E$300,"*/"&amp;$B273,Лэндинг!$K$5:$K$300)+SUMIF(Закрытые!$E$5:$E$300,$B273&amp;"/*",Закрытые!$F$5:$F$300)+SUMIF(Закрытые!$E$5:$E$300,"*/"&amp;$B273,Закрытые!$K$5:$K$300)+SUMIF(История!$B$5:$B$300,$B273&amp;"/*",История!$C$5:$C$300)+SUMIF(История!$B$5:$B$300,"*/"&amp;$B273,История!$H$5:$H$300),8))</f>
        <v/>
      </c>
      <c r="D273" s="240">
        <f>IF($B273="","",ROUND(SUMIF(Торговля!$E$5:$E$300,$B273&amp;"/*",Торговля!$I$5:$I$300)+SUMIF(Торговля!$E$5:$E$300,"*/"&amp;$B273,Торговля!$H$5:$H$300)+SUMIF(Лэндинг!$E$5:$E$300,$B273&amp;"/*",Лэндинг!$I$5:$I$300)+SUMIF(Лэндинг!$E$5:$E$300,"*/"&amp;$B273,Лэндинг!$H$5:$H$300)+SUMIF(Закрытые!$E$5:$E$300,$B273&amp;"/*",Закрытые!$I$5:$I$300)+SUMIF(Закрытые!$E$5:$E$300,"*/"&amp;$B273,Закрытые!$H$5:$H$300)+SUMIF(История!$B$5:$B$300,$B273&amp;"/*",История!$F$5:$F$300)+SUMIF(История!$B$5:$B$300,"*/"&amp;$B273,История!$E$5:$E$300),8))</f>
        <v/>
      </c>
      <c r="E273" s="339">
        <f>IF($B273="","",ROUND(C273-D273,8))</f>
        <v/>
      </c>
    </row>
    <row r="274" ht="22" customHeight="1">
      <c r="B274" s="320" t="n"/>
      <c r="C274" s="240">
        <f>IF($B274="","",ROUND(SUMIF(Торговля!$E$5:$E$300,$B274&amp;"/*",Торговля!$F$5:$F$300)+SUMIF(Торговля!$E$5:$E$300,"*/"&amp;$B274,Торговля!$K$5:$K$300)+SUMIF(Лэндинг!$E$5:$E$300,$B274&amp;"/*",Лэндинг!$F$5:$F$300)+SUMIF(Лэндинг!$E$5:$E$300,"*/"&amp;$B274,Лэндинг!$K$5:$K$300)+SUMIF(Закрытые!$E$5:$E$300,$B274&amp;"/*",Закрытые!$F$5:$F$300)+SUMIF(Закрытые!$E$5:$E$300,"*/"&amp;$B274,Закрытые!$K$5:$K$300)+SUMIF(История!$B$5:$B$300,$B274&amp;"/*",История!$C$5:$C$300)+SUMIF(История!$B$5:$B$300,"*/"&amp;$B274,История!$H$5:$H$300),8))</f>
        <v/>
      </c>
      <c r="D274" s="240">
        <f>IF($B274="","",ROUND(SUMIF(Торговля!$E$5:$E$300,$B274&amp;"/*",Торговля!$I$5:$I$300)+SUMIF(Торговля!$E$5:$E$300,"*/"&amp;$B274,Торговля!$H$5:$H$300)+SUMIF(Лэндинг!$E$5:$E$300,$B274&amp;"/*",Лэндинг!$I$5:$I$300)+SUMIF(Лэндинг!$E$5:$E$300,"*/"&amp;$B274,Лэндинг!$H$5:$H$300)+SUMIF(Закрытые!$E$5:$E$300,$B274&amp;"/*",Закрытые!$I$5:$I$300)+SUMIF(Закрытые!$E$5:$E$300,"*/"&amp;$B274,Закрытые!$H$5:$H$300)+SUMIF(История!$B$5:$B$300,$B274&amp;"/*",История!$F$5:$F$300)+SUMIF(История!$B$5:$B$300,"*/"&amp;$B274,История!$E$5:$E$300),8))</f>
        <v/>
      </c>
      <c r="E274" s="339">
        <f>IF($B274="","",ROUND(C274-D274,8))</f>
        <v/>
      </c>
    </row>
    <row r="275" ht="22" customHeight="1">
      <c r="B275" s="315" t="n"/>
      <c r="C275" s="240">
        <f>IF($B275="","",ROUND(SUMIF(Торговля!$E$5:$E$300,$B275&amp;"/*",Торговля!$F$5:$F$300)+SUMIF(Торговля!$E$5:$E$300,"*/"&amp;$B275,Торговля!$K$5:$K$300)+SUMIF(Лэндинг!$E$5:$E$300,$B275&amp;"/*",Лэндинг!$F$5:$F$300)+SUMIF(Лэндинг!$E$5:$E$300,"*/"&amp;$B275,Лэндинг!$K$5:$K$300)+SUMIF(Закрытые!$E$5:$E$300,$B275&amp;"/*",Закрытые!$F$5:$F$300)+SUMIF(Закрытые!$E$5:$E$300,"*/"&amp;$B275,Закрытые!$K$5:$K$300)+SUMIF(История!$B$5:$B$300,$B275&amp;"/*",История!$C$5:$C$300)+SUMIF(История!$B$5:$B$300,"*/"&amp;$B275,История!$H$5:$H$300),8))</f>
        <v/>
      </c>
      <c r="D275" s="240">
        <f>IF($B275="","",ROUND(SUMIF(Торговля!$E$5:$E$300,$B275&amp;"/*",Торговля!$I$5:$I$300)+SUMIF(Торговля!$E$5:$E$300,"*/"&amp;$B275,Торговля!$H$5:$H$300)+SUMIF(Лэндинг!$E$5:$E$300,$B275&amp;"/*",Лэндинг!$I$5:$I$300)+SUMIF(Лэндинг!$E$5:$E$300,"*/"&amp;$B275,Лэндинг!$H$5:$H$300)+SUMIF(Закрытые!$E$5:$E$300,$B275&amp;"/*",Закрытые!$I$5:$I$300)+SUMIF(Закрытые!$E$5:$E$300,"*/"&amp;$B275,Закрытые!$H$5:$H$300)+SUMIF(История!$B$5:$B$300,$B275&amp;"/*",История!$F$5:$F$300)+SUMIF(История!$B$5:$B$300,"*/"&amp;$B275,История!$E$5:$E$300),8))</f>
        <v/>
      </c>
      <c r="E275" s="339">
        <f>IF($B275="","",ROUND(C275-D275,8))</f>
        <v/>
      </c>
    </row>
    <row r="276" ht="22" customHeight="1">
      <c r="B276" s="320" t="n"/>
      <c r="C276" s="240">
        <f>IF($B276="","",ROUND(SUMIF(Торговля!$E$5:$E$300,$B276&amp;"/*",Торговля!$F$5:$F$300)+SUMIF(Торговля!$E$5:$E$300,"*/"&amp;$B276,Торговля!$K$5:$K$300)+SUMIF(Лэндинг!$E$5:$E$300,$B276&amp;"/*",Лэндинг!$F$5:$F$300)+SUMIF(Лэндинг!$E$5:$E$300,"*/"&amp;$B276,Лэндинг!$K$5:$K$300)+SUMIF(Закрытые!$E$5:$E$300,$B276&amp;"/*",Закрытые!$F$5:$F$300)+SUMIF(Закрытые!$E$5:$E$300,"*/"&amp;$B276,Закрытые!$K$5:$K$300)+SUMIF(История!$B$5:$B$300,$B276&amp;"/*",История!$C$5:$C$300)+SUMIF(История!$B$5:$B$300,"*/"&amp;$B276,История!$H$5:$H$300),8))</f>
        <v/>
      </c>
      <c r="D276" s="240">
        <f>IF($B276="","",ROUND(SUMIF(Торговля!$E$5:$E$300,$B276&amp;"/*",Торговля!$I$5:$I$300)+SUMIF(Торговля!$E$5:$E$300,"*/"&amp;$B276,Торговля!$H$5:$H$300)+SUMIF(Лэндинг!$E$5:$E$300,$B276&amp;"/*",Лэндинг!$I$5:$I$300)+SUMIF(Лэндинг!$E$5:$E$300,"*/"&amp;$B276,Лэндинг!$H$5:$H$300)+SUMIF(Закрытые!$E$5:$E$300,$B276&amp;"/*",Закрытые!$I$5:$I$300)+SUMIF(Закрытые!$E$5:$E$300,"*/"&amp;$B276,Закрытые!$H$5:$H$300)+SUMIF(История!$B$5:$B$300,$B276&amp;"/*",История!$F$5:$F$300)+SUMIF(История!$B$5:$B$300,"*/"&amp;$B276,История!$E$5:$E$300),8))</f>
        <v/>
      </c>
      <c r="E276" s="339">
        <f>IF($B276="","",ROUND(C276-D276,8))</f>
        <v/>
      </c>
    </row>
    <row r="277" ht="22" customHeight="1">
      <c r="B277" s="315" t="n"/>
      <c r="C277" s="240">
        <f>IF($B277="","",ROUND(SUMIF(Торговля!$E$5:$E$300,$B277&amp;"/*",Торговля!$F$5:$F$300)+SUMIF(Торговля!$E$5:$E$300,"*/"&amp;$B277,Торговля!$K$5:$K$300)+SUMIF(Лэндинг!$E$5:$E$300,$B277&amp;"/*",Лэндинг!$F$5:$F$300)+SUMIF(Лэндинг!$E$5:$E$300,"*/"&amp;$B277,Лэндинг!$K$5:$K$300)+SUMIF(Закрытые!$E$5:$E$300,$B277&amp;"/*",Закрытые!$F$5:$F$300)+SUMIF(Закрытые!$E$5:$E$300,"*/"&amp;$B277,Закрытые!$K$5:$K$300)+SUMIF(История!$B$5:$B$300,$B277&amp;"/*",История!$C$5:$C$300)+SUMIF(История!$B$5:$B$300,"*/"&amp;$B277,История!$H$5:$H$300),8))</f>
        <v/>
      </c>
      <c r="D277" s="240">
        <f>IF($B277="","",ROUND(SUMIF(Торговля!$E$5:$E$300,$B277&amp;"/*",Торговля!$I$5:$I$300)+SUMIF(Торговля!$E$5:$E$300,"*/"&amp;$B277,Торговля!$H$5:$H$300)+SUMIF(Лэндинг!$E$5:$E$300,$B277&amp;"/*",Лэндинг!$I$5:$I$300)+SUMIF(Лэндинг!$E$5:$E$300,"*/"&amp;$B277,Лэндинг!$H$5:$H$300)+SUMIF(Закрытые!$E$5:$E$300,$B277&amp;"/*",Закрытые!$I$5:$I$300)+SUMIF(Закрытые!$E$5:$E$300,"*/"&amp;$B277,Закрытые!$H$5:$H$300)+SUMIF(История!$B$5:$B$300,$B277&amp;"/*",История!$F$5:$F$300)+SUMIF(История!$B$5:$B$300,"*/"&amp;$B277,История!$E$5:$E$300),8))</f>
        <v/>
      </c>
      <c r="E277" s="339">
        <f>IF($B277="","",ROUND(C277-D277,8))</f>
        <v/>
      </c>
    </row>
    <row r="278" ht="22" customHeight="1">
      <c r="B278" s="320" t="n"/>
      <c r="C278" s="240">
        <f>IF($B278="","",ROUND(SUMIF(Торговля!$E$5:$E$300,$B278&amp;"/*",Торговля!$F$5:$F$300)+SUMIF(Торговля!$E$5:$E$300,"*/"&amp;$B278,Торговля!$K$5:$K$300)+SUMIF(Лэндинг!$E$5:$E$300,$B278&amp;"/*",Лэндинг!$F$5:$F$300)+SUMIF(Лэндинг!$E$5:$E$300,"*/"&amp;$B278,Лэндинг!$K$5:$K$300)+SUMIF(Закрытые!$E$5:$E$300,$B278&amp;"/*",Закрытые!$F$5:$F$300)+SUMIF(Закрытые!$E$5:$E$300,"*/"&amp;$B278,Закрытые!$K$5:$K$300)+SUMIF(История!$B$5:$B$300,$B278&amp;"/*",История!$C$5:$C$300)+SUMIF(История!$B$5:$B$300,"*/"&amp;$B278,История!$H$5:$H$300),8))</f>
        <v/>
      </c>
      <c r="D278" s="240">
        <f>IF($B278="","",ROUND(SUMIF(Торговля!$E$5:$E$300,$B278&amp;"/*",Торговля!$I$5:$I$300)+SUMIF(Торговля!$E$5:$E$300,"*/"&amp;$B278,Торговля!$H$5:$H$300)+SUMIF(Лэндинг!$E$5:$E$300,$B278&amp;"/*",Лэндинг!$I$5:$I$300)+SUMIF(Лэндинг!$E$5:$E$300,"*/"&amp;$B278,Лэндинг!$H$5:$H$300)+SUMIF(Закрытые!$E$5:$E$300,$B278&amp;"/*",Закрытые!$I$5:$I$300)+SUMIF(Закрытые!$E$5:$E$300,"*/"&amp;$B278,Закрытые!$H$5:$H$300)+SUMIF(История!$B$5:$B$300,$B278&amp;"/*",История!$F$5:$F$300)+SUMIF(История!$B$5:$B$300,"*/"&amp;$B278,История!$E$5:$E$300),8))</f>
        <v/>
      </c>
      <c r="E278" s="339">
        <f>IF($B278="","",ROUND(C278-D278,8))</f>
        <v/>
      </c>
    </row>
    <row r="279" ht="22" customHeight="1">
      <c r="B279" s="315" t="n"/>
      <c r="C279" s="240">
        <f>IF($B279="","",ROUND(SUMIF(Торговля!$E$5:$E$300,$B279&amp;"/*",Торговля!$F$5:$F$300)+SUMIF(Торговля!$E$5:$E$300,"*/"&amp;$B279,Торговля!$K$5:$K$300)+SUMIF(Лэндинг!$E$5:$E$300,$B279&amp;"/*",Лэндинг!$F$5:$F$300)+SUMIF(Лэндинг!$E$5:$E$300,"*/"&amp;$B279,Лэндинг!$K$5:$K$300)+SUMIF(Закрытые!$E$5:$E$300,$B279&amp;"/*",Закрытые!$F$5:$F$300)+SUMIF(Закрытые!$E$5:$E$300,"*/"&amp;$B279,Закрытые!$K$5:$K$300)+SUMIF(История!$B$5:$B$300,$B279&amp;"/*",История!$C$5:$C$300)+SUMIF(История!$B$5:$B$300,"*/"&amp;$B279,История!$H$5:$H$300),8))</f>
        <v/>
      </c>
      <c r="D279" s="240">
        <f>IF($B279="","",ROUND(SUMIF(Торговля!$E$5:$E$300,$B279&amp;"/*",Торговля!$I$5:$I$300)+SUMIF(Торговля!$E$5:$E$300,"*/"&amp;$B279,Торговля!$H$5:$H$300)+SUMIF(Лэндинг!$E$5:$E$300,$B279&amp;"/*",Лэндинг!$I$5:$I$300)+SUMIF(Лэндинг!$E$5:$E$300,"*/"&amp;$B279,Лэндинг!$H$5:$H$300)+SUMIF(Закрытые!$E$5:$E$300,$B279&amp;"/*",Закрытые!$I$5:$I$300)+SUMIF(Закрытые!$E$5:$E$300,"*/"&amp;$B279,Закрытые!$H$5:$H$300)+SUMIF(История!$B$5:$B$300,$B279&amp;"/*",История!$F$5:$F$300)+SUMIF(История!$B$5:$B$300,"*/"&amp;$B279,История!$E$5:$E$300),8))</f>
        <v/>
      </c>
      <c r="E279" s="339">
        <f>IF($B279="","",ROUND(C279-D279,8))</f>
        <v/>
      </c>
    </row>
    <row r="280" ht="22" customHeight="1">
      <c r="B280" s="320" t="n"/>
      <c r="C280" s="240">
        <f>IF($B280="","",ROUND(SUMIF(Торговля!$E$5:$E$300,$B280&amp;"/*",Торговля!$F$5:$F$300)+SUMIF(Торговля!$E$5:$E$300,"*/"&amp;$B280,Торговля!$K$5:$K$300)+SUMIF(Лэндинг!$E$5:$E$300,$B280&amp;"/*",Лэндинг!$F$5:$F$300)+SUMIF(Лэндинг!$E$5:$E$300,"*/"&amp;$B280,Лэндинг!$K$5:$K$300)+SUMIF(Закрытые!$E$5:$E$300,$B280&amp;"/*",Закрытые!$F$5:$F$300)+SUMIF(Закрытые!$E$5:$E$300,"*/"&amp;$B280,Закрытые!$K$5:$K$300)+SUMIF(История!$B$5:$B$300,$B280&amp;"/*",История!$C$5:$C$300)+SUMIF(История!$B$5:$B$300,"*/"&amp;$B280,История!$H$5:$H$300),8))</f>
        <v/>
      </c>
      <c r="D280" s="240">
        <f>IF($B280="","",ROUND(SUMIF(Торговля!$E$5:$E$300,$B280&amp;"/*",Торговля!$I$5:$I$300)+SUMIF(Торговля!$E$5:$E$300,"*/"&amp;$B280,Торговля!$H$5:$H$300)+SUMIF(Лэндинг!$E$5:$E$300,$B280&amp;"/*",Лэндинг!$I$5:$I$300)+SUMIF(Лэндинг!$E$5:$E$300,"*/"&amp;$B280,Лэндинг!$H$5:$H$300)+SUMIF(Закрытые!$E$5:$E$300,$B280&amp;"/*",Закрытые!$I$5:$I$300)+SUMIF(Закрытые!$E$5:$E$300,"*/"&amp;$B280,Закрытые!$H$5:$H$300)+SUMIF(История!$B$5:$B$300,$B280&amp;"/*",История!$F$5:$F$300)+SUMIF(История!$B$5:$B$300,"*/"&amp;$B280,История!$E$5:$E$300),8))</f>
        <v/>
      </c>
      <c r="E280" s="339">
        <f>IF($B280="","",ROUND(C280-D280,8))</f>
        <v/>
      </c>
    </row>
    <row r="281" ht="22" customHeight="1">
      <c r="B281" s="315" t="n"/>
      <c r="C281" s="240">
        <f>IF($B281="","",ROUND(SUMIF(Торговля!$E$5:$E$300,$B281&amp;"/*",Торговля!$F$5:$F$300)+SUMIF(Торговля!$E$5:$E$300,"*/"&amp;$B281,Торговля!$K$5:$K$300)+SUMIF(Лэндинг!$E$5:$E$300,$B281&amp;"/*",Лэндинг!$F$5:$F$300)+SUMIF(Лэндинг!$E$5:$E$300,"*/"&amp;$B281,Лэндинг!$K$5:$K$300)+SUMIF(Закрытые!$E$5:$E$300,$B281&amp;"/*",Закрытые!$F$5:$F$300)+SUMIF(Закрытые!$E$5:$E$300,"*/"&amp;$B281,Закрытые!$K$5:$K$300)+SUMIF(История!$B$5:$B$300,$B281&amp;"/*",История!$C$5:$C$300)+SUMIF(История!$B$5:$B$300,"*/"&amp;$B281,История!$H$5:$H$300),8))</f>
        <v/>
      </c>
      <c r="D281" s="240">
        <f>IF($B281="","",ROUND(SUMIF(Торговля!$E$5:$E$300,$B281&amp;"/*",Торговля!$I$5:$I$300)+SUMIF(Торговля!$E$5:$E$300,"*/"&amp;$B281,Торговля!$H$5:$H$300)+SUMIF(Лэндинг!$E$5:$E$300,$B281&amp;"/*",Лэндинг!$I$5:$I$300)+SUMIF(Лэндинг!$E$5:$E$300,"*/"&amp;$B281,Лэндинг!$H$5:$H$300)+SUMIF(Закрытые!$E$5:$E$300,$B281&amp;"/*",Закрытые!$I$5:$I$300)+SUMIF(Закрытые!$E$5:$E$300,"*/"&amp;$B281,Закрытые!$H$5:$H$300)+SUMIF(История!$B$5:$B$300,$B281&amp;"/*",История!$F$5:$F$300)+SUMIF(История!$B$5:$B$300,"*/"&amp;$B281,История!$E$5:$E$300),8))</f>
        <v/>
      </c>
      <c r="E281" s="339">
        <f>IF($B281="","",ROUND(C281-D281,8))</f>
        <v/>
      </c>
    </row>
    <row r="282" ht="22" customHeight="1">
      <c r="B282" s="320" t="n"/>
      <c r="C282" s="240">
        <f>IF($B282="","",ROUND(SUMIF(Торговля!$E$5:$E$300,$B282&amp;"/*",Торговля!$F$5:$F$300)+SUMIF(Торговля!$E$5:$E$300,"*/"&amp;$B282,Торговля!$K$5:$K$300)+SUMIF(Лэндинг!$E$5:$E$300,$B282&amp;"/*",Лэндинг!$F$5:$F$300)+SUMIF(Лэндинг!$E$5:$E$300,"*/"&amp;$B282,Лэндинг!$K$5:$K$300)+SUMIF(Закрытые!$E$5:$E$300,$B282&amp;"/*",Закрытые!$F$5:$F$300)+SUMIF(Закрытые!$E$5:$E$300,"*/"&amp;$B282,Закрытые!$K$5:$K$300)+SUMIF(История!$B$5:$B$300,$B282&amp;"/*",История!$C$5:$C$300)+SUMIF(История!$B$5:$B$300,"*/"&amp;$B282,История!$H$5:$H$300),8))</f>
        <v/>
      </c>
      <c r="D282" s="240">
        <f>IF($B282="","",ROUND(SUMIF(Торговля!$E$5:$E$300,$B282&amp;"/*",Торговля!$I$5:$I$300)+SUMIF(Торговля!$E$5:$E$300,"*/"&amp;$B282,Торговля!$H$5:$H$300)+SUMIF(Лэндинг!$E$5:$E$300,$B282&amp;"/*",Лэндинг!$I$5:$I$300)+SUMIF(Лэндинг!$E$5:$E$300,"*/"&amp;$B282,Лэндинг!$H$5:$H$300)+SUMIF(Закрытые!$E$5:$E$300,$B282&amp;"/*",Закрытые!$I$5:$I$300)+SUMIF(Закрытые!$E$5:$E$300,"*/"&amp;$B282,Закрытые!$H$5:$H$300)+SUMIF(История!$B$5:$B$300,$B282&amp;"/*",История!$F$5:$F$300)+SUMIF(История!$B$5:$B$300,"*/"&amp;$B282,История!$E$5:$E$300),8))</f>
        <v/>
      </c>
      <c r="E282" s="339">
        <f>IF($B282="","",ROUND(C282-D282,8))</f>
        <v/>
      </c>
    </row>
    <row r="283" ht="22" customHeight="1">
      <c r="B283" s="315" t="n"/>
      <c r="C283" s="240">
        <f>IF($B283="","",ROUND(SUMIF(Торговля!$E$5:$E$300,$B283&amp;"/*",Торговля!$F$5:$F$300)+SUMIF(Торговля!$E$5:$E$300,"*/"&amp;$B283,Торговля!$K$5:$K$300)+SUMIF(Лэндинг!$E$5:$E$300,$B283&amp;"/*",Лэндинг!$F$5:$F$300)+SUMIF(Лэндинг!$E$5:$E$300,"*/"&amp;$B283,Лэндинг!$K$5:$K$300)+SUMIF(Закрытые!$E$5:$E$300,$B283&amp;"/*",Закрытые!$F$5:$F$300)+SUMIF(Закрытые!$E$5:$E$300,"*/"&amp;$B283,Закрытые!$K$5:$K$300)+SUMIF(История!$B$5:$B$300,$B283&amp;"/*",История!$C$5:$C$300)+SUMIF(История!$B$5:$B$300,"*/"&amp;$B283,История!$H$5:$H$300),8))</f>
        <v/>
      </c>
      <c r="D283" s="240">
        <f>IF($B283="","",ROUND(SUMIF(Торговля!$E$5:$E$300,$B283&amp;"/*",Торговля!$I$5:$I$300)+SUMIF(Торговля!$E$5:$E$300,"*/"&amp;$B283,Торговля!$H$5:$H$300)+SUMIF(Лэндинг!$E$5:$E$300,$B283&amp;"/*",Лэндинг!$I$5:$I$300)+SUMIF(Лэндинг!$E$5:$E$300,"*/"&amp;$B283,Лэндинг!$H$5:$H$300)+SUMIF(Закрытые!$E$5:$E$300,$B283&amp;"/*",Закрытые!$I$5:$I$300)+SUMIF(Закрытые!$E$5:$E$300,"*/"&amp;$B283,Закрытые!$H$5:$H$300)+SUMIF(История!$B$5:$B$300,$B283&amp;"/*",История!$F$5:$F$300)+SUMIF(История!$B$5:$B$300,"*/"&amp;$B283,История!$E$5:$E$300),8))</f>
        <v/>
      </c>
      <c r="E283" s="339">
        <f>IF($B283="","",ROUND(C283-D283,8))</f>
        <v/>
      </c>
    </row>
    <row r="284" ht="22" customHeight="1">
      <c r="B284" s="320" t="n"/>
      <c r="C284" s="240">
        <f>IF($B284="","",ROUND(SUMIF(Торговля!$E$5:$E$300,$B284&amp;"/*",Торговля!$F$5:$F$300)+SUMIF(Торговля!$E$5:$E$300,"*/"&amp;$B284,Торговля!$K$5:$K$300)+SUMIF(Лэндинг!$E$5:$E$300,$B284&amp;"/*",Лэндинг!$F$5:$F$300)+SUMIF(Лэндинг!$E$5:$E$300,"*/"&amp;$B284,Лэндинг!$K$5:$K$300)+SUMIF(Закрытые!$E$5:$E$300,$B284&amp;"/*",Закрытые!$F$5:$F$300)+SUMIF(Закрытые!$E$5:$E$300,"*/"&amp;$B284,Закрытые!$K$5:$K$300)+SUMIF(История!$B$5:$B$300,$B284&amp;"/*",История!$C$5:$C$300)+SUMIF(История!$B$5:$B$300,"*/"&amp;$B284,История!$H$5:$H$300),8))</f>
        <v/>
      </c>
      <c r="D284" s="240">
        <f>IF($B284="","",ROUND(SUMIF(Торговля!$E$5:$E$300,$B284&amp;"/*",Торговля!$I$5:$I$300)+SUMIF(Торговля!$E$5:$E$300,"*/"&amp;$B284,Торговля!$H$5:$H$300)+SUMIF(Лэндинг!$E$5:$E$300,$B284&amp;"/*",Лэндинг!$I$5:$I$300)+SUMIF(Лэндинг!$E$5:$E$300,"*/"&amp;$B284,Лэндинг!$H$5:$H$300)+SUMIF(Закрытые!$E$5:$E$300,$B284&amp;"/*",Закрытые!$I$5:$I$300)+SUMIF(Закрытые!$E$5:$E$300,"*/"&amp;$B284,Закрытые!$H$5:$H$300)+SUMIF(История!$B$5:$B$300,$B284&amp;"/*",История!$F$5:$F$300)+SUMIF(История!$B$5:$B$300,"*/"&amp;$B284,История!$E$5:$E$300),8))</f>
        <v/>
      </c>
      <c r="E284" s="339">
        <f>IF($B284="","",ROUND(C284-D284,8))</f>
        <v/>
      </c>
    </row>
    <row r="285" ht="22" customHeight="1">
      <c r="B285" s="315" t="n"/>
      <c r="C285" s="240">
        <f>IF($B285="","",ROUND(SUMIF(Торговля!$E$5:$E$300,$B285&amp;"/*",Торговля!$F$5:$F$300)+SUMIF(Торговля!$E$5:$E$300,"*/"&amp;$B285,Торговля!$K$5:$K$300)+SUMIF(Лэндинг!$E$5:$E$300,$B285&amp;"/*",Лэндинг!$F$5:$F$300)+SUMIF(Лэндинг!$E$5:$E$300,"*/"&amp;$B285,Лэндинг!$K$5:$K$300)+SUMIF(Закрытые!$E$5:$E$300,$B285&amp;"/*",Закрытые!$F$5:$F$300)+SUMIF(Закрытые!$E$5:$E$300,"*/"&amp;$B285,Закрытые!$K$5:$K$300)+SUMIF(История!$B$5:$B$300,$B285&amp;"/*",История!$C$5:$C$300)+SUMIF(История!$B$5:$B$300,"*/"&amp;$B285,История!$H$5:$H$300),8))</f>
        <v/>
      </c>
      <c r="D285" s="240">
        <f>IF($B285="","",ROUND(SUMIF(Торговля!$E$5:$E$300,$B285&amp;"/*",Торговля!$I$5:$I$300)+SUMIF(Торговля!$E$5:$E$300,"*/"&amp;$B285,Торговля!$H$5:$H$300)+SUMIF(Лэндинг!$E$5:$E$300,$B285&amp;"/*",Лэндинг!$I$5:$I$300)+SUMIF(Лэндинг!$E$5:$E$300,"*/"&amp;$B285,Лэндинг!$H$5:$H$300)+SUMIF(Закрытые!$E$5:$E$300,$B285&amp;"/*",Закрытые!$I$5:$I$300)+SUMIF(Закрытые!$E$5:$E$300,"*/"&amp;$B285,Закрытые!$H$5:$H$300)+SUMIF(История!$B$5:$B$300,$B285&amp;"/*",История!$F$5:$F$300)+SUMIF(История!$B$5:$B$300,"*/"&amp;$B285,История!$E$5:$E$300),8))</f>
        <v/>
      </c>
      <c r="E285" s="339">
        <f>IF($B285="","",ROUND(C285-D285,8))</f>
        <v/>
      </c>
    </row>
    <row r="286" ht="22" customHeight="1">
      <c r="B286" s="320" t="n"/>
      <c r="C286" s="240">
        <f>IF($B286="","",ROUND(SUMIF(Торговля!$E$5:$E$300,$B286&amp;"/*",Торговля!$F$5:$F$300)+SUMIF(Торговля!$E$5:$E$300,"*/"&amp;$B286,Торговля!$K$5:$K$300)+SUMIF(Лэндинг!$E$5:$E$300,$B286&amp;"/*",Лэндинг!$F$5:$F$300)+SUMIF(Лэндинг!$E$5:$E$300,"*/"&amp;$B286,Лэндинг!$K$5:$K$300)+SUMIF(Закрытые!$E$5:$E$300,$B286&amp;"/*",Закрытые!$F$5:$F$300)+SUMIF(Закрытые!$E$5:$E$300,"*/"&amp;$B286,Закрытые!$K$5:$K$300)+SUMIF(История!$B$5:$B$300,$B286&amp;"/*",История!$C$5:$C$300)+SUMIF(История!$B$5:$B$300,"*/"&amp;$B286,История!$H$5:$H$300),8))</f>
        <v/>
      </c>
      <c r="D286" s="240">
        <f>IF($B286="","",ROUND(SUMIF(Торговля!$E$5:$E$300,$B286&amp;"/*",Торговля!$I$5:$I$300)+SUMIF(Торговля!$E$5:$E$300,"*/"&amp;$B286,Торговля!$H$5:$H$300)+SUMIF(Лэндинг!$E$5:$E$300,$B286&amp;"/*",Лэндинг!$I$5:$I$300)+SUMIF(Лэндинг!$E$5:$E$300,"*/"&amp;$B286,Лэндинг!$H$5:$H$300)+SUMIF(Закрытые!$E$5:$E$300,$B286&amp;"/*",Закрытые!$I$5:$I$300)+SUMIF(Закрытые!$E$5:$E$300,"*/"&amp;$B286,Закрытые!$H$5:$H$300)+SUMIF(История!$B$5:$B$300,$B286&amp;"/*",История!$F$5:$F$300)+SUMIF(История!$B$5:$B$300,"*/"&amp;$B286,История!$E$5:$E$300),8))</f>
        <v/>
      </c>
      <c r="E286" s="339">
        <f>IF($B286="","",ROUND(C286-D286,8))</f>
        <v/>
      </c>
    </row>
    <row r="287" ht="22" customHeight="1">
      <c r="B287" s="315" t="n"/>
      <c r="C287" s="240">
        <f>IF($B287="","",ROUND(SUMIF(Торговля!$E$5:$E$300,$B287&amp;"/*",Торговля!$F$5:$F$300)+SUMIF(Торговля!$E$5:$E$300,"*/"&amp;$B287,Торговля!$K$5:$K$300)+SUMIF(Лэндинг!$E$5:$E$300,$B287&amp;"/*",Лэндинг!$F$5:$F$300)+SUMIF(Лэндинг!$E$5:$E$300,"*/"&amp;$B287,Лэндинг!$K$5:$K$300)+SUMIF(Закрытые!$E$5:$E$300,$B287&amp;"/*",Закрытые!$F$5:$F$300)+SUMIF(Закрытые!$E$5:$E$300,"*/"&amp;$B287,Закрытые!$K$5:$K$300)+SUMIF(История!$B$5:$B$300,$B287&amp;"/*",История!$C$5:$C$300)+SUMIF(История!$B$5:$B$300,"*/"&amp;$B287,История!$H$5:$H$300),8))</f>
        <v/>
      </c>
      <c r="D287" s="240">
        <f>IF($B287="","",ROUND(SUMIF(Торговля!$E$5:$E$300,$B287&amp;"/*",Торговля!$I$5:$I$300)+SUMIF(Торговля!$E$5:$E$300,"*/"&amp;$B287,Торговля!$H$5:$H$300)+SUMIF(Лэндинг!$E$5:$E$300,$B287&amp;"/*",Лэндинг!$I$5:$I$300)+SUMIF(Лэндинг!$E$5:$E$300,"*/"&amp;$B287,Лэндинг!$H$5:$H$300)+SUMIF(Закрытые!$E$5:$E$300,$B287&amp;"/*",Закрытые!$I$5:$I$300)+SUMIF(Закрытые!$E$5:$E$300,"*/"&amp;$B287,Закрытые!$H$5:$H$300)+SUMIF(История!$B$5:$B$300,$B287&amp;"/*",История!$F$5:$F$300)+SUMIF(История!$B$5:$B$300,"*/"&amp;$B287,История!$E$5:$E$300),8))</f>
        <v/>
      </c>
      <c r="E287" s="339">
        <f>IF($B287="","",ROUND(C287-D287,8))</f>
        <v/>
      </c>
    </row>
    <row r="288" ht="22" customHeight="1">
      <c r="B288" s="320" t="n"/>
      <c r="C288" s="240">
        <f>IF($B288="","",ROUND(SUMIF(Торговля!$E$5:$E$300,$B288&amp;"/*",Торговля!$F$5:$F$300)+SUMIF(Торговля!$E$5:$E$300,"*/"&amp;$B288,Торговля!$K$5:$K$300)+SUMIF(Лэндинг!$E$5:$E$300,$B288&amp;"/*",Лэндинг!$F$5:$F$300)+SUMIF(Лэндинг!$E$5:$E$300,"*/"&amp;$B288,Лэндинг!$K$5:$K$300)+SUMIF(Закрытые!$E$5:$E$300,$B288&amp;"/*",Закрытые!$F$5:$F$300)+SUMIF(Закрытые!$E$5:$E$300,"*/"&amp;$B288,Закрытые!$K$5:$K$300)+SUMIF(История!$B$5:$B$300,$B288&amp;"/*",История!$C$5:$C$300)+SUMIF(История!$B$5:$B$300,"*/"&amp;$B288,История!$H$5:$H$300),8))</f>
        <v/>
      </c>
      <c r="D288" s="240">
        <f>IF($B288="","",ROUND(SUMIF(Торговля!$E$5:$E$300,$B288&amp;"/*",Торговля!$I$5:$I$300)+SUMIF(Торговля!$E$5:$E$300,"*/"&amp;$B288,Торговля!$H$5:$H$300)+SUMIF(Лэндинг!$E$5:$E$300,$B288&amp;"/*",Лэндинг!$I$5:$I$300)+SUMIF(Лэндинг!$E$5:$E$300,"*/"&amp;$B288,Лэндинг!$H$5:$H$300)+SUMIF(Закрытые!$E$5:$E$300,$B288&amp;"/*",Закрытые!$I$5:$I$300)+SUMIF(Закрытые!$E$5:$E$300,"*/"&amp;$B288,Закрытые!$H$5:$H$300)+SUMIF(История!$B$5:$B$300,$B288&amp;"/*",История!$F$5:$F$300)+SUMIF(История!$B$5:$B$300,"*/"&amp;$B288,История!$E$5:$E$300),8))</f>
        <v/>
      </c>
      <c r="E288" s="339">
        <f>IF($B288="","",ROUND(C288-D288,8))</f>
        <v/>
      </c>
    </row>
    <row r="289" ht="22" customHeight="1">
      <c r="B289" s="315" t="n"/>
      <c r="C289" s="240">
        <f>IF($B289="","",ROUND(SUMIF(Торговля!$E$5:$E$300,$B289&amp;"/*",Торговля!$F$5:$F$300)+SUMIF(Торговля!$E$5:$E$300,"*/"&amp;$B289,Торговля!$K$5:$K$300)+SUMIF(Лэндинг!$E$5:$E$300,$B289&amp;"/*",Лэндинг!$F$5:$F$300)+SUMIF(Лэндинг!$E$5:$E$300,"*/"&amp;$B289,Лэндинг!$K$5:$K$300)+SUMIF(Закрытые!$E$5:$E$300,$B289&amp;"/*",Закрытые!$F$5:$F$300)+SUMIF(Закрытые!$E$5:$E$300,"*/"&amp;$B289,Закрытые!$K$5:$K$300)+SUMIF(История!$B$5:$B$300,$B289&amp;"/*",История!$C$5:$C$300)+SUMIF(История!$B$5:$B$300,"*/"&amp;$B289,История!$H$5:$H$300),8))</f>
        <v/>
      </c>
      <c r="D289" s="240">
        <f>IF($B289="","",ROUND(SUMIF(Торговля!$E$5:$E$300,$B289&amp;"/*",Торговля!$I$5:$I$300)+SUMIF(Торговля!$E$5:$E$300,"*/"&amp;$B289,Торговля!$H$5:$H$300)+SUMIF(Лэндинг!$E$5:$E$300,$B289&amp;"/*",Лэндинг!$I$5:$I$300)+SUMIF(Лэндинг!$E$5:$E$300,"*/"&amp;$B289,Лэндинг!$H$5:$H$300)+SUMIF(Закрытые!$E$5:$E$300,$B289&amp;"/*",Закрытые!$I$5:$I$300)+SUMIF(Закрытые!$E$5:$E$300,"*/"&amp;$B289,Закрытые!$H$5:$H$300)+SUMIF(История!$B$5:$B$300,$B289&amp;"/*",История!$F$5:$F$300)+SUMIF(История!$B$5:$B$300,"*/"&amp;$B289,История!$E$5:$E$300),8))</f>
        <v/>
      </c>
      <c r="E289" s="339">
        <f>IF($B289="","",ROUND(C289-D289,8))</f>
        <v/>
      </c>
    </row>
    <row r="290" ht="22" customHeight="1">
      <c r="B290" s="320" t="n"/>
      <c r="C290" s="240">
        <f>IF($B290="","",ROUND(SUMIF(Торговля!$E$5:$E$300,$B290&amp;"/*",Торговля!$F$5:$F$300)+SUMIF(Торговля!$E$5:$E$300,"*/"&amp;$B290,Торговля!$K$5:$K$300)+SUMIF(Лэндинг!$E$5:$E$300,$B290&amp;"/*",Лэндинг!$F$5:$F$300)+SUMIF(Лэндинг!$E$5:$E$300,"*/"&amp;$B290,Лэндинг!$K$5:$K$300)+SUMIF(Закрытые!$E$5:$E$300,$B290&amp;"/*",Закрытые!$F$5:$F$300)+SUMIF(Закрытые!$E$5:$E$300,"*/"&amp;$B290,Закрытые!$K$5:$K$300)+SUMIF(История!$B$5:$B$300,$B290&amp;"/*",История!$C$5:$C$300)+SUMIF(История!$B$5:$B$300,"*/"&amp;$B290,История!$H$5:$H$300),8))</f>
        <v/>
      </c>
      <c r="D290" s="240">
        <f>IF($B290="","",ROUND(SUMIF(Торговля!$E$5:$E$300,$B290&amp;"/*",Торговля!$I$5:$I$300)+SUMIF(Торговля!$E$5:$E$300,"*/"&amp;$B290,Торговля!$H$5:$H$300)+SUMIF(Лэндинг!$E$5:$E$300,$B290&amp;"/*",Лэндинг!$I$5:$I$300)+SUMIF(Лэндинг!$E$5:$E$300,"*/"&amp;$B290,Лэндинг!$H$5:$H$300)+SUMIF(Закрытые!$E$5:$E$300,$B290&amp;"/*",Закрытые!$I$5:$I$300)+SUMIF(Закрытые!$E$5:$E$300,"*/"&amp;$B290,Закрытые!$H$5:$H$300)+SUMIF(История!$B$5:$B$300,$B290&amp;"/*",История!$F$5:$F$300)+SUMIF(История!$B$5:$B$300,"*/"&amp;$B290,История!$E$5:$E$300),8))</f>
        <v/>
      </c>
      <c r="E290" s="339">
        <f>IF($B290="","",ROUND(C290-D290,8))</f>
        <v/>
      </c>
    </row>
    <row r="291" ht="22" customHeight="1">
      <c r="B291" s="315" t="n"/>
      <c r="C291" s="240">
        <f>IF($B291="","",ROUND(SUMIF(Торговля!$E$5:$E$300,$B291&amp;"/*",Торговля!$F$5:$F$300)+SUMIF(Торговля!$E$5:$E$300,"*/"&amp;$B291,Торговля!$K$5:$K$300)+SUMIF(Лэндинг!$E$5:$E$300,$B291&amp;"/*",Лэндинг!$F$5:$F$300)+SUMIF(Лэндинг!$E$5:$E$300,"*/"&amp;$B291,Лэндинг!$K$5:$K$300)+SUMIF(Закрытые!$E$5:$E$300,$B291&amp;"/*",Закрытые!$F$5:$F$300)+SUMIF(Закрытые!$E$5:$E$300,"*/"&amp;$B291,Закрытые!$K$5:$K$300)+SUMIF(История!$B$5:$B$300,$B291&amp;"/*",История!$C$5:$C$300)+SUMIF(История!$B$5:$B$300,"*/"&amp;$B291,История!$H$5:$H$300),8))</f>
        <v/>
      </c>
      <c r="D291" s="240">
        <f>IF($B291="","",ROUND(SUMIF(Торговля!$E$5:$E$300,$B291&amp;"/*",Торговля!$I$5:$I$300)+SUMIF(Торговля!$E$5:$E$300,"*/"&amp;$B291,Торговля!$H$5:$H$300)+SUMIF(Лэндинг!$E$5:$E$300,$B291&amp;"/*",Лэндинг!$I$5:$I$300)+SUMIF(Лэндинг!$E$5:$E$300,"*/"&amp;$B291,Лэндинг!$H$5:$H$300)+SUMIF(Закрытые!$E$5:$E$300,$B291&amp;"/*",Закрытые!$I$5:$I$300)+SUMIF(Закрытые!$E$5:$E$300,"*/"&amp;$B291,Закрытые!$H$5:$H$300)+SUMIF(История!$B$5:$B$300,$B291&amp;"/*",История!$F$5:$F$300)+SUMIF(История!$B$5:$B$300,"*/"&amp;$B291,История!$E$5:$E$300),8))</f>
        <v/>
      </c>
      <c r="E291" s="339">
        <f>IF($B291="","",ROUND(C291-D291,8))</f>
        <v/>
      </c>
    </row>
    <row r="292" ht="22" customHeight="1">
      <c r="B292" s="320" t="n"/>
      <c r="C292" s="240">
        <f>IF($B292="","",ROUND(SUMIF(Торговля!$E$5:$E$300,$B292&amp;"/*",Торговля!$F$5:$F$300)+SUMIF(Торговля!$E$5:$E$300,"*/"&amp;$B292,Торговля!$K$5:$K$300)+SUMIF(Лэндинг!$E$5:$E$300,$B292&amp;"/*",Лэндинг!$F$5:$F$300)+SUMIF(Лэндинг!$E$5:$E$300,"*/"&amp;$B292,Лэндинг!$K$5:$K$300)+SUMIF(Закрытые!$E$5:$E$300,$B292&amp;"/*",Закрытые!$F$5:$F$300)+SUMIF(Закрытые!$E$5:$E$300,"*/"&amp;$B292,Закрытые!$K$5:$K$300)+SUMIF(История!$B$5:$B$300,$B292&amp;"/*",История!$C$5:$C$300)+SUMIF(История!$B$5:$B$300,"*/"&amp;$B292,История!$H$5:$H$300),8))</f>
        <v/>
      </c>
      <c r="D292" s="240">
        <f>IF($B292="","",ROUND(SUMIF(Торговля!$E$5:$E$300,$B292&amp;"/*",Торговля!$I$5:$I$300)+SUMIF(Торговля!$E$5:$E$300,"*/"&amp;$B292,Торговля!$H$5:$H$300)+SUMIF(Лэндинг!$E$5:$E$300,$B292&amp;"/*",Лэндинг!$I$5:$I$300)+SUMIF(Лэндинг!$E$5:$E$300,"*/"&amp;$B292,Лэндинг!$H$5:$H$300)+SUMIF(Закрытые!$E$5:$E$300,$B292&amp;"/*",Закрытые!$I$5:$I$300)+SUMIF(Закрытые!$E$5:$E$300,"*/"&amp;$B292,Закрытые!$H$5:$H$300)+SUMIF(История!$B$5:$B$300,$B292&amp;"/*",История!$F$5:$F$300)+SUMIF(История!$B$5:$B$300,"*/"&amp;$B292,История!$E$5:$E$300),8))</f>
        <v/>
      </c>
      <c r="E292" s="339">
        <f>IF($B292="","",ROUND(C292-D292,8))</f>
        <v/>
      </c>
    </row>
    <row r="293" ht="22" customHeight="1">
      <c r="B293" s="315" t="n"/>
      <c r="C293" s="240">
        <f>IF($B293="","",ROUND(SUMIF(Торговля!$E$5:$E$300,$B293&amp;"/*",Торговля!$F$5:$F$300)+SUMIF(Торговля!$E$5:$E$300,"*/"&amp;$B293,Торговля!$K$5:$K$300)+SUMIF(Лэндинг!$E$5:$E$300,$B293&amp;"/*",Лэндинг!$F$5:$F$300)+SUMIF(Лэндинг!$E$5:$E$300,"*/"&amp;$B293,Лэндинг!$K$5:$K$300)+SUMIF(Закрытые!$E$5:$E$300,$B293&amp;"/*",Закрытые!$F$5:$F$300)+SUMIF(Закрытые!$E$5:$E$300,"*/"&amp;$B293,Закрытые!$K$5:$K$300)+SUMIF(История!$B$5:$B$300,$B293&amp;"/*",История!$C$5:$C$300)+SUMIF(История!$B$5:$B$300,"*/"&amp;$B293,История!$H$5:$H$300),8))</f>
        <v/>
      </c>
      <c r="D293" s="240">
        <f>IF($B293="","",ROUND(SUMIF(Торговля!$E$5:$E$300,$B293&amp;"/*",Торговля!$I$5:$I$300)+SUMIF(Торговля!$E$5:$E$300,"*/"&amp;$B293,Торговля!$H$5:$H$300)+SUMIF(Лэндинг!$E$5:$E$300,$B293&amp;"/*",Лэндинг!$I$5:$I$300)+SUMIF(Лэндинг!$E$5:$E$300,"*/"&amp;$B293,Лэндинг!$H$5:$H$300)+SUMIF(Закрытые!$E$5:$E$300,$B293&amp;"/*",Закрытые!$I$5:$I$300)+SUMIF(Закрытые!$E$5:$E$300,"*/"&amp;$B293,Закрытые!$H$5:$H$300)+SUMIF(История!$B$5:$B$300,$B293&amp;"/*",История!$F$5:$F$300)+SUMIF(История!$B$5:$B$300,"*/"&amp;$B293,История!$E$5:$E$300),8))</f>
        <v/>
      </c>
      <c r="E293" s="339">
        <f>IF($B293="","",ROUND(C293-D293,8))</f>
        <v/>
      </c>
    </row>
    <row r="294" ht="22" customHeight="1">
      <c r="B294" s="320" t="n"/>
      <c r="C294" s="240">
        <f>IF($B294="","",ROUND(SUMIF(Торговля!$E$5:$E$300,$B294&amp;"/*",Торговля!$F$5:$F$300)+SUMIF(Торговля!$E$5:$E$300,"*/"&amp;$B294,Торговля!$K$5:$K$300)+SUMIF(Лэндинг!$E$5:$E$300,$B294&amp;"/*",Лэндинг!$F$5:$F$300)+SUMIF(Лэндинг!$E$5:$E$300,"*/"&amp;$B294,Лэндинг!$K$5:$K$300)+SUMIF(Закрытые!$E$5:$E$300,$B294&amp;"/*",Закрытые!$F$5:$F$300)+SUMIF(Закрытые!$E$5:$E$300,"*/"&amp;$B294,Закрытые!$K$5:$K$300)+SUMIF(История!$B$5:$B$300,$B294&amp;"/*",История!$C$5:$C$300)+SUMIF(История!$B$5:$B$300,"*/"&amp;$B294,История!$H$5:$H$300),8))</f>
        <v/>
      </c>
      <c r="D294" s="240">
        <f>IF($B294="","",ROUND(SUMIF(Торговля!$E$5:$E$300,$B294&amp;"/*",Торговля!$I$5:$I$300)+SUMIF(Торговля!$E$5:$E$300,"*/"&amp;$B294,Торговля!$H$5:$H$300)+SUMIF(Лэндинг!$E$5:$E$300,$B294&amp;"/*",Лэндинг!$I$5:$I$300)+SUMIF(Лэндинг!$E$5:$E$300,"*/"&amp;$B294,Лэндинг!$H$5:$H$300)+SUMIF(Закрытые!$E$5:$E$300,$B294&amp;"/*",Закрытые!$I$5:$I$300)+SUMIF(Закрытые!$E$5:$E$300,"*/"&amp;$B294,Закрытые!$H$5:$H$300)+SUMIF(История!$B$5:$B$300,$B294&amp;"/*",История!$F$5:$F$300)+SUMIF(История!$B$5:$B$300,"*/"&amp;$B294,История!$E$5:$E$300),8))</f>
        <v/>
      </c>
      <c r="E294" s="339">
        <f>IF($B294="","",ROUND(C294-D294,8))</f>
        <v/>
      </c>
    </row>
    <row r="295" ht="22" customHeight="1">
      <c r="B295" s="315" t="n"/>
      <c r="C295" s="240">
        <f>IF($B295="","",ROUND(SUMIF(Торговля!$E$5:$E$300,$B295&amp;"/*",Торговля!$F$5:$F$300)+SUMIF(Торговля!$E$5:$E$300,"*/"&amp;$B295,Торговля!$K$5:$K$300)+SUMIF(Лэндинг!$E$5:$E$300,$B295&amp;"/*",Лэндинг!$F$5:$F$300)+SUMIF(Лэндинг!$E$5:$E$300,"*/"&amp;$B295,Лэндинг!$K$5:$K$300)+SUMIF(Закрытые!$E$5:$E$300,$B295&amp;"/*",Закрытые!$F$5:$F$300)+SUMIF(Закрытые!$E$5:$E$300,"*/"&amp;$B295,Закрытые!$K$5:$K$300)+SUMIF(История!$B$5:$B$300,$B295&amp;"/*",История!$C$5:$C$300)+SUMIF(История!$B$5:$B$300,"*/"&amp;$B295,История!$H$5:$H$300),8))</f>
        <v/>
      </c>
      <c r="D295" s="240">
        <f>IF($B295="","",ROUND(SUMIF(Торговля!$E$5:$E$300,$B295&amp;"/*",Торговля!$I$5:$I$300)+SUMIF(Торговля!$E$5:$E$300,"*/"&amp;$B295,Торговля!$H$5:$H$300)+SUMIF(Лэндинг!$E$5:$E$300,$B295&amp;"/*",Лэндинг!$I$5:$I$300)+SUMIF(Лэндинг!$E$5:$E$300,"*/"&amp;$B295,Лэндинг!$H$5:$H$300)+SUMIF(Закрытые!$E$5:$E$300,$B295&amp;"/*",Закрытые!$I$5:$I$300)+SUMIF(Закрытые!$E$5:$E$300,"*/"&amp;$B295,Закрытые!$H$5:$H$300)+SUMIF(История!$B$5:$B$300,$B295&amp;"/*",История!$F$5:$F$300)+SUMIF(История!$B$5:$B$300,"*/"&amp;$B295,История!$E$5:$E$300),8))</f>
        <v/>
      </c>
      <c r="E295" s="339">
        <f>IF($B295="","",ROUND(C295-D295,8))</f>
        <v/>
      </c>
    </row>
    <row r="296" ht="22" customHeight="1">
      <c r="B296" s="320" t="n"/>
      <c r="C296" s="240">
        <f>IF($B296="","",ROUND(SUMIF(Торговля!$E$5:$E$300,$B296&amp;"/*",Торговля!$F$5:$F$300)+SUMIF(Торговля!$E$5:$E$300,"*/"&amp;$B296,Торговля!$K$5:$K$300)+SUMIF(Лэндинг!$E$5:$E$300,$B296&amp;"/*",Лэндинг!$F$5:$F$300)+SUMIF(Лэндинг!$E$5:$E$300,"*/"&amp;$B296,Лэндинг!$K$5:$K$300)+SUMIF(Закрытые!$E$5:$E$300,$B296&amp;"/*",Закрытые!$F$5:$F$300)+SUMIF(Закрытые!$E$5:$E$300,"*/"&amp;$B296,Закрытые!$K$5:$K$300)+SUMIF(История!$B$5:$B$300,$B296&amp;"/*",История!$C$5:$C$300)+SUMIF(История!$B$5:$B$300,"*/"&amp;$B296,История!$H$5:$H$300),8))</f>
        <v/>
      </c>
      <c r="D296" s="240">
        <f>IF($B296="","",ROUND(SUMIF(Торговля!$E$5:$E$300,$B296&amp;"/*",Торговля!$I$5:$I$300)+SUMIF(Торговля!$E$5:$E$300,"*/"&amp;$B296,Торговля!$H$5:$H$300)+SUMIF(Лэндинг!$E$5:$E$300,$B296&amp;"/*",Лэндинг!$I$5:$I$300)+SUMIF(Лэндинг!$E$5:$E$300,"*/"&amp;$B296,Лэндинг!$H$5:$H$300)+SUMIF(Закрытые!$E$5:$E$300,$B296&amp;"/*",Закрытые!$I$5:$I$300)+SUMIF(Закрытые!$E$5:$E$300,"*/"&amp;$B296,Закрытые!$H$5:$H$300)+SUMIF(История!$B$5:$B$300,$B296&amp;"/*",История!$F$5:$F$300)+SUMIF(История!$B$5:$B$300,"*/"&amp;$B296,История!$E$5:$E$300),8))</f>
        <v/>
      </c>
      <c r="E296" s="339">
        <f>IF($B296="","",ROUND(C296-D296,8))</f>
        <v/>
      </c>
    </row>
    <row r="297" ht="22" customHeight="1">
      <c r="B297" s="315" t="n"/>
      <c r="C297" s="240">
        <f>IF($B297="","",ROUND(SUMIF(Торговля!$E$5:$E$300,$B297&amp;"/*",Торговля!$F$5:$F$300)+SUMIF(Торговля!$E$5:$E$300,"*/"&amp;$B297,Торговля!$K$5:$K$300)+SUMIF(Лэндинг!$E$5:$E$300,$B297&amp;"/*",Лэндинг!$F$5:$F$300)+SUMIF(Лэндинг!$E$5:$E$300,"*/"&amp;$B297,Лэндинг!$K$5:$K$300)+SUMIF(Закрытые!$E$5:$E$300,$B297&amp;"/*",Закрытые!$F$5:$F$300)+SUMIF(Закрытые!$E$5:$E$300,"*/"&amp;$B297,Закрытые!$K$5:$K$300)+SUMIF(История!$B$5:$B$300,$B297&amp;"/*",История!$C$5:$C$300)+SUMIF(История!$B$5:$B$300,"*/"&amp;$B297,История!$H$5:$H$300),8))</f>
        <v/>
      </c>
      <c r="D297" s="240">
        <f>IF($B297="","",ROUND(SUMIF(Торговля!$E$5:$E$300,$B297&amp;"/*",Торговля!$I$5:$I$300)+SUMIF(Торговля!$E$5:$E$300,"*/"&amp;$B297,Торговля!$H$5:$H$300)+SUMIF(Лэндинг!$E$5:$E$300,$B297&amp;"/*",Лэндинг!$I$5:$I$300)+SUMIF(Лэндинг!$E$5:$E$300,"*/"&amp;$B297,Лэндинг!$H$5:$H$300)+SUMIF(Закрытые!$E$5:$E$300,$B297&amp;"/*",Закрытые!$I$5:$I$300)+SUMIF(Закрытые!$E$5:$E$300,"*/"&amp;$B297,Закрытые!$H$5:$H$300)+SUMIF(История!$B$5:$B$300,$B297&amp;"/*",История!$F$5:$F$300)+SUMIF(История!$B$5:$B$300,"*/"&amp;$B297,История!$E$5:$E$300),8))</f>
        <v/>
      </c>
      <c r="E297" s="339">
        <f>IF($B297="","",ROUND(C297-D297,8))</f>
        <v/>
      </c>
    </row>
    <row r="298" ht="22" customHeight="1">
      <c r="B298" s="320" t="n"/>
      <c r="C298" s="240">
        <f>IF($B298="","",ROUND(SUMIF(Торговля!$E$5:$E$300,$B298&amp;"/*",Торговля!$F$5:$F$300)+SUMIF(Торговля!$E$5:$E$300,"*/"&amp;$B298,Торговля!$K$5:$K$300)+SUMIF(Лэндинг!$E$5:$E$300,$B298&amp;"/*",Лэндинг!$F$5:$F$300)+SUMIF(Лэндинг!$E$5:$E$300,"*/"&amp;$B298,Лэндинг!$K$5:$K$300)+SUMIF(Закрытые!$E$5:$E$300,$B298&amp;"/*",Закрытые!$F$5:$F$300)+SUMIF(Закрытые!$E$5:$E$300,"*/"&amp;$B298,Закрытые!$K$5:$K$300)+SUMIF(История!$B$5:$B$300,$B298&amp;"/*",История!$C$5:$C$300)+SUMIF(История!$B$5:$B$300,"*/"&amp;$B298,История!$H$5:$H$300),8))</f>
        <v/>
      </c>
      <c r="D298" s="240">
        <f>IF($B298="","",ROUND(SUMIF(Торговля!$E$5:$E$300,$B298&amp;"/*",Торговля!$I$5:$I$300)+SUMIF(Торговля!$E$5:$E$300,"*/"&amp;$B298,Торговля!$H$5:$H$300)+SUMIF(Лэндинг!$E$5:$E$300,$B298&amp;"/*",Лэндинг!$I$5:$I$300)+SUMIF(Лэндинг!$E$5:$E$300,"*/"&amp;$B298,Лэндинг!$H$5:$H$300)+SUMIF(Закрытые!$E$5:$E$300,$B298&amp;"/*",Закрытые!$I$5:$I$300)+SUMIF(Закрытые!$E$5:$E$300,"*/"&amp;$B298,Закрытые!$H$5:$H$300)+SUMIF(История!$B$5:$B$300,$B298&amp;"/*",История!$F$5:$F$300)+SUMIF(История!$B$5:$B$300,"*/"&amp;$B298,История!$E$5:$E$300),8))</f>
        <v/>
      </c>
      <c r="E298" s="339">
        <f>IF($B298="","",ROUND(C298-D298,8))</f>
        <v/>
      </c>
    </row>
    <row r="299" ht="22" customHeight="1">
      <c r="B299" s="315" t="n"/>
      <c r="C299" s="240">
        <f>IF($B299="","",ROUND(SUMIF(Торговля!$E$5:$E$300,$B299&amp;"/*",Торговля!$F$5:$F$300)+SUMIF(Торговля!$E$5:$E$300,"*/"&amp;$B299,Торговля!$K$5:$K$300)+SUMIF(Лэндинг!$E$5:$E$300,$B299&amp;"/*",Лэндинг!$F$5:$F$300)+SUMIF(Лэндинг!$E$5:$E$300,"*/"&amp;$B299,Лэндинг!$K$5:$K$300)+SUMIF(Закрытые!$E$5:$E$300,$B299&amp;"/*",Закрытые!$F$5:$F$300)+SUMIF(Закрытые!$E$5:$E$300,"*/"&amp;$B299,Закрытые!$K$5:$K$300)+SUMIF(История!$B$5:$B$300,$B299&amp;"/*",История!$C$5:$C$300)+SUMIF(История!$B$5:$B$300,"*/"&amp;$B299,История!$H$5:$H$300),8))</f>
        <v/>
      </c>
      <c r="D299" s="240">
        <f>IF($B299="","",ROUND(SUMIF(Торговля!$E$5:$E$300,$B299&amp;"/*",Торговля!$I$5:$I$300)+SUMIF(Торговля!$E$5:$E$300,"*/"&amp;$B299,Торговля!$H$5:$H$300)+SUMIF(Лэндинг!$E$5:$E$300,$B299&amp;"/*",Лэндинг!$I$5:$I$300)+SUMIF(Лэндинг!$E$5:$E$300,"*/"&amp;$B299,Лэндинг!$H$5:$H$300)+SUMIF(Закрытые!$E$5:$E$300,$B299&amp;"/*",Закрытые!$I$5:$I$300)+SUMIF(Закрытые!$E$5:$E$300,"*/"&amp;$B299,Закрытые!$H$5:$H$300)+SUMIF(История!$B$5:$B$300,$B299&amp;"/*",История!$F$5:$F$300)+SUMIF(История!$B$5:$B$300,"*/"&amp;$B299,История!$E$5:$E$300),8))</f>
        <v/>
      </c>
      <c r="E299" s="339">
        <f>IF($B299="","",ROUND(C299-D299,8))</f>
        <v/>
      </c>
    </row>
    <row r="300" ht="22" customHeight="1">
      <c r="B300" s="320" t="n"/>
      <c r="C300" s="240">
        <f>IF($B300="","",ROUND(SUMIF(Торговля!$E$5:$E$300,$B300&amp;"/*",Торговля!$F$5:$F$300)+SUMIF(Торговля!$E$5:$E$300,"*/"&amp;$B300,Торговля!$K$5:$K$300)+SUMIF(Лэндинг!$E$5:$E$300,$B300&amp;"/*",Лэндинг!$F$5:$F$300)+SUMIF(Лэндинг!$E$5:$E$300,"*/"&amp;$B300,Лэндинг!$K$5:$K$300)+SUMIF(Закрытые!$E$5:$E$300,$B300&amp;"/*",Закрытые!$F$5:$F$300)+SUMIF(Закрытые!$E$5:$E$300,"*/"&amp;$B300,Закрытые!$K$5:$K$300)+SUMIF(История!$B$5:$B$300,$B300&amp;"/*",История!$C$5:$C$300)+SUMIF(История!$B$5:$B$300,"*/"&amp;$B300,История!$H$5:$H$300),8))</f>
        <v/>
      </c>
      <c r="D300" s="240">
        <f>IF($B300="","",ROUND(SUMIF(Торговля!$E$5:$E$300,$B300&amp;"/*",Торговля!$I$5:$I$300)+SUMIF(Торговля!$E$5:$E$300,"*/"&amp;$B300,Торговля!$H$5:$H$300)+SUMIF(Лэндинг!$E$5:$E$300,$B300&amp;"/*",Лэндинг!$I$5:$I$300)+SUMIF(Лэндинг!$E$5:$E$300,"*/"&amp;$B300,Лэндинг!$H$5:$H$300)+SUMIF(Закрытые!$E$5:$E$300,$B300&amp;"/*",Закрытые!$I$5:$I$300)+SUMIF(Закрытые!$E$5:$E$300,"*/"&amp;$B300,Закрытые!$H$5:$H$300)+SUMIF(История!$B$5:$B$300,$B300&amp;"/*",История!$F$5:$F$300)+SUMIF(История!$B$5:$B$300,"*/"&amp;$B300,История!$E$5:$E$300),8))</f>
        <v/>
      </c>
      <c r="E300" s="339">
        <f>IF($B300="","",ROUND(C300-D300,8))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">
    <mergeCell ref="B1:E2"/>
  </mergeCells>
  <conditionalFormatting sqref="B5:E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/>
</worksheet>
</file>

<file path=xl/worksheets/sheet11.xml><?xml version="1.0" encoding="utf-8"?>
<worksheet xmlns="http://schemas.openxmlformats.org/spreadsheetml/2006/main">
  <sheetPr codeName="Sheet11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5.1" customWidth="1" min="2" max="2"/>
    <col width="25.7" customWidth="1" min="3" max="3"/>
    <col width="16" customWidth="1" min="4" max="4"/>
    <col width="12.3" customWidth="1" min="5" max="5"/>
    <col width="9.4" customWidth="1" min="6" max="6"/>
    <col width="21.1" customWidth="1" min="7" max="7"/>
    <col width="16" customWidth="1" min="8" max="8"/>
    <col width="11.2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0</v>
      </c>
      <c r="I5" s="206" t="inlineStr">
        <is>
          <t>AAVE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0</v>
      </c>
      <c r="I6" s="206" t="inlineStr">
        <is>
          <t>ADA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ARB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BCH</t>
        </is>
      </c>
    </row>
    <row r="9" ht="22" customHeight="1">
      <c r="B9" s="206" t="inlineStr">
        <is>
          <t>AAVE</t>
        </is>
      </c>
      <c r="C9" s="207" t="n"/>
      <c r="I9" s="206" t="inlineStr">
        <is>
          <t>BNB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BTC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CAKE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DASH</t>
        </is>
      </c>
    </row>
    <row r="13">
      <c r="B13" s="206" t="n"/>
      <c r="I13" s="206" t="inlineStr">
        <is>
          <t>DOGE</t>
        </is>
      </c>
    </row>
    <row r="14">
      <c r="B14" s="206" t="n"/>
      <c r="I14" s="206" t="inlineStr">
        <is>
          <t>ELIZAOS</t>
        </is>
      </c>
    </row>
    <row r="15">
      <c r="B15" s="206" t="n"/>
      <c r="I15" s="206" t="inlineStr">
        <is>
          <t>ETH</t>
        </is>
      </c>
    </row>
    <row r="16">
      <c r="I16" s="206" t="inlineStr">
        <is>
          <t>LINK</t>
        </is>
      </c>
    </row>
    <row r="17">
      <c r="I17" s="206" t="inlineStr">
        <is>
          <t>LTC</t>
        </is>
      </c>
    </row>
    <row r="18">
      <c r="I18" s="206" t="inlineStr">
        <is>
          <t>SOL</t>
        </is>
      </c>
    </row>
    <row r="19">
      <c r="I19" s="206" t="inlineStr">
        <is>
          <t>TRX</t>
        </is>
      </c>
    </row>
    <row r="20">
      <c r="I20" s="206" t="inlineStr">
        <is>
          <t>USDT</t>
        </is>
      </c>
    </row>
    <row r="21">
      <c r="I21" s="206" t="inlineStr">
        <is>
          <t>XRP</t>
        </is>
      </c>
    </row>
    <row r="22">
      <c r="I22" s="206" t="n"/>
    </row>
    <row r="23">
      <c r="I23" s="206" t="n"/>
    </row>
    <row r="24">
      <c r="I24" s="206" t="n"/>
    </row>
    <row r="25">
      <c r="I25" s="206" t="n"/>
    </row>
    <row r="26">
      <c r="I26" s="206" t="n"/>
    </row>
    <row r="27">
      <c r="I27" s="206" t="n"/>
    </row>
    <row r="28">
      <c r="I28" s="206" t="n"/>
    </row>
    <row r="29">
      <c r="I29" s="206" t="n"/>
    </row>
    <row r="30">
      <c r="I30" s="206" t="n"/>
    </row>
    <row r="31">
      <c r="I31" s="206" t="n"/>
    </row>
    <row r="32">
      <c r="I32" s="206" t="n"/>
    </row>
    <row r="33">
      <c r="I33" s="206" t="n"/>
    </row>
    <row r="34">
      <c r="I34" s="206" t="n"/>
    </row>
    <row r="35">
      <c r="I35" s="206" t="n"/>
    </row>
    <row r="36">
      <c r="I36" s="206" t="n"/>
    </row>
    <row r="37">
      <c r="I37" s="206" t="n"/>
    </row>
    <row r="38">
      <c r="I38" s="206" t="n"/>
    </row>
    <row r="39">
      <c r="I39" s="206" t="n"/>
    </row>
    <row r="40">
      <c r="I40" s="206" t="n"/>
    </row>
    <row r="41">
      <c r="I41" s="206" t="n"/>
    </row>
    <row r="42">
      <c r="I42" s="206" t="n"/>
    </row>
    <row r="43">
      <c r="I43" s="206" t="n"/>
    </row>
    <row r="44">
      <c r="I44" s="206" t="n"/>
    </row>
    <row r="45">
      <c r="I45" s="206" t="n"/>
    </row>
    <row r="46">
      <c r="I46" s="206" t="n"/>
    </row>
    <row r="47">
      <c r="I47" s="206" t="n"/>
    </row>
    <row r="48">
      <c r="I48" s="206" t="n"/>
    </row>
    <row r="49">
      <c r="I49" s="206" t="n"/>
    </row>
    <row r="50">
      <c r="I50" s="206" t="n"/>
    </row>
    <row r="51">
      <c r="I51" s="206" t="n"/>
    </row>
    <row r="52">
      <c r="I52" s="206" t="n"/>
    </row>
    <row r="53">
      <c r="I53" s="206" t="n"/>
    </row>
    <row r="54">
      <c r="I54" s="206" t="n"/>
    </row>
    <row r="55">
      <c r="I55" s="206" t="n"/>
    </row>
    <row r="56">
      <c r="I56" s="206" t="n"/>
    </row>
    <row r="57">
      <c r="I57" s="206" t="n"/>
    </row>
    <row r="58">
      <c r="I58" s="206" t="n"/>
    </row>
    <row r="59">
      <c r="I59" s="206" t="n"/>
    </row>
    <row r="60">
      <c r="I60" s="206" t="n"/>
    </row>
    <row r="61">
      <c r="I61" s="206" t="n"/>
    </row>
    <row r="62">
      <c r="I62" s="206" t="n"/>
    </row>
    <row r="63">
      <c r="I63" s="206" t="n"/>
    </row>
    <row r="64">
      <c r="I64" s="206" t="n"/>
    </row>
    <row r="65">
      <c r="I65" s="206" t="n"/>
    </row>
    <row r="66">
      <c r="I66" s="206" t="n"/>
    </row>
    <row r="67">
      <c r="I67" s="206" t="n"/>
    </row>
    <row r="68">
      <c r="I68" s="206" t="n"/>
    </row>
    <row r="69">
      <c r="I69" s="206" t="n"/>
    </row>
    <row r="70">
      <c r="I70" s="206" t="n"/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2.xml><?xml version="1.0" encoding="utf-8"?>
<worksheet xmlns="http://schemas.openxmlformats.org/spreadsheetml/2006/main">
  <sheetPr codeName="Sheet12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3.4" customWidth="1" min="2" max="2"/>
    <col width="20.3" customWidth="1" min="3" max="3"/>
    <col width="18.2" customWidth="1" min="4" max="4"/>
    <col width="19.2" customWidth="1" min="5" max="5"/>
    <col width="20.3" customWidth="1" min="6" max="6"/>
    <col width="18.2" customWidth="1" min="7" max="7"/>
    <col width="19.2" customWidth="1" min="8" max="8"/>
    <col width="20.3" customWidth="1" min="9" max="9"/>
    <col width="21.4" customWidth="1" min="10" max="10"/>
    <col width="18.2" customWidth="1" min="11" max="11"/>
    <col width="11.9" customWidth="1" min="12" max="12"/>
    <col width="22.5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n"/>
      <c r="C5" s="316" t="n"/>
      <c r="D5" s="317" t="n"/>
      <c r="E5" s="241">
        <f>IF(AND(ISNUMBER(C5),ISNUMBER(D5)),C5*D5,"")</f>
        <v/>
      </c>
      <c r="F5" s="316" t="n"/>
      <c r="G5" s="317" t="n"/>
      <c r="H5" s="241">
        <f>IF(AND(ISNUMBER(F5),ISNUMBER(G5)),F5*G5,"")</f>
        <v/>
      </c>
      <c r="I5" s="339">
        <f>IF(COUNT(C5,F5)=0,"",N(C5)-N(F5))</f>
        <v/>
      </c>
      <c r="J5" s="340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n"/>
      <c r="C6" s="321" t="n"/>
      <c r="D6" s="322" t="n"/>
      <c r="E6" s="247">
        <f>IF(AND(ISNUMBER(C6),ISNUMBER(D6)),C6*D6,"")</f>
        <v/>
      </c>
      <c r="F6" s="321" t="n"/>
      <c r="G6" s="322" t="n"/>
      <c r="H6" s="247">
        <f>IF(AND(ISNUMBER(F6),ISNUMBER(G6)),F6*G6,"")</f>
        <v/>
      </c>
      <c r="I6" s="341">
        <f>IF(COUNT(C6,F6)=0,"",N(C6)-N(F6))</f>
        <v/>
      </c>
      <c r="J6" s="342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n"/>
      <c r="C7" s="316" t="n"/>
      <c r="D7" s="317" t="n"/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339">
        <f>IF(COUNT(C7,F7)=0,"",N(C7)-N(F7))</f>
        <v/>
      </c>
      <c r="J7" s="340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n"/>
      <c r="C8" s="321" t="n"/>
      <c r="D8" s="322" t="n"/>
      <c r="E8" s="247">
        <f>IF(AND(ISNUMBER(C8),ISNUMBER(D8)),C8*D8,"")</f>
        <v/>
      </c>
      <c r="F8" s="321" t="n"/>
      <c r="G8" s="322" t="n"/>
      <c r="H8" s="247">
        <f>IF(AND(ISNUMBER(F8),ISNUMBER(G8)),F8*G8,"")</f>
        <v/>
      </c>
      <c r="I8" s="341">
        <f>IF(COUNT(C8,F8)=0,"",N(C8)-N(F8))</f>
        <v/>
      </c>
      <c r="J8" s="342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n"/>
      <c r="C9" s="316" t="n"/>
      <c r="D9" s="317" t="n"/>
      <c r="E9" s="241">
        <f>IF(AND(ISNUMBER(C9),ISNUMBER(D9)),C9*D9,"")</f>
        <v/>
      </c>
      <c r="F9" s="316" t="n"/>
      <c r="G9" s="317" t="n"/>
      <c r="H9" s="241">
        <f>IF(AND(ISNUMBER(F9),ISNUMBER(G9)),F9*G9,"")</f>
        <v/>
      </c>
      <c r="I9" s="339">
        <f>IF(COUNT(C9,F9)=0,"",N(C9)-N(F9))</f>
        <v/>
      </c>
      <c r="J9" s="340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n"/>
      <c r="C10" s="321" t="n"/>
      <c r="D10" s="322" t="n"/>
      <c r="E10" s="247">
        <f>IF(AND(ISNUMBER(C10),ISNUMBER(D10)),C10*D10,"")</f>
        <v/>
      </c>
      <c r="F10" s="321" t="n"/>
      <c r="G10" s="322" t="n"/>
      <c r="H10" s="247">
        <f>IF(AND(ISNUMBER(F10),ISNUMBER(G10)),F10*G10,"")</f>
        <v/>
      </c>
      <c r="I10" s="341">
        <f>IF(COUNT(C10,F10)=0,"",N(C10)-N(F10))</f>
        <v/>
      </c>
      <c r="J10" s="342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n"/>
      <c r="C11" s="316" t="n"/>
      <c r="D11" s="317" t="n"/>
      <c r="E11" s="241">
        <f>IF(AND(ISNUMBER(C11),ISNUMBER(D11)),C11*D11,"")</f>
        <v/>
      </c>
      <c r="F11" s="316" t="n"/>
      <c r="G11" s="317" t="n"/>
      <c r="H11" s="241">
        <f>IF(AND(ISNUMBER(F11),ISNUMBER(G11)),F11*G11,"")</f>
        <v/>
      </c>
      <c r="I11" s="339">
        <f>IF(COUNT(C11,F11)=0,"",N(C11)-N(F11))</f>
        <v/>
      </c>
      <c r="J11" s="340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n"/>
      <c r="C12" s="321" t="n"/>
      <c r="D12" s="322" t="n"/>
      <c r="E12" s="247">
        <f>IF(AND(ISNUMBER(C12),ISNUMBER(D12)),C12*D12,"")</f>
        <v/>
      </c>
      <c r="F12" s="321" t="n"/>
      <c r="G12" s="322" t="n"/>
      <c r="H12" s="247">
        <f>IF(AND(ISNUMBER(F12),ISNUMBER(G12)),F12*G12,"")</f>
        <v/>
      </c>
      <c r="I12" s="341">
        <f>IF(COUNT(C12,F12)=0,"",N(C12)-N(F12))</f>
        <v/>
      </c>
      <c r="J12" s="342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n"/>
      <c r="C13" s="316" t="n"/>
      <c r="D13" s="317" t="n"/>
      <c r="E13" s="241">
        <f>IF(AND(ISNUMBER(C13),ISNUMBER(D13)),C13*D13,"")</f>
        <v/>
      </c>
      <c r="F13" s="316" t="n"/>
      <c r="G13" s="317" t="n"/>
      <c r="H13" s="241">
        <f>IF(AND(ISNUMBER(F13),ISNUMBER(G13)),F13*G13,"")</f>
        <v/>
      </c>
      <c r="I13" s="339">
        <f>IF(COUNT(C13,F13)=0,"",N(C13)-N(F13))</f>
        <v/>
      </c>
      <c r="J13" s="340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n"/>
      <c r="C14" s="321" t="n"/>
      <c r="D14" s="322" t="n"/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341">
        <f>IF(COUNT(C14,F14)=0,"",N(C14)-N(F14))</f>
        <v/>
      </c>
      <c r="J14" s="342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316" t="n"/>
      <c r="D15" s="317" t="n"/>
      <c r="E15" s="241">
        <f>IF(AND(ISNUMBER(C15),ISNUMBER(D15)),C15*D15,"")</f>
        <v/>
      </c>
      <c r="F15" s="316" t="n"/>
      <c r="G15" s="317" t="n"/>
      <c r="H15" s="241">
        <f>IF(AND(ISNUMBER(F15),ISNUMBER(G15)),F15*G15,"")</f>
        <v/>
      </c>
      <c r="I15" s="339">
        <f>IF(COUNT(C15,F15)=0,"",N(C15)-N(F15))</f>
        <v/>
      </c>
      <c r="J15" s="340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321" t="n"/>
      <c r="D16" s="322" t="n"/>
      <c r="E16" s="247">
        <f>IF(AND(ISNUMBER(C16),ISNUMBER(D16)),C16*D16,"")</f>
        <v/>
      </c>
      <c r="F16" s="321" t="n"/>
      <c r="G16" s="322" t="n"/>
      <c r="H16" s="247">
        <f>IF(AND(ISNUMBER(F16),ISNUMBER(G16)),F16*G16,"")</f>
        <v/>
      </c>
      <c r="I16" s="341">
        <f>IF(COUNT(C16,F16)=0,"",N(C16)-N(F16))</f>
        <v/>
      </c>
      <c r="J16" s="342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316" t="n"/>
      <c r="D17" s="317" t="n"/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339">
        <f>IF(COUNT(C17,F17)=0,"",N(C17)-N(F17))</f>
        <v/>
      </c>
      <c r="J17" s="340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321" t="n"/>
      <c r="D18" s="322" t="n"/>
      <c r="E18" s="247">
        <f>IF(AND(ISNUMBER(C18),ISNUMBER(D18)),C18*D18,"")</f>
        <v/>
      </c>
      <c r="F18" s="321" t="n"/>
      <c r="G18" s="322" t="n"/>
      <c r="H18" s="247">
        <f>IF(AND(ISNUMBER(F18),ISNUMBER(G18)),F18*G18,"")</f>
        <v/>
      </c>
      <c r="I18" s="341">
        <f>IF(COUNT(C18,F18)=0,"",N(C18)-N(F18))</f>
        <v/>
      </c>
      <c r="J18" s="342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316" t="n"/>
      <c r="D19" s="317" t="n"/>
      <c r="E19" s="241">
        <f>IF(AND(ISNUMBER(C19),ISNUMBER(D19)),C19*D19,"")</f>
        <v/>
      </c>
      <c r="F19" s="316" t="n"/>
      <c r="G19" s="317" t="n"/>
      <c r="H19" s="241">
        <f>IF(AND(ISNUMBER(F19),ISNUMBER(G19)),F19*G19,"")</f>
        <v/>
      </c>
      <c r="I19" s="339">
        <f>IF(COUNT(C19,F19)=0,"",N(C19)-N(F19))</f>
        <v/>
      </c>
      <c r="J19" s="340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321" t="n"/>
      <c r="D20" s="322" t="n"/>
      <c r="E20" s="247">
        <f>IF(AND(ISNUMBER(C20),ISNUMBER(D20)),C20*D20,"")</f>
        <v/>
      </c>
      <c r="F20" s="321" t="n"/>
      <c r="G20" s="322" t="n"/>
      <c r="H20" s="247">
        <f>IF(AND(ISNUMBER(F20),ISNUMBER(G20)),F20*G20,"")</f>
        <v/>
      </c>
      <c r="I20" s="341">
        <f>IF(COUNT(C20,F20)=0,"",N(C20)-N(F20))</f>
        <v/>
      </c>
      <c r="J20" s="342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316" t="n"/>
      <c r="D21" s="317" t="n"/>
      <c r="E21" s="241">
        <f>IF(AND(ISNUMBER(C21),ISNUMBER(D21)),C21*D21,"")</f>
        <v/>
      </c>
      <c r="F21" s="316" t="n"/>
      <c r="G21" s="317" t="n"/>
      <c r="H21" s="241">
        <f>IF(AND(ISNUMBER(F21),ISNUMBER(G21)),F21*G21,"")</f>
        <v/>
      </c>
      <c r="I21" s="339">
        <f>IF(COUNT(C21,F21)=0,"",N(C21)-N(F21))</f>
        <v/>
      </c>
      <c r="J21" s="340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321" t="n"/>
      <c r="D22" s="322" t="n"/>
      <c r="E22" s="247">
        <f>IF(AND(ISNUMBER(C22),ISNUMBER(D22)),C22*D22,"")</f>
        <v/>
      </c>
      <c r="F22" s="321" t="n"/>
      <c r="G22" s="322" t="n"/>
      <c r="H22" s="247">
        <f>IF(AND(ISNUMBER(F22),ISNUMBER(G22)),F22*G22,"")</f>
        <v/>
      </c>
      <c r="I22" s="341">
        <f>IF(COUNT(C22,F22)=0,"",N(C22)-N(F22))</f>
        <v/>
      </c>
      <c r="J22" s="342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316" t="n"/>
      <c r="D23" s="317" t="n"/>
      <c r="E23" s="241">
        <f>IF(AND(ISNUMBER(C23),ISNUMBER(D23)),C23*D23,"")</f>
        <v/>
      </c>
      <c r="F23" s="316" t="n"/>
      <c r="G23" s="317" t="n"/>
      <c r="H23" s="241">
        <f>IF(AND(ISNUMBER(F23),ISNUMBER(G23)),F23*G23,"")</f>
        <v/>
      </c>
      <c r="I23" s="339">
        <f>IF(COUNT(C23,F23)=0,"",N(C23)-N(F23))</f>
        <v/>
      </c>
      <c r="J23" s="340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321" t="n"/>
      <c r="D24" s="322" t="n"/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341">
        <f>IF(COUNT(C24,F24)=0,"",N(C24)-N(F24))</f>
        <v/>
      </c>
      <c r="J24" s="342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316" t="n"/>
      <c r="D25" s="317" t="n"/>
      <c r="E25" s="241">
        <f>IF(AND(ISNUMBER(C25),ISNUMBER(D25)),C25*D25,"")</f>
        <v/>
      </c>
      <c r="F25" s="316" t="n"/>
      <c r="G25" s="317" t="n"/>
      <c r="H25" s="241">
        <f>IF(AND(ISNUMBER(F25),ISNUMBER(G25)),F25*G25,"")</f>
        <v/>
      </c>
      <c r="I25" s="339">
        <f>IF(COUNT(C25,F25)=0,"",N(C25)-N(F25))</f>
        <v/>
      </c>
      <c r="J25" s="340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321" t="n"/>
      <c r="D26" s="322" t="n"/>
      <c r="E26" s="247">
        <f>IF(AND(ISNUMBER(C26),ISNUMBER(D26)),C26*D26,"")</f>
        <v/>
      </c>
      <c r="F26" s="321" t="n"/>
      <c r="G26" s="322" t="n"/>
      <c r="H26" s="247">
        <f>IF(AND(ISNUMBER(F26),ISNUMBER(G26)),F26*G26,"")</f>
        <v/>
      </c>
      <c r="I26" s="341">
        <f>IF(COUNT(C26,F26)=0,"",N(C26)-N(F26))</f>
        <v/>
      </c>
      <c r="J26" s="342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316" t="n"/>
      <c r="D27" s="317" t="n"/>
      <c r="E27" s="241">
        <f>IF(AND(ISNUMBER(C27),ISNUMBER(D27)),C27*D27,"")</f>
        <v/>
      </c>
      <c r="F27" s="316" t="n"/>
      <c r="G27" s="317" t="n"/>
      <c r="H27" s="241">
        <f>IF(AND(ISNUMBER(F27),ISNUMBER(G27)),F27*G27,"")</f>
        <v/>
      </c>
      <c r="I27" s="339">
        <f>IF(COUNT(C27,F27)=0,"",N(C27)-N(F27))</f>
        <v/>
      </c>
      <c r="J27" s="340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321" t="n"/>
      <c r="D28" s="322" t="n"/>
      <c r="E28" s="247">
        <f>IF(AND(ISNUMBER(C28),ISNUMBER(D28)),C28*D28,"")</f>
        <v/>
      </c>
      <c r="F28" s="321" t="n"/>
      <c r="G28" s="322" t="n"/>
      <c r="H28" s="247">
        <f>IF(AND(ISNUMBER(F28),ISNUMBER(G28)),F28*G28,"")</f>
        <v/>
      </c>
      <c r="I28" s="341">
        <f>IF(COUNT(C28,F28)=0,"",N(C28)-N(F28))</f>
        <v/>
      </c>
      <c r="J28" s="342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316" t="n"/>
      <c r="D29" s="317" t="n"/>
      <c r="E29" s="241">
        <f>IF(AND(ISNUMBER(C29),ISNUMBER(D29)),C29*D29,"")</f>
        <v/>
      </c>
      <c r="F29" s="316" t="n"/>
      <c r="G29" s="317" t="n"/>
      <c r="H29" s="241">
        <f>IF(AND(ISNUMBER(F29),ISNUMBER(G29)),F29*G29,"")</f>
        <v/>
      </c>
      <c r="I29" s="339">
        <f>IF(COUNT(C29,F29)=0,"",N(C29)-N(F29))</f>
        <v/>
      </c>
      <c r="J29" s="340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321" t="n"/>
      <c r="D30" s="322" t="n"/>
      <c r="E30" s="247">
        <f>IF(AND(ISNUMBER(C30),ISNUMBER(D30)),C30*D30,"")</f>
        <v/>
      </c>
      <c r="F30" s="321" t="n"/>
      <c r="G30" s="322" t="n"/>
      <c r="H30" s="247">
        <f>IF(AND(ISNUMBER(F30),ISNUMBER(G30)),F30*G30,"")</f>
        <v/>
      </c>
      <c r="I30" s="341">
        <f>IF(COUNT(C30,F30)=0,"",N(C30)-N(F30))</f>
        <v/>
      </c>
      <c r="J30" s="342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316" t="n"/>
      <c r="D31" s="317" t="n"/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339">
        <f>IF(COUNT(C31,F31)=0,"",N(C31)-N(F31))</f>
        <v/>
      </c>
      <c r="J31" s="340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321" t="n"/>
      <c r="D32" s="322" t="n"/>
      <c r="E32" s="247">
        <f>IF(AND(ISNUMBER(C32),ISNUMBER(D32)),C32*D32,"")</f>
        <v/>
      </c>
      <c r="F32" s="321" t="n"/>
      <c r="G32" s="322" t="n"/>
      <c r="H32" s="247">
        <f>IF(AND(ISNUMBER(F32),ISNUMBER(G32)),F32*G32,"")</f>
        <v/>
      </c>
      <c r="I32" s="341">
        <f>IF(COUNT(C32,F32)=0,"",N(C32)-N(F32))</f>
        <v/>
      </c>
      <c r="J32" s="342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316" t="n"/>
      <c r="D33" s="317" t="n"/>
      <c r="E33" s="241">
        <f>IF(AND(ISNUMBER(C33),ISNUMBER(D33)),C33*D33,"")</f>
        <v/>
      </c>
      <c r="F33" s="316" t="n"/>
      <c r="G33" s="317" t="n"/>
      <c r="H33" s="241">
        <f>IF(AND(ISNUMBER(F33),ISNUMBER(G33)),F33*G33,"")</f>
        <v/>
      </c>
      <c r="I33" s="339">
        <f>IF(COUNT(C33,F33)=0,"",N(C33)-N(F33))</f>
        <v/>
      </c>
      <c r="J33" s="340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321" t="n"/>
      <c r="D34" s="322" t="n"/>
      <c r="E34" s="247">
        <f>IF(AND(ISNUMBER(C34),ISNUMBER(D34)),C34*D34,"")</f>
        <v/>
      </c>
      <c r="F34" s="321" t="n"/>
      <c r="G34" s="322" t="n"/>
      <c r="H34" s="247">
        <f>IF(AND(ISNUMBER(F34),ISNUMBER(G34)),F34*G34,"")</f>
        <v/>
      </c>
      <c r="I34" s="341">
        <f>IF(COUNT(C34,F34)=0,"",N(C34)-N(F34))</f>
        <v/>
      </c>
      <c r="J34" s="342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316" t="n"/>
      <c r="D35" s="317" t="n"/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339">
        <f>IF(COUNT(C35,F35)=0,"",N(C35)-N(F35))</f>
        <v/>
      </c>
      <c r="J35" s="340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321" t="n"/>
      <c r="D36" s="322" t="n"/>
      <c r="E36" s="247">
        <f>IF(AND(ISNUMBER(C36),ISNUMBER(D36)),C36*D36,"")</f>
        <v/>
      </c>
      <c r="F36" s="321" t="n"/>
      <c r="G36" s="322" t="n"/>
      <c r="H36" s="247">
        <f>IF(AND(ISNUMBER(F36),ISNUMBER(G36)),F36*G36,"")</f>
        <v/>
      </c>
      <c r="I36" s="341">
        <f>IF(COUNT(C36,F36)=0,"",N(C36)-N(F36))</f>
        <v/>
      </c>
      <c r="J36" s="342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316" t="n"/>
      <c r="D37" s="317" t="n"/>
      <c r="E37" s="241">
        <f>IF(AND(ISNUMBER(C37),ISNUMBER(D37)),C37*D37,"")</f>
        <v/>
      </c>
      <c r="F37" s="316" t="n"/>
      <c r="G37" s="317" t="n"/>
      <c r="H37" s="241">
        <f>IF(AND(ISNUMBER(F37),ISNUMBER(G37)),F37*G37,"")</f>
        <v/>
      </c>
      <c r="I37" s="339">
        <f>IF(COUNT(C37,F37)=0,"",N(C37)-N(F37))</f>
        <v/>
      </c>
      <c r="J37" s="340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321" t="n"/>
      <c r="D38" s="322" t="n"/>
      <c r="E38" s="247">
        <f>IF(AND(ISNUMBER(C38),ISNUMBER(D38)),C38*D38,"")</f>
        <v/>
      </c>
      <c r="F38" s="321" t="n"/>
      <c r="G38" s="322" t="n"/>
      <c r="H38" s="247">
        <f>IF(AND(ISNUMBER(F38),ISNUMBER(G38)),F38*G38,"")</f>
        <v/>
      </c>
      <c r="I38" s="341">
        <f>IF(COUNT(C38,F38)=0,"",N(C38)-N(F38))</f>
        <v/>
      </c>
      <c r="J38" s="342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316" t="n"/>
      <c r="D39" s="317" t="n"/>
      <c r="E39" s="241">
        <f>IF(AND(ISNUMBER(C39),ISNUMBER(D39)),C39*D39,"")</f>
        <v/>
      </c>
      <c r="F39" s="316" t="n"/>
      <c r="G39" s="317" t="n"/>
      <c r="H39" s="241">
        <f>IF(AND(ISNUMBER(F39),ISNUMBER(G39)),F39*G39,"")</f>
        <v/>
      </c>
      <c r="I39" s="339">
        <f>IF(COUNT(C39,F39)=0,"",N(C39)-N(F39))</f>
        <v/>
      </c>
      <c r="J39" s="340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341">
        <f>IF(COUNT(C40,F40)=0,"",N(C40)-N(F40))</f>
        <v/>
      </c>
      <c r="J40" s="342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316" t="n"/>
      <c r="D41" s="317" t="n"/>
      <c r="E41" s="241">
        <f>IF(AND(ISNUMBER(C41),ISNUMBER(D41)),C41*D41,"")</f>
        <v/>
      </c>
      <c r="F41" s="316" t="n"/>
      <c r="G41" s="317" t="n"/>
      <c r="H41" s="241">
        <f>IF(AND(ISNUMBER(F41),ISNUMBER(G41)),F41*G41,"")</f>
        <v/>
      </c>
      <c r="I41" s="339">
        <f>IF(COUNT(C41,F41)=0,"",N(C41)-N(F41))</f>
        <v/>
      </c>
      <c r="J41" s="340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321" t="n"/>
      <c r="D42" s="322" t="n"/>
      <c r="E42" s="247">
        <f>IF(AND(ISNUMBER(C42),ISNUMBER(D42)),C42*D42,"")</f>
        <v/>
      </c>
      <c r="F42" s="321" t="n"/>
      <c r="G42" s="322" t="n"/>
      <c r="H42" s="247">
        <f>IF(AND(ISNUMBER(F42),ISNUMBER(G42)),F42*G42,"")</f>
        <v/>
      </c>
      <c r="I42" s="341">
        <f>IF(COUNT(C42,F42)=0,"",N(C42)-N(F42))</f>
        <v/>
      </c>
      <c r="J42" s="342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316" t="n"/>
      <c r="D43" s="317" t="n"/>
      <c r="E43" s="241">
        <f>IF(AND(ISNUMBER(C43),ISNUMBER(D43)),C43*D43,"")</f>
        <v/>
      </c>
      <c r="F43" s="316" t="n"/>
      <c r="G43" s="317" t="n"/>
      <c r="H43" s="241">
        <f>IF(AND(ISNUMBER(F43),ISNUMBER(G43)),F43*G43,"")</f>
        <v/>
      </c>
      <c r="I43" s="339">
        <f>IF(COUNT(C43,F43)=0,"",N(C43)-N(F43))</f>
        <v/>
      </c>
      <c r="J43" s="340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321" t="n"/>
      <c r="D44" s="322" t="n"/>
      <c r="E44" s="247">
        <f>IF(AND(ISNUMBER(C44),ISNUMBER(D44)),C44*D44,"")</f>
        <v/>
      </c>
      <c r="F44" s="321" t="n"/>
      <c r="G44" s="322" t="n"/>
      <c r="H44" s="247">
        <f>IF(AND(ISNUMBER(F44),ISNUMBER(G44)),F44*G44,"")</f>
        <v/>
      </c>
      <c r="I44" s="341">
        <f>IF(COUNT(C44,F44)=0,"",N(C44)-N(F44))</f>
        <v/>
      </c>
      <c r="J44" s="342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316" t="n"/>
      <c r="D45" s="317" t="n"/>
      <c r="E45" s="241">
        <f>IF(AND(ISNUMBER(C45),ISNUMBER(D45)),C45*D45,"")</f>
        <v/>
      </c>
      <c r="F45" s="316" t="n"/>
      <c r="G45" s="317" t="n"/>
      <c r="H45" s="241">
        <f>IF(AND(ISNUMBER(F45),ISNUMBER(G45)),F45*G45,"")</f>
        <v/>
      </c>
      <c r="I45" s="339">
        <f>IF(COUNT(C45,F45)=0,"",N(C45)-N(F45))</f>
        <v/>
      </c>
      <c r="J45" s="340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321" t="n"/>
      <c r="D46" s="322" t="n"/>
      <c r="E46" s="247">
        <f>IF(AND(ISNUMBER(C46),ISNUMBER(D46)),C46*D46,"")</f>
        <v/>
      </c>
      <c r="F46" s="321" t="n"/>
      <c r="G46" s="322" t="n"/>
      <c r="H46" s="247">
        <f>IF(AND(ISNUMBER(F46),ISNUMBER(G46)),F46*G46,"")</f>
        <v/>
      </c>
      <c r="I46" s="341">
        <f>IF(COUNT(C46,F46)=0,"",N(C46)-N(F46))</f>
        <v/>
      </c>
      <c r="J46" s="342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316" t="n"/>
      <c r="D47" s="317" t="n"/>
      <c r="E47" s="241">
        <f>IF(AND(ISNUMBER(C47),ISNUMBER(D47)),C47*D47,"")</f>
        <v/>
      </c>
      <c r="F47" s="316" t="n"/>
      <c r="G47" s="317" t="n"/>
      <c r="H47" s="241">
        <f>IF(AND(ISNUMBER(F47),ISNUMBER(G47)),F47*G47,"")</f>
        <v/>
      </c>
      <c r="I47" s="339">
        <f>IF(COUNT(C47,F47)=0,"",N(C47)-N(F47))</f>
        <v/>
      </c>
      <c r="J47" s="340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321" t="n"/>
      <c r="D48" s="322" t="n"/>
      <c r="E48" s="247">
        <f>IF(AND(ISNUMBER(C48),ISNUMBER(D48)),C48*D48,"")</f>
        <v/>
      </c>
      <c r="F48" s="321" t="n"/>
      <c r="G48" s="322" t="n"/>
      <c r="H48" s="247">
        <f>IF(AND(ISNUMBER(F48),ISNUMBER(G48)),F48*G48,"")</f>
        <v/>
      </c>
      <c r="I48" s="341">
        <f>IF(COUNT(C48,F48)=0,"",N(C48)-N(F48))</f>
        <v/>
      </c>
      <c r="J48" s="342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316" t="n"/>
      <c r="D49" s="317" t="n"/>
      <c r="E49" s="241">
        <f>IF(AND(ISNUMBER(C49),ISNUMBER(D49)),C49*D49,"")</f>
        <v/>
      </c>
      <c r="F49" s="316" t="n"/>
      <c r="G49" s="317" t="n"/>
      <c r="H49" s="241">
        <f>IF(AND(ISNUMBER(F49),ISNUMBER(G49)),F49*G49,"")</f>
        <v/>
      </c>
      <c r="I49" s="339">
        <f>IF(COUNT(C49,F49)=0,"",N(C49)-N(F49))</f>
        <v/>
      </c>
      <c r="J49" s="340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321" t="n"/>
      <c r="D50" s="322" t="n"/>
      <c r="E50" s="247">
        <f>IF(AND(ISNUMBER(C50),ISNUMBER(D50)),C50*D50,"")</f>
        <v/>
      </c>
      <c r="F50" s="321" t="n"/>
      <c r="G50" s="322" t="n"/>
      <c r="H50" s="247">
        <f>IF(AND(ISNUMBER(F50),ISNUMBER(G50)),F50*G50,"")</f>
        <v/>
      </c>
      <c r="I50" s="341">
        <f>IF(COUNT(C50,F50)=0,"",N(C50)-N(F50))</f>
        <v/>
      </c>
      <c r="J50" s="342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316" t="n"/>
      <c r="D51" s="317" t="n"/>
      <c r="E51" s="241">
        <f>IF(AND(ISNUMBER(C51),ISNUMBER(D51)),C51*D51,"")</f>
        <v/>
      </c>
      <c r="F51" s="316" t="n"/>
      <c r="G51" s="317" t="n"/>
      <c r="H51" s="241">
        <f>IF(AND(ISNUMBER(F51),ISNUMBER(G51)),F51*G51,"")</f>
        <v/>
      </c>
      <c r="I51" s="339">
        <f>IF(COUNT(C51,F51)=0,"",N(C51)-N(F51))</f>
        <v/>
      </c>
      <c r="J51" s="340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321" t="n"/>
      <c r="D52" s="322" t="n"/>
      <c r="E52" s="247">
        <f>IF(AND(ISNUMBER(C52),ISNUMBER(D52)),C52*D52,"")</f>
        <v/>
      </c>
      <c r="F52" s="321" t="n"/>
      <c r="G52" s="322" t="n"/>
      <c r="H52" s="247">
        <f>IF(AND(ISNUMBER(F52),ISNUMBER(G52)),F52*G52,"")</f>
        <v/>
      </c>
      <c r="I52" s="341">
        <f>IF(COUNT(C52,F52)=0,"",N(C52)-N(F52))</f>
        <v/>
      </c>
      <c r="J52" s="342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316" t="n"/>
      <c r="D53" s="317" t="n"/>
      <c r="E53" s="241">
        <f>IF(AND(ISNUMBER(C53),ISNUMBER(D53)),C53*D53,"")</f>
        <v/>
      </c>
      <c r="F53" s="316" t="n"/>
      <c r="G53" s="317" t="n"/>
      <c r="H53" s="241">
        <f>IF(AND(ISNUMBER(F53),ISNUMBER(G53)),F53*G53,"")</f>
        <v/>
      </c>
      <c r="I53" s="339">
        <f>IF(COUNT(C53,F53)=0,"",N(C53)-N(F53))</f>
        <v/>
      </c>
      <c r="J53" s="340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321" t="n"/>
      <c r="D54" s="322" t="n"/>
      <c r="E54" s="247">
        <f>IF(AND(ISNUMBER(C54),ISNUMBER(D54)),C54*D54,"")</f>
        <v/>
      </c>
      <c r="F54" s="321" t="n"/>
      <c r="G54" s="322" t="n"/>
      <c r="H54" s="247">
        <f>IF(AND(ISNUMBER(F54),ISNUMBER(G54)),F54*G54,"")</f>
        <v/>
      </c>
      <c r="I54" s="341">
        <f>IF(COUNT(C54,F54)=0,"",N(C54)-N(F54))</f>
        <v/>
      </c>
      <c r="J54" s="342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316" t="n"/>
      <c r="D55" s="317" t="n"/>
      <c r="E55" s="241">
        <f>IF(AND(ISNUMBER(C55),ISNUMBER(D55)),C55*D55,"")</f>
        <v/>
      </c>
      <c r="F55" s="316" t="n"/>
      <c r="G55" s="317" t="n"/>
      <c r="H55" s="241">
        <f>IF(AND(ISNUMBER(F55),ISNUMBER(G55)),F55*G55,"")</f>
        <v/>
      </c>
      <c r="I55" s="339">
        <f>IF(COUNT(C55,F55)=0,"",N(C55)-N(F55))</f>
        <v/>
      </c>
      <c r="J55" s="340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321" t="n"/>
      <c r="D56" s="322" t="n"/>
      <c r="E56" s="247">
        <f>IF(AND(ISNUMBER(C56),ISNUMBER(D56)),C56*D56,"")</f>
        <v/>
      </c>
      <c r="F56" s="321" t="n"/>
      <c r="G56" s="322" t="n"/>
      <c r="H56" s="247">
        <f>IF(AND(ISNUMBER(F56),ISNUMBER(G56)),F56*G56,"")</f>
        <v/>
      </c>
      <c r="I56" s="341">
        <f>IF(COUNT(C56,F56)=0,"",N(C56)-N(F56))</f>
        <v/>
      </c>
      <c r="J56" s="342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316" t="n"/>
      <c r="D57" s="317" t="n"/>
      <c r="E57" s="241">
        <f>IF(AND(ISNUMBER(C57),ISNUMBER(D57)),C57*D57,"")</f>
        <v/>
      </c>
      <c r="F57" s="316" t="n"/>
      <c r="G57" s="317" t="n"/>
      <c r="H57" s="241">
        <f>IF(AND(ISNUMBER(F57),ISNUMBER(G57)),F57*G57,"")</f>
        <v/>
      </c>
      <c r="I57" s="339">
        <f>IF(COUNT(C57,F57)=0,"",N(C57)-N(F57))</f>
        <v/>
      </c>
      <c r="J57" s="340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321" t="n"/>
      <c r="D58" s="322" t="n"/>
      <c r="E58" s="247">
        <f>IF(AND(ISNUMBER(C58),ISNUMBER(D58)),C58*D58,"")</f>
        <v/>
      </c>
      <c r="F58" s="321" t="n"/>
      <c r="G58" s="322" t="n"/>
      <c r="H58" s="247">
        <f>IF(AND(ISNUMBER(F58),ISNUMBER(G58)),F58*G58,"")</f>
        <v/>
      </c>
      <c r="I58" s="341">
        <f>IF(COUNT(C58,F58)=0,"",N(C58)-N(F58))</f>
        <v/>
      </c>
      <c r="J58" s="342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316" t="n"/>
      <c r="D59" s="317" t="n"/>
      <c r="E59" s="241">
        <f>IF(AND(ISNUMBER(C59),ISNUMBER(D59)),C59*D59,"")</f>
        <v/>
      </c>
      <c r="F59" s="316" t="n"/>
      <c r="G59" s="317" t="n"/>
      <c r="H59" s="241">
        <f>IF(AND(ISNUMBER(F59),ISNUMBER(G59)),F59*G59,"")</f>
        <v/>
      </c>
      <c r="I59" s="339">
        <f>IF(COUNT(C59,F59)=0,"",N(C59)-N(F59))</f>
        <v/>
      </c>
      <c r="J59" s="340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321" t="n"/>
      <c r="D60" s="322" t="n"/>
      <c r="E60" s="247">
        <f>IF(AND(ISNUMBER(C60),ISNUMBER(D60)),C60*D60,"")</f>
        <v/>
      </c>
      <c r="F60" s="321" t="n"/>
      <c r="G60" s="322" t="n"/>
      <c r="H60" s="247">
        <f>IF(AND(ISNUMBER(F60),ISNUMBER(G60)),F60*G60,"")</f>
        <v/>
      </c>
      <c r="I60" s="341">
        <f>IF(COUNT(C60,F60)=0,"",N(C60)-N(F60))</f>
        <v/>
      </c>
      <c r="J60" s="342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316" t="n"/>
      <c r="D61" s="317" t="n"/>
      <c r="E61" s="241">
        <f>IF(AND(ISNUMBER(C61),ISNUMBER(D61)),C61*D61,"")</f>
        <v/>
      </c>
      <c r="F61" s="316" t="n"/>
      <c r="G61" s="317" t="n"/>
      <c r="H61" s="241">
        <f>IF(AND(ISNUMBER(F61),ISNUMBER(G61)),F61*G61,"")</f>
        <v/>
      </c>
      <c r="I61" s="339">
        <f>IF(COUNT(C61,F61)=0,"",N(C61)-N(F61))</f>
        <v/>
      </c>
      <c r="J61" s="340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321" t="n"/>
      <c r="D62" s="322" t="n"/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341">
        <f>IF(COUNT(C62,F62)=0,"",N(C62)-N(F62))</f>
        <v/>
      </c>
      <c r="J62" s="342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316" t="n"/>
      <c r="D63" s="317" t="n"/>
      <c r="E63" s="241">
        <f>IF(AND(ISNUMBER(C63),ISNUMBER(D63)),C63*D63,"")</f>
        <v/>
      </c>
      <c r="F63" s="316" t="n"/>
      <c r="G63" s="317" t="n"/>
      <c r="H63" s="241">
        <f>IF(AND(ISNUMBER(F63),ISNUMBER(G63)),F63*G63,"")</f>
        <v/>
      </c>
      <c r="I63" s="339">
        <f>IF(COUNT(C63,F63)=0,"",N(C63)-N(F63))</f>
        <v/>
      </c>
      <c r="J63" s="340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321" t="n"/>
      <c r="D64" s="322" t="n"/>
      <c r="E64" s="247">
        <f>IF(AND(ISNUMBER(C64),ISNUMBER(D64)),C64*D64,"")</f>
        <v/>
      </c>
      <c r="F64" s="321" t="n"/>
      <c r="G64" s="322" t="n"/>
      <c r="H64" s="247">
        <f>IF(AND(ISNUMBER(F64),ISNUMBER(G64)),F64*G64,"")</f>
        <v/>
      </c>
      <c r="I64" s="341">
        <f>IF(COUNT(C64,F64)=0,"",N(C64)-N(F64))</f>
        <v/>
      </c>
      <c r="J64" s="342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316" t="n"/>
      <c r="D65" s="317" t="n"/>
      <c r="E65" s="241">
        <f>IF(AND(ISNUMBER(C65),ISNUMBER(D65)),C65*D65,"")</f>
        <v/>
      </c>
      <c r="F65" s="316" t="n"/>
      <c r="G65" s="317" t="n"/>
      <c r="H65" s="241">
        <f>IF(AND(ISNUMBER(F65),ISNUMBER(G65)),F65*G65,"")</f>
        <v/>
      </c>
      <c r="I65" s="339">
        <f>IF(COUNT(C65,F65)=0,"",N(C65)-N(F65))</f>
        <v/>
      </c>
      <c r="J65" s="340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321" t="n"/>
      <c r="D66" s="322" t="n"/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341">
        <f>IF(COUNT(C66,F66)=0,"",N(C66)-N(F66))</f>
        <v/>
      </c>
      <c r="J66" s="342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316" t="n"/>
      <c r="D67" s="317" t="n"/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339">
        <f>IF(COUNT(C67,F67)=0,"",N(C67)-N(F67))</f>
        <v/>
      </c>
      <c r="J67" s="340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321" t="n"/>
      <c r="D68" s="322" t="n"/>
      <c r="E68" s="247">
        <f>IF(AND(ISNUMBER(C68),ISNUMBER(D68)),C68*D68,"")</f>
        <v/>
      </c>
      <c r="F68" s="321" t="n"/>
      <c r="G68" s="322" t="n"/>
      <c r="H68" s="247">
        <f>IF(AND(ISNUMBER(F68),ISNUMBER(G68)),F68*G68,"")</f>
        <v/>
      </c>
      <c r="I68" s="341">
        <f>IF(COUNT(C68,F68)=0,"",N(C68)-N(F68))</f>
        <v/>
      </c>
      <c r="J68" s="342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316" t="n"/>
      <c r="D69" s="317" t="n"/>
      <c r="E69" s="241">
        <f>IF(AND(ISNUMBER(C69),ISNUMBER(D69)),C69*D69,"")</f>
        <v/>
      </c>
      <c r="F69" s="316" t="n"/>
      <c r="G69" s="317" t="n"/>
      <c r="H69" s="241">
        <f>IF(AND(ISNUMBER(F69),ISNUMBER(G69)),F69*G69,"")</f>
        <v/>
      </c>
      <c r="I69" s="339">
        <f>IF(COUNT(C69,F69)=0,"",N(C69)-N(F69))</f>
        <v/>
      </c>
      <c r="J69" s="340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321" t="n"/>
      <c r="D70" s="322" t="n"/>
      <c r="E70" s="247">
        <f>IF(AND(ISNUMBER(C70),ISNUMBER(D70)),C70*D70,"")</f>
        <v/>
      </c>
      <c r="F70" s="321" t="n"/>
      <c r="G70" s="322" t="n"/>
      <c r="H70" s="247">
        <f>IF(AND(ISNUMBER(F70),ISNUMBER(G70)),F70*G70,"")</f>
        <v/>
      </c>
      <c r="I70" s="341">
        <f>IF(COUNT(C70,F70)=0,"",N(C70)-N(F70))</f>
        <v/>
      </c>
      <c r="J70" s="342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316" t="n"/>
      <c r="D71" s="317" t="n"/>
      <c r="E71" s="241">
        <f>IF(AND(ISNUMBER(C71),ISNUMBER(D71)),C71*D71,"")</f>
        <v/>
      </c>
      <c r="F71" s="316" t="n"/>
      <c r="G71" s="317" t="n"/>
      <c r="H71" s="241">
        <f>IF(AND(ISNUMBER(F71),ISNUMBER(G71)),F71*G71,"")</f>
        <v/>
      </c>
      <c r="I71" s="339">
        <f>IF(COUNT(C71,F71)=0,"",N(C71)-N(F71))</f>
        <v/>
      </c>
      <c r="J71" s="340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321" t="n"/>
      <c r="D72" s="322" t="n"/>
      <c r="E72" s="247">
        <f>IF(AND(ISNUMBER(C72),ISNUMBER(D72)),C72*D72,"")</f>
        <v/>
      </c>
      <c r="F72" s="321" t="n"/>
      <c r="G72" s="322" t="n"/>
      <c r="H72" s="247">
        <f>IF(AND(ISNUMBER(F72),ISNUMBER(G72)),F72*G72,"")</f>
        <v/>
      </c>
      <c r="I72" s="341">
        <f>IF(COUNT(C72,F72)=0,"",N(C72)-N(F72))</f>
        <v/>
      </c>
      <c r="J72" s="342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316" t="n"/>
      <c r="D73" s="317" t="n"/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339">
        <f>IF(COUNT(C73,F73)=0,"",N(C73)-N(F73))</f>
        <v/>
      </c>
      <c r="J73" s="340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321" t="n"/>
      <c r="D74" s="322" t="n"/>
      <c r="E74" s="247">
        <f>IF(AND(ISNUMBER(C74),ISNUMBER(D74)),C74*D74,"")</f>
        <v/>
      </c>
      <c r="F74" s="321" t="n"/>
      <c r="G74" s="322" t="n"/>
      <c r="H74" s="247">
        <f>IF(AND(ISNUMBER(F74),ISNUMBER(G74)),F74*G74,"")</f>
        <v/>
      </c>
      <c r="I74" s="341">
        <f>IF(COUNT(C74,F74)=0,"",N(C74)-N(F74))</f>
        <v/>
      </c>
      <c r="J74" s="342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316" t="n"/>
      <c r="D75" s="317" t="n"/>
      <c r="E75" s="241">
        <f>IF(AND(ISNUMBER(C75),ISNUMBER(D75)),C75*D75,"")</f>
        <v/>
      </c>
      <c r="F75" s="316" t="n"/>
      <c r="G75" s="317" t="n"/>
      <c r="H75" s="241">
        <f>IF(AND(ISNUMBER(F75),ISNUMBER(G75)),F75*G75,"")</f>
        <v/>
      </c>
      <c r="I75" s="339">
        <f>IF(COUNT(C75,F75)=0,"",N(C75)-N(F75))</f>
        <v/>
      </c>
      <c r="J75" s="340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321" t="n"/>
      <c r="D76" s="322" t="n"/>
      <c r="E76" s="247">
        <f>IF(AND(ISNUMBER(C76),ISNUMBER(D76)),C76*D76,"")</f>
        <v/>
      </c>
      <c r="F76" s="321" t="n"/>
      <c r="G76" s="322" t="n"/>
      <c r="H76" s="247">
        <f>IF(AND(ISNUMBER(F76),ISNUMBER(G76)),F76*G76,"")</f>
        <v/>
      </c>
      <c r="I76" s="341">
        <f>IF(COUNT(C76,F76)=0,"",N(C76)-N(F76))</f>
        <v/>
      </c>
      <c r="J76" s="342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316" t="n"/>
      <c r="D77" s="317" t="n"/>
      <c r="E77" s="241">
        <f>IF(AND(ISNUMBER(C77),ISNUMBER(D77)),C77*D77,"")</f>
        <v/>
      </c>
      <c r="F77" s="316" t="n"/>
      <c r="G77" s="317" t="n"/>
      <c r="H77" s="241">
        <f>IF(AND(ISNUMBER(F77),ISNUMBER(G77)),F77*G77,"")</f>
        <v/>
      </c>
      <c r="I77" s="339">
        <f>IF(COUNT(C77,F77)=0,"",N(C77)-N(F77))</f>
        <v/>
      </c>
      <c r="J77" s="340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321" t="n"/>
      <c r="D78" s="322" t="n"/>
      <c r="E78" s="247">
        <f>IF(AND(ISNUMBER(C78),ISNUMBER(D78)),C78*D78,"")</f>
        <v/>
      </c>
      <c r="F78" s="321" t="n"/>
      <c r="G78" s="322" t="n"/>
      <c r="H78" s="247">
        <f>IF(AND(ISNUMBER(F78),ISNUMBER(G78)),F78*G78,"")</f>
        <v/>
      </c>
      <c r="I78" s="341">
        <f>IF(COUNT(C78,F78)=0,"",N(C78)-N(F78))</f>
        <v/>
      </c>
      <c r="J78" s="342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316" t="n"/>
      <c r="D79" s="317" t="n"/>
      <c r="E79" s="241">
        <f>IF(AND(ISNUMBER(C79),ISNUMBER(D79)),C79*D79,"")</f>
        <v/>
      </c>
      <c r="F79" s="316" t="n"/>
      <c r="G79" s="317" t="n"/>
      <c r="H79" s="241">
        <f>IF(AND(ISNUMBER(F79),ISNUMBER(G79)),F79*G79,"")</f>
        <v/>
      </c>
      <c r="I79" s="339">
        <f>IF(COUNT(C79,F79)=0,"",N(C79)-N(F79))</f>
        <v/>
      </c>
      <c r="J79" s="340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321" t="n"/>
      <c r="D80" s="322" t="n"/>
      <c r="E80" s="247">
        <f>IF(AND(ISNUMBER(C80),ISNUMBER(D80)),C80*D80,"")</f>
        <v/>
      </c>
      <c r="F80" s="321" t="n"/>
      <c r="G80" s="322" t="n"/>
      <c r="H80" s="247">
        <f>IF(AND(ISNUMBER(F80),ISNUMBER(G80)),F80*G80,"")</f>
        <v/>
      </c>
      <c r="I80" s="341">
        <f>IF(COUNT(C80,F80)=0,"",N(C80)-N(F80))</f>
        <v/>
      </c>
      <c r="J80" s="342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316" t="n"/>
      <c r="D81" s="317" t="n"/>
      <c r="E81" s="241">
        <f>IF(AND(ISNUMBER(C81),ISNUMBER(D81)),C81*D81,"")</f>
        <v/>
      </c>
      <c r="F81" s="316" t="n"/>
      <c r="G81" s="317" t="n"/>
      <c r="H81" s="241">
        <f>IF(AND(ISNUMBER(F81),ISNUMBER(G81)),F81*G81,"")</f>
        <v/>
      </c>
      <c r="I81" s="339">
        <f>IF(COUNT(C81,F81)=0,"",N(C81)-N(F81))</f>
        <v/>
      </c>
      <c r="J81" s="340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321" t="n"/>
      <c r="D82" s="322" t="n"/>
      <c r="E82" s="247">
        <f>IF(AND(ISNUMBER(C82),ISNUMBER(D82)),C82*D82,"")</f>
        <v/>
      </c>
      <c r="F82" s="321" t="n"/>
      <c r="G82" s="322" t="n"/>
      <c r="H82" s="247">
        <f>IF(AND(ISNUMBER(F82),ISNUMBER(G82)),F82*G82,"")</f>
        <v/>
      </c>
      <c r="I82" s="341">
        <f>IF(COUNT(C82,F82)=0,"",N(C82)-N(F82))</f>
        <v/>
      </c>
      <c r="J82" s="342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316" t="n"/>
      <c r="D83" s="317" t="n"/>
      <c r="E83" s="241">
        <f>IF(AND(ISNUMBER(C83),ISNUMBER(D83)),C83*D83,"")</f>
        <v/>
      </c>
      <c r="F83" s="316" t="n"/>
      <c r="G83" s="317" t="n"/>
      <c r="H83" s="241">
        <f>IF(AND(ISNUMBER(F83),ISNUMBER(G83)),F83*G83,"")</f>
        <v/>
      </c>
      <c r="I83" s="339">
        <f>IF(COUNT(C83,F83)=0,"",N(C83)-N(F83))</f>
        <v/>
      </c>
      <c r="J83" s="340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321" t="n"/>
      <c r="D84" s="322" t="n"/>
      <c r="E84" s="247">
        <f>IF(AND(ISNUMBER(C84),ISNUMBER(D84)),C84*D84,"")</f>
        <v/>
      </c>
      <c r="F84" s="321" t="n"/>
      <c r="G84" s="322" t="n"/>
      <c r="H84" s="247">
        <f>IF(AND(ISNUMBER(F84),ISNUMBER(G84)),F84*G84,"")</f>
        <v/>
      </c>
      <c r="I84" s="341">
        <f>IF(COUNT(C84,F84)=0,"",N(C84)-N(F84))</f>
        <v/>
      </c>
      <c r="J84" s="342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316" t="n"/>
      <c r="D85" s="317" t="n"/>
      <c r="E85" s="241">
        <f>IF(AND(ISNUMBER(C85),ISNUMBER(D85)),C85*D85,"")</f>
        <v/>
      </c>
      <c r="F85" s="316" t="n"/>
      <c r="G85" s="317" t="n"/>
      <c r="H85" s="241">
        <f>IF(AND(ISNUMBER(F85),ISNUMBER(G85)),F85*G85,"")</f>
        <v/>
      </c>
      <c r="I85" s="339">
        <f>IF(COUNT(C85,F85)=0,"",N(C85)-N(F85))</f>
        <v/>
      </c>
      <c r="J85" s="340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321" t="n"/>
      <c r="D86" s="322" t="n"/>
      <c r="E86" s="247">
        <f>IF(AND(ISNUMBER(C86),ISNUMBER(D86)),C86*D86,"")</f>
        <v/>
      </c>
      <c r="F86" s="321" t="n"/>
      <c r="G86" s="322" t="n"/>
      <c r="H86" s="247">
        <f>IF(AND(ISNUMBER(F86),ISNUMBER(G86)),F86*G86,"")</f>
        <v/>
      </c>
      <c r="I86" s="341">
        <f>IF(COUNT(C86,F86)=0,"",N(C86)-N(F86))</f>
        <v/>
      </c>
      <c r="J86" s="342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316" t="n"/>
      <c r="D87" s="317" t="n"/>
      <c r="E87" s="241">
        <f>IF(AND(ISNUMBER(C87),ISNUMBER(D87)),C87*D87,"")</f>
        <v/>
      </c>
      <c r="F87" s="316" t="n"/>
      <c r="G87" s="317" t="n"/>
      <c r="H87" s="241">
        <f>IF(AND(ISNUMBER(F87),ISNUMBER(G87)),F87*G87,"")</f>
        <v/>
      </c>
      <c r="I87" s="339">
        <f>IF(COUNT(C87,F87)=0,"",N(C87)-N(F87))</f>
        <v/>
      </c>
      <c r="J87" s="340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321" t="n"/>
      <c r="D88" s="322" t="n"/>
      <c r="E88" s="247">
        <f>IF(AND(ISNUMBER(C88),ISNUMBER(D88)),C88*D88,"")</f>
        <v/>
      </c>
      <c r="F88" s="321" t="n"/>
      <c r="G88" s="322" t="n"/>
      <c r="H88" s="247">
        <f>IF(AND(ISNUMBER(F88),ISNUMBER(G88)),F88*G88,"")</f>
        <v/>
      </c>
      <c r="I88" s="341">
        <f>IF(COUNT(C88,F88)=0,"",N(C88)-N(F88))</f>
        <v/>
      </c>
      <c r="J88" s="342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316" t="n"/>
      <c r="D89" s="317" t="n"/>
      <c r="E89" s="241">
        <f>IF(AND(ISNUMBER(C89),ISNUMBER(D89)),C89*D89,"")</f>
        <v/>
      </c>
      <c r="F89" s="316" t="n"/>
      <c r="G89" s="317" t="n"/>
      <c r="H89" s="241">
        <f>IF(AND(ISNUMBER(F89),ISNUMBER(G89)),F89*G89,"")</f>
        <v/>
      </c>
      <c r="I89" s="339">
        <f>IF(COUNT(C89,F89)=0,"",N(C89)-N(F89))</f>
        <v/>
      </c>
      <c r="J89" s="340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321" t="n"/>
      <c r="D90" s="322" t="n"/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341">
        <f>IF(COUNT(C90,F90)=0,"",N(C90)-N(F90))</f>
        <v/>
      </c>
      <c r="J90" s="342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316" t="n"/>
      <c r="D91" s="317" t="n"/>
      <c r="E91" s="241">
        <f>IF(AND(ISNUMBER(C91),ISNUMBER(D91)),C91*D91,"")</f>
        <v/>
      </c>
      <c r="F91" s="316" t="n"/>
      <c r="G91" s="317" t="n"/>
      <c r="H91" s="241">
        <f>IF(AND(ISNUMBER(F91),ISNUMBER(G91)),F91*G91,"")</f>
        <v/>
      </c>
      <c r="I91" s="339">
        <f>IF(COUNT(C91,F91)=0,"",N(C91)-N(F91))</f>
        <v/>
      </c>
      <c r="J91" s="340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321" t="n"/>
      <c r="D92" s="322" t="n"/>
      <c r="E92" s="247">
        <f>IF(AND(ISNUMBER(C92),ISNUMBER(D92)),C92*D92,"")</f>
        <v/>
      </c>
      <c r="F92" s="321" t="n"/>
      <c r="G92" s="322" t="n"/>
      <c r="H92" s="247">
        <f>IF(AND(ISNUMBER(F92),ISNUMBER(G92)),F92*G92,"")</f>
        <v/>
      </c>
      <c r="I92" s="341">
        <f>IF(COUNT(C92,F92)=0,"",N(C92)-N(F92))</f>
        <v/>
      </c>
      <c r="J92" s="342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316" t="n"/>
      <c r="D93" s="317" t="n"/>
      <c r="E93" s="241">
        <f>IF(AND(ISNUMBER(C93),ISNUMBER(D93)),C93*D93,"")</f>
        <v/>
      </c>
      <c r="F93" s="316" t="n"/>
      <c r="G93" s="317" t="n"/>
      <c r="H93" s="241">
        <f>IF(AND(ISNUMBER(F93),ISNUMBER(G93)),F93*G93,"")</f>
        <v/>
      </c>
      <c r="I93" s="339">
        <f>IF(COUNT(C93,F93)=0,"",N(C93)-N(F93))</f>
        <v/>
      </c>
      <c r="J93" s="340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321" t="n"/>
      <c r="D94" s="322" t="n"/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341">
        <f>IF(COUNT(C94,F94)=0,"",N(C94)-N(F94))</f>
        <v/>
      </c>
      <c r="J94" s="342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316" t="n"/>
      <c r="D95" s="317" t="n"/>
      <c r="E95" s="241">
        <f>IF(AND(ISNUMBER(C95),ISNUMBER(D95)),C95*D95,"")</f>
        <v/>
      </c>
      <c r="F95" s="316" t="n"/>
      <c r="G95" s="317" t="n"/>
      <c r="H95" s="241">
        <f>IF(AND(ISNUMBER(F95),ISNUMBER(G95)),F95*G95,"")</f>
        <v/>
      </c>
      <c r="I95" s="339">
        <f>IF(COUNT(C95,F95)=0,"",N(C95)-N(F95))</f>
        <v/>
      </c>
      <c r="J95" s="340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321" t="n"/>
      <c r="D96" s="322" t="n"/>
      <c r="E96" s="247">
        <f>IF(AND(ISNUMBER(C96),ISNUMBER(D96)),C96*D96,"")</f>
        <v/>
      </c>
      <c r="F96" s="321" t="n"/>
      <c r="G96" s="322" t="n"/>
      <c r="H96" s="247">
        <f>IF(AND(ISNUMBER(F96),ISNUMBER(G96)),F96*G96,"")</f>
        <v/>
      </c>
      <c r="I96" s="341">
        <f>IF(COUNT(C96,F96)=0,"",N(C96)-N(F96))</f>
        <v/>
      </c>
      <c r="J96" s="342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316" t="n"/>
      <c r="D97" s="317" t="n"/>
      <c r="E97" s="241">
        <f>IF(AND(ISNUMBER(C97),ISNUMBER(D97)),C97*D97,"")</f>
        <v/>
      </c>
      <c r="F97" s="316" t="n"/>
      <c r="G97" s="317" t="n"/>
      <c r="H97" s="241">
        <f>IF(AND(ISNUMBER(F97),ISNUMBER(G97)),F97*G97,"")</f>
        <v/>
      </c>
      <c r="I97" s="339">
        <f>IF(COUNT(C97,F97)=0,"",N(C97)-N(F97))</f>
        <v/>
      </c>
      <c r="J97" s="340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321" t="n"/>
      <c r="D98" s="322" t="n"/>
      <c r="E98" s="247">
        <f>IF(AND(ISNUMBER(C98),ISNUMBER(D98)),C98*D98,"")</f>
        <v/>
      </c>
      <c r="F98" s="321" t="n"/>
      <c r="G98" s="322" t="n"/>
      <c r="H98" s="247">
        <f>IF(AND(ISNUMBER(F98),ISNUMBER(G98)),F98*G98,"")</f>
        <v/>
      </c>
      <c r="I98" s="341">
        <f>IF(COUNT(C98,F98)=0,"",N(C98)-N(F98))</f>
        <v/>
      </c>
      <c r="J98" s="342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316" t="n"/>
      <c r="D99" s="317" t="n"/>
      <c r="E99" s="241">
        <f>IF(AND(ISNUMBER(C99),ISNUMBER(D99)),C99*D99,"")</f>
        <v/>
      </c>
      <c r="F99" s="316" t="n"/>
      <c r="G99" s="317" t="n"/>
      <c r="H99" s="241">
        <f>IF(AND(ISNUMBER(F99),ISNUMBER(G99)),F99*G99,"")</f>
        <v/>
      </c>
      <c r="I99" s="339">
        <f>IF(COUNT(C99,F99)=0,"",N(C99)-N(F99))</f>
        <v/>
      </c>
      <c r="J99" s="340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321" t="n"/>
      <c r="D100" s="322" t="n"/>
      <c r="E100" s="247">
        <f>IF(AND(ISNUMBER(C100),ISNUMBER(D100)),C100*D100,"")</f>
        <v/>
      </c>
      <c r="F100" s="321" t="n"/>
      <c r="G100" s="322" t="n"/>
      <c r="H100" s="247">
        <f>IF(AND(ISNUMBER(F100),ISNUMBER(G100)),F100*G100,"")</f>
        <v/>
      </c>
      <c r="I100" s="341">
        <f>IF(COUNT(C100,F100)=0,"",N(C100)-N(F100))</f>
        <v/>
      </c>
      <c r="J100" s="342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316" t="n"/>
      <c r="D101" s="317" t="n"/>
      <c r="E101" s="241">
        <f>IF(AND(ISNUMBER(C101),ISNUMBER(D101)),C101*D101,"")</f>
        <v/>
      </c>
      <c r="F101" s="316" t="n"/>
      <c r="G101" s="317" t="n"/>
      <c r="H101" s="241">
        <f>IF(AND(ISNUMBER(F101),ISNUMBER(G101)),F101*G101,"")</f>
        <v/>
      </c>
      <c r="I101" s="339">
        <f>IF(COUNT(C101,F101)=0,"",N(C101)-N(F101))</f>
        <v/>
      </c>
      <c r="J101" s="340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321" t="n"/>
      <c r="D102" s="322" t="n"/>
      <c r="E102" s="247">
        <f>IF(AND(ISNUMBER(C102),ISNUMBER(D102)),C102*D102,"")</f>
        <v/>
      </c>
      <c r="F102" s="321" t="n"/>
      <c r="G102" s="322" t="n"/>
      <c r="H102" s="247">
        <f>IF(AND(ISNUMBER(F102),ISNUMBER(G102)),F102*G102,"")</f>
        <v/>
      </c>
      <c r="I102" s="341">
        <f>IF(COUNT(C102,F102)=0,"",N(C102)-N(F102))</f>
        <v/>
      </c>
      <c r="J102" s="342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316" t="n"/>
      <c r="D103" s="317" t="n"/>
      <c r="E103" s="241">
        <f>IF(AND(ISNUMBER(C103),ISNUMBER(D103)),C103*D103,"")</f>
        <v/>
      </c>
      <c r="F103" s="316" t="n"/>
      <c r="G103" s="317" t="n"/>
      <c r="H103" s="241">
        <f>IF(AND(ISNUMBER(F103),ISNUMBER(G103)),F103*G103,"")</f>
        <v/>
      </c>
      <c r="I103" s="339">
        <f>IF(COUNT(C103,F103)=0,"",N(C103)-N(F103))</f>
        <v/>
      </c>
      <c r="J103" s="340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321" t="n"/>
      <c r="D104" s="322" t="n"/>
      <c r="E104" s="247">
        <f>IF(AND(ISNUMBER(C104),ISNUMBER(D104)),C104*D104,"")</f>
        <v/>
      </c>
      <c r="F104" s="321" t="n"/>
      <c r="G104" s="322" t="n"/>
      <c r="H104" s="247">
        <f>IF(AND(ISNUMBER(F104),ISNUMBER(G104)),F104*G104,"")</f>
        <v/>
      </c>
      <c r="I104" s="341">
        <f>IF(COUNT(C104,F104)=0,"",N(C104)-N(F104))</f>
        <v/>
      </c>
      <c r="J104" s="342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316" t="n"/>
      <c r="D105" s="317" t="n"/>
      <c r="E105" s="241">
        <f>IF(AND(ISNUMBER(C105),ISNUMBER(D105)),C105*D105,"")</f>
        <v/>
      </c>
      <c r="F105" s="316" t="n"/>
      <c r="G105" s="317" t="n"/>
      <c r="H105" s="241">
        <f>IF(AND(ISNUMBER(F105),ISNUMBER(G105)),F105*G105,"")</f>
        <v/>
      </c>
      <c r="I105" s="339">
        <f>IF(COUNT(C105,F105)=0,"",N(C105)-N(F105))</f>
        <v/>
      </c>
      <c r="J105" s="340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321" t="n"/>
      <c r="D106" s="322" t="n"/>
      <c r="E106" s="247">
        <f>IF(AND(ISNUMBER(C106),ISNUMBER(D106)),C106*D106,"")</f>
        <v/>
      </c>
      <c r="F106" s="321" t="n"/>
      <c r="G106" s="322" t="n"/>
      <c r="H106" s="247">
        <f>IF(AND(ISNUMBER(F106),ISNUMBER(G106)),F106*G106,"")</f>
        <v/>
      </c>
      <c r="I106" s="341">
        <f>IF(COUNT(C106,F106)=0,"",N(C106)-N(F106))</f>
        <v/>
      </c>
      <c r="J106" s="342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316" t="n"/>
      <c r="D107" s="317" t="n"/>
      <c r="E107" s="241">
        <f>IF(AND(ISNUMBER(C107),ISNUMBER(D107)),C107*D107,"")</f>
        <v/>
      </c>
      <c r="F107" s="316" t="n"/>
      <c r="G107" s="317" t="n"/>
      <c r="H107" s="241">
        <f>IF(AND(ISNUMBER(F107),ISNUMBER(G107)),F107*G107,"")</f>
        <v/>
      </c>
      <c r="I107" s="339">
        <f>IF(COUNT(C107,F107)=0,"",N(C107)-N(F107))</f>
        <v/>
      </c>
      <c r="J107" s="340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321" t="n"/>
      <c r="D108" s="322" t="n"/>
      <c r="E108" s="247">
        <f>IF(AND(ISNUMBER(C108),ISNUMBER(D108)),C108*D108,"")</f>
        <v/>
      </c>
      <c r="F108" s="321" t="n"/>
      <c r="G108" s="322" t="n"/>
      <c r="H108" s="247">
        <f>IF(AND(ISNUMBER(F108),ISNUMBER(G108)),F108*G108,"")</f>
        <v/>
      </c>
      <c r="I108" s="341">
        <f>IF(COUNT(C108,F108)=0,"",N(C108)-N(F108))</f>
        <v/>
      </c>
      <c r="J108" s="342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339">
        <f>IF(COUNT(C109,F109)=0,"",N(C109)-N(F109))</f>
        <v/>
      </c>
      <c r="J109" s="340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341">
        <f>IF(COUNT(C110,F110)=0,"",N(C110)-N(F110))</f>
        <v/>
      </c>
      <c r="J110" s="342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339">
        <f>IF(COUNT(C111,F111)=0,"",N(C111)-N(F111))</f>
        <v/>
      </c>
      <c r="J111" s="340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341">
        <f>IF(COUNT(C112,F112)=0,"",N(C112)-N(F112))</f>
        <v/>
      </c>
      <c r="J112" s="342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339">
        <f>IF(COUNT(C113,F113)=0,"",N(C113)-N(F113))</f>
        <v/>
      </c>
      <c r="J113" s="340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341">
        <f>IF(COUNT(C114,F114)=0,"",N(C114)-N(F114))</f>
        <v/>
      </c>
      <c r="J114" s="342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339">
        <f>IF(COUNT(C115,F115)=0,"",N(C115)-N(F115))</f>
        <v/>
      </c>
      <c r="J115" s="340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341">
        <f>IF(COUNT(C116,F116)=0,"",N(C116)-N(F116))</f>
        <v/>
      </c>
      <c r="J116" s="342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339">
        <f>IF(COUNT(C117,F117)=0,"",N(C117)-N(F117))</f>
        <v/>
      </c>
      <c r="J117" s="340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341">
        <f>IF(COUNT(C118,F118)=0,"",N(C118)-N(F118))</f>
        <v/>
      </c>
      <c r="J118" s="342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339">
        <f>IF(COUNT(C119,F119)=0,"",N(C119)-N(F119))</f>
        <v/>
      </c>
      <c r="J119" s="340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341">
        <f>IF(COUNT(C120,F120)=0,"",N(C120)-N(F120))</f>
        <v/>
      </c>
      <c r="J120" s="342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339">
        <f>IF(COUNT(C121,F121)=0,"",N(C121)-N(F121))</f>
        <v/>
      </c>
      <c r="J121" s="340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341">
        <f>IF(COUNT(C122,F122)=0,"",N(C122)-N(F122))</f>
        <v/>
      </c>
      <c r="J122" s="342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339">
        <f>IF(COUNT(C123,F123)=0,"",N(C123)-N(F123))</f>
        <v/>
      </c>
      <c r="J123" s="340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341">
        <f>IF(COUNT(C124,F124)=0,"",N(C124)-N(F124))</f>
        <v/>
      </c>
      <c r="J124" s="342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339">
        <f>IF(COUNT(C125,F125)=0,"",N(C125)-N(F125))</f>
        <v/>
      </c>
      <c r="J125" s="340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341">
        <f>IF(COUNT(C126,F126)=0,"",N(C126)-N(F126))</f>
        <v/>
      </c>
      <c r="J126" s="342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339">
        <f>IF(COUNT(C127,F127)=0,"",N(C127)-N(F127))</f>
        <v/>
      </c>
      <c r="J127" s="340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341">
        <f>IF(COUNT(C128,F128)=0,"",N(C128)-N(F128))</f>
        <v/>
      </c>
      <c r="J128" s="342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339">
        <f>IF(COUNT(C129,F129)=0,"",N(C129)-N(F129))</f>
        <v/>
      </c>
      <c r="J129" s="340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341">
        <f>IF(COUNT(C130,F130)=0,"",N(C130)-N(F130))</f>
        <v/>
      </c>
      <c r="J130" s="342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339">
        <f>IF(COUNT(C131,F131)=0,"",N(C131)-N(F131))</f>
        <v/>
      </c>
      <c r="J131" s="340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341">
        <f>IF(COUNT(C132,F132)=0,"",N(C132)-N(F132))</f>
        <v/>
      </c>
      <c r="J132" s="342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339">
        <f>IF(COUNT(C133,F133)=0,"",N(C133)-N(F133))</f>
        <v/>
      </c>
      <c r="J133" s="340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341">
        <f>IF(COUNT(C134,F134)=0,"",N(C134)-N(F134))</f>
        <v/>
      </c>
      <c r="J134" s="342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339">
        <f>IF(COUNT(C135,F135)=0,"",N(C135)-N(F135))</f>
        <v/>
      </c>
      <c r="J135" s="340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341">
        <f>IF(COUNT(C136,F136)=0,"",N(C136)-N(F136))</f>
        <v/>
      </c>
      <c r="J136" s="342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339">
        <f>IF(COUNT(C137,F137)=0,"",N(C137)-N(F137))</f>
        <v/>
      </c>
      <c r="J137" s="340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341">
        <f>IF(COUNT(C138,F138)=0,"",N(C138)-N(F138))</f>
        <v/>
      </c>
      <c r="J138" s="342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339">
        <f>IF(COUNT(C139,F139)=0,"",N(C139)-N(F139))</f>
        <v/>
      </c>
      <c r="J139" s="340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341">
        <f>IF(COUNT(C140,F140)=0,"",N(C140)-N(F140))</f>
        <v/>
      </c>
      <c r="J140" s="342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339">
        <f>IF(COUNT(C141,F141)=0,"",N(C141)-N(F141))</f>
        <v/>
      </c>
      <c r="J141" s="340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341">
        <f>IF(COUNT(C142,F142)=0,"",N(C142)-N(F142))</f>
        <v/>
      </c>
      <c r="J142" s="342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339">
        <f>IF(COUNT(C143,F143)=0,"",N(C143)-N(F143))</f>
        <v/>
      </c>
      <c r="J143" s="340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341">
        <f>IF(COUNT(C144,F144)=0,"",N(C144)-N(F144))</f>
        <v/>
      </c>
      <c r="J144" s="342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339">
        <f>IF(COUNT(C145,F145)=0,"",N(C145)-N(F145))</f>
        <v/>
      </c>
      <c r="J145" s="340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341">
        <f>IF(COUNT(C146,F146)=0,"",N(C146)-N(F146))</f>
        <v/>
      </c>
      <c r="J146" s="342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339">
        <f>IF(COUNT(C147,F147)=0,"",N(C147)-N(F147))</f>
        <v/>
      </c>
      <c r="J147" s="340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341">
        <f>IF(COUNT(C148,F148)=0,"",N(C148)-N(F148))</f>
        <v/>
      </c>
      <c r="J148" s="342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339">
        <f>IF(COUNT(C149,F149)=0,"",N(C149)-N(F149))</f>
        <v/>
      </c>
      <c r="J149" s="340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341">
        <f>IF(COUNT(C150,F150)=0,"",N(C150)-N(F150))</f>
        <v/>
      </c>
      <c r="J150" s="342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339">
        <f>IF(COUNT(C151,F151)=0,"",N(C151)-N(F151))</f>
        <v/>
      </c>
      <c r="J151" s="340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341">
        <f>IF(COUNT(C152,F152)=0,"",N(C152)-N(F152))</f>
        <v/>
      </c>
      <c r="J152" s="342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339">
        <f>IF(COUNT(C153,F153)=0,"",N(C153)-N(F153))</f>
        <v/>
      </c>
      <c r="J153" s="340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341">
        <f>IF(COUNT(C154,F154)=0,"",N(C154)-N(F154))</f>
        <v/>
      </c>
      <c r="J154" s="342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339">
        <f>IF(COUNT(C155,F155)=0,"",N(C155)-N(F155))</f>
        <v/>
      </c>
      <c r="J155" s="340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341">
        <f>IF(COUNT(C156,F156)=0,"",N(C156)-N(F156))</f>
        <v/>
      </c>
      <c r="J156" s="342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339">
        <f>IF(COUNT(C157,F157)=0,"",N(C157)-N(F157))</f>
        <v/>
      </c>
      <c r="J157" s="340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341">
        <f>IF(COUNT(C158,F158)=0,"",N(C158)-N(F158))</f>
        <v/>
      </c>
      <c r="J158" s="342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339">
        <f>IF(COUNT(C159,F159)=0,"",N(C159)-N(F159))</f>
        <v/>
      </c>
      <c r="J159" s="340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341">
        <f>IF(COUNT(C160,F160)=0,"",N(C160)-N(F160))</f>
        <v/>
      </c>
      <c r="J160" s="342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339">
        <f>IF(COUNT(C161,F161)=0,"",N(C161)-N(F161))</f>
        <v/>
      </c>
      <c r="J161" s="340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341">
        <f>IF(COUNT(C162,F162)=0,"",N(C162)-N(F162))</f>
        <v/>
      </c>
      <c r="J162" s="342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339">
        <f>IF(COUNT(C163,F163)=0,"",N(C163)-N(F163))</f>
        <v/>
      </c>
      <c r="J163" s="340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341">
        <f>IF(COUNT(C164,F164)=0,"",N(C164)-N(F164))</f>
        <v/>
      </c>
      <c r="J164" s="342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339">
        <f>IF(COUNT(C165,F165)=0,"",N(C165)-N(F165))</f>
        <v/>
      </c>
      <c r="J165" s="340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341">
        <f>IF(COUNT(C166,F166)=0,"",N(C166)-N(F166))</f>
        <v/>
      </c>
      <c r="J166" s="342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339">
        <f>IF(COUNT(C167,F167)=0,"",N(C167)-N(F167))</f>
        <v/>
      </c>
      <c r="J167" s="340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341">
        <f>IF(COUNT(C168,F168)=0,"",N(C168)-N(F168))</f>
        <v/>
      </c>
      <c r="J168" s="342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339">
        <f>IF(COUNT(C169,F169)=0,"",N(C169)-N(F169))</f>
        <v/>
      </c>
      <c r="J169" s="340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341">
        <f>IF(COUNT(C170,F170)=0,"",N(C170)-N(F170))</f>
        <v/>
      </c>
      <c r="J170" s="342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339">
        <f>IF(COUNT(C171,F171)=0,"",N(C171)-N(F171))</f>
        <v/>
      </c>
      <c r="J171" s="340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341">
        <f>IF(COUNT(C172,F172)=0,"",N(C172)-N(F172))</f>
        <v/>
      </c>
      <c r="J172" s="342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339">
        <f>IF(COUNT(C173,F173)=0,"",N(C173)-N(F173))</f>
        <v/>
      </c>
      <c r="J173" s="340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341">
        <f>IF(COUNT(C174,F174)=0,"",N(C174)-N(F174))</f>
        <v/>
      </c>
      <c r="J174" s="342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339">
        <f>IF(COUNT(C175,F175)=0,"",N(C175)-N(F175))</f>
        <v/>
      </c>
      <c r="J175" s="340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341">
        <f>IF(COUNT(C176,F176)=0,"",N(C176)-N(F176))</f>
        <v/>
      </c>
      <c r="J176" s="342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339">
        <f>IF(COUNT(C177,F177)=0,"",N(C177)-N(F177))</f>
        <v/>
      </c>
      <c r="J177" s="340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341">
        <f>IF(COUNT(C178,F178)=0,"",N(C178)-N(F178))</f>
        <v/>
      </c>
      <c r="J178" s="342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339">
        <f>IF(COUNT(C179,F179)=0,"",N(C179)-N(F179))</f>
        <v/>
      </c>
      <c r="J179" s="340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341">
        <f>IF(COUNT(C180,F180)=0,"",N(C180)-N(F180))</f>
        <v/>
      </c>
      <c r="J180" s="342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339">
        <f>IF(COUNT(C181,F181)=0,"",N(C181)-N(F181))</f>
        <v/>
      </c>
      <c r="J181" s="340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341">
        <f>IF(COUNT(C182,F182)=0,"",N(C182)-N(F182))</f>
        <v/>
      </c>
      <c r="J182" s="342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339">
        <f>IF(COUNT(C183,F183)=0,"",N(C183)-N(F183))</f>
        <v/>
      </c>
      <c r="J183" s="340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341">
        <f>IF(COUNT(C184,F184)=0,"",N(C184)-N(F184))</f>
        <v/>
      </c>
      <c r="J184" s="342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339">
        <f>IF(COUNT(C185,F185)=0,"",N(C185)-N(F185))</f>
        <v/>
      </c>
      <c r="J185" s="340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341">
        <f>IF(COUNT(C186,F186)=0,"",N(C186)-N(F186))</f>
        <v/>
      </c>
      <c r="J186" s="342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339">
        <f>IF(COUNT(C187,F187)=0,"",N(C187)-N(F187))</f>
        <v/>
      </c>
      <c r="J187" s="340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341">
        <f>IF(COUNT(C188,F188)=0,"",N(C188)-N(F188))</f>
        <v/>
      </c>
      <c r="J188" s="342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339">
        <f>IF(COUNT(C189,F189)=0,"",N(C189)-N(F189))</f>
        <v/>
      </c>
      <c r="J189" s="340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341">
        <f>IF(COUNT(C190,F190)=0,"",N(C190)-N(F190))</f>
        <v/>
      </c>
      <c r="J190" s="342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339">
        <f>IF(COUNT(C191,F191)=0,"",N(C191)-N(F191))</f>
        <v/>
      </c>
      <c r="J191" s="340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341">
        <f>IF(COUNT(C192,F192)=0,"",N(C192)-N(F192))</f>
        <v/>
      </c>
      <c r="J192" s="342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339">
        <f>IF(COUNT(C193,F193)=0,"",N(C193)-N(F193))</f>
        <v/>
      </c>
      <c r="J193" s="340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341">
        <f>IF(COUNT(C194,F194)=0,"",N(C194)-N(F194))</f>
        <v/>
      </c>
      <c r="J194" s="342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339">
        <f>IF(COUNT(C195,F195)=0,"",N(C195)-N(F195))</f>
        <v/>
      </c>
      <c r="J195" s="340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341">
        <f>IF(COUNT(C196,F196)=0,"",N(C196)-N(F196))</f>
        <v/>
      </c>
      <c r="J196" s="342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339">
        <f>IF(COUNT(C197,F197)=0,"",N(C197)-N(F197))</f>
        <v/>
      </c>
      <c r="J197" s="340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341">
        <f>IF(COUNT(C198,F198)=0,"",N(C198)-N(F198))</f>
        <v/>
      </c>
      <c r="J198" s="342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339">
        <f>IF(COUNT(C199,F199)=0,"",N(C199)-N(F199))</f>
        <v/>
      </c>
      <c r="J199" s="340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341">
        <f>IF(COUNT(C200,F200)=0,"",N(C200)-N(F200))</f>
        <v/>
      </c>
      <c r="J200" s="342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339">
        <f>IF(COUNT(C201,F201)=0,"",N(C201)-N(F201))</f>
        <v/>
      </c>
      <c r="J201" s="340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341">
        <f>IF(COUNT(C202,F202)=0,"",N(C202)-N(F202))</f>
        <v/>
      </c>
      <c r="J202" s="342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339">
        <f>IF(COUNT(C203,F203)=0,"",N(C203)-N(F203))</f>
        <v/>
      </c>
      <c r="J203" s="340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341">
        <f>IF(COUNT(C204,F204)=0,"",N(C204)-N(F204))</f>
        <v/>
      </c>
      <c r="J204" s="342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339">
        <f>IF(COUNT(C205,F205)=0,"",N(C205)-N(F205))</f>
        <v/>
      </c>
      <c r="J205" s="340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341">
        <f>IF(COUNT(C206,F206)=0,"",N(C206)-N(F206))</f>
        <v/>
      </c>
      <c r="J206" s="342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339">
        <f>IF(COUNT(C207,F207)=0,"",N(C207)-N(F207))</f>
        <v/>
      </c>
      <c r="J207" s="340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341">
        <f>IF(COUNT(C208,F208)=0,"",N(C208)-N(F208))</f>
        <v/>
      </c>
      <c r="J208" s="342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339">
        <f>IF(COUNT(C209,F209)=0,"",N(C209)-N(F209))</f>
        <v/>
      </c>
      <c r="J209" s="340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341">
        <f>IF(COUNT(C210,F210)=0,"",N(C210)-N(F210))</f>
        <v/>
      </c>
      <c r="J210" s="342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339">
        <f>IF(COUNT(C211,F211)=0,"",N(C211)-N(F211))</f>
        <v/>
      </c>
      <c r="J211" s="340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341">
        <f>IF(COUNT(C212,F212)=0,"",N(C212)-N(F212))</f>
        <v/>
      </c>
      <c r="J212" s="342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339">
        <f>IF(COUNT(C213,F213)=0,"",N(C213)-N(F213))</f>
        <v/>
      </c>
      <c r="J213" s="340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341">
        <f>IF(COUNT(C214,F214)=0,"",N(C214)-N(F214))</f>
        <v/>
      </c>
      <c r="J214" s="342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339">
        <f>IF(COUNT(C215,F215)=0,"",N(C215)-N(F215))</f>
        <v/>
      </c>
      <c r="J215" s="340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341">
        <f>IF(COUNT(C216,F216)=0,"",N(C216)-N(F216))</f>
        <v/>
      </c>
      <c r="J216" s="342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339">
        <f>IF(COUNT(C217,F217)=0,"",N(C217)-N(F217))</f>
        <v/>
      </c>
      <c r="J217" s="340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341">
        <f>IF(COUNT(C218,F218)=0,"",N(C218)-N(F218))</f>
        <v/>
      </c>
      <c r="J218" s="342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339">
        <f>IF(COUNT(C219,F219)=0,"",N(C219)-N(F219))</f>
        <v/>
      </c>
      <c r="J219" s="340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341">
        <f>IF(COUNT(C220,F220)=0,"",N(C220)-N(F220))</f>
        <v/>
      </c>
      <c r="J220" s="342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339">
        <f>IF(COUNT(C221,F221)=0,"",N(C221)-N(F221))</f>
        <v/>
      </c>
      <c r="J221" s="340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341">
        <f>IF(COUNT(C222,F222)=0,"",N(C222)-N(F222))</f>
        <v/>
      </c>
      <c r="J222" s="342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339">
        <f>IF(COUNT(C223,F223)=0,"",N(C223)-N(F223))</f>
        <v/>
      </c>
      <c r="J223" s="340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341">
        <f>IF(COUNT(C224,F224)=0,"",N(C224)-N(F224))</f>
        <v/>
      </c>
      <c r="J224" s="342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339">
        <f>IF(COUNT(C225,F225)=0,"",N(C225)-N(F225))</f>
        <v/>
      </c>
      <c r="J225" s="340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341">
        <f>IF(COUNT(C226,F226)=0,"",N(C226)-N(F226))</f>
        <v/>
      </c>
      <c r="J226" s="342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339">
        <f>IF(COUNT(C227,F227)=0,"",N(C227)-N(F227))</f>
        <v/>
      </c>
      <c r="J227" s="340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341">
        <f>IF(COUNT(C228,F228)=0,"",N(C228)-N(F228))</f>
        <v/>
      </c>
      <c r="J228" s="342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339">
        <f>IF(COUNT(C229,F229)=0,"",N(C229)-N(F229))</f>
        <v/>
      </c>
      <c r="J229" s="340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341">
        <f>IF(COUNT(C230,F230)=0,"",N(C230)-N(F230))</f>
        <v/>
      </c>
      <c r="J230" s="342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339">
        <f>IF(COUNT(C231,F231)=0,"",N(C231)-N(F231))</f>
        <v/>
      </c>
      <c r="J231" s="340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341">
        <f>IF(COUNT(C232,F232)=0,"",N(C232)-N(F232))</f>
        <v/>
      </c>
      <c r="J232" s="342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339">
        <f>IF(COUNT(C233,F233)=0,"",N(C233)-N(F233))</f>
        <v/>
      </c>
      <c r="J233" s="340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341">
        <f>IF(COUNT(C234,F234)=0,"",N(C234)-N(F234))</f>
        <v/>
      </c>
      <c r="J234" s="342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339">
        <f>IF(COUNT(C235,F235)=0,"",N(C235)-N(F235))</f>
        <v/>
      </c>
      <c r="J235" s="340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341">
        <f>IF(COUNT(C236,F236)=0,"",N(C236)-N(F236))</f>
        <v/>
      </c>
      <c r="J236" s="342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339">
        <f>IF(COUNT(C237,F237)=0,"",N(C237)-N(F237))</f>
        <v/>
      </c>
      <c r="J237" s="340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341">
        <f>IF(COUNT(C238,F238)=0,"",N(C238)-N(F238))</f>
        <v/>
      </c>
      <c r="J238" s="342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339">
        <f>IF(COUNT(C239,F239)=0,"",N(C239)-N(F239))</f>
        <v/>
      </c>
      <c r="J239" s="340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341">
        <f>IF(COUNT(C240,F240)=0,"",N(C240)-N(F240))</f>
        <v/>
      </c>
      <c r="J240" s="342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339">
        <f>IF(COUNT(C241,F241)=0,"",N(C241)-N(F241))</f>
        <v/>
      </c>
      <c r="J241" s="340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341">
        <f>IF(COUNT(C242,F242)=0,"",N(C242)-N(F242))</f>
        <v/>
      </c>
      <c r="J242" s="342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339">
        <f>IF(COUNT(C243,F243)=0,"",N(C243)-N(F243))</f>
        <v/>
      </c>
      <c r="J243" s="340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341">
        <f>IF(COUNT(C244,F244)=0,"",N(C244)-N(F244))</f>
        <v/>
      </c>
      <c r="J244" s="342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339">
        <f>IF(COUNT(C245,F245)=0,"",N(C245)-N(F245))</f>
        <v/>
      </c>
      <c r="J245" s="340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341">
        <f>IF(COUNT(C246,F246)=0,"",N(C246)-N(F246))</f>
        <v/>
      </c>
      <c r="J246" s="342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339">
        <f>IF(COUNT(C247,F247)=0,"",N(C247)-N(F247))</f>
        <v/>
      </c>
      <c r="J247" s="340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341">
        <f>IF(COUNT(C248,F248)=0,"",N(C248)-N(F248))</f>
        <v/>
      </c>
      <c r="J248" s="342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339">
        <f>IF(COUNT(C249,F249)=0,"",N(C249)-N(F249))</f>
        <v/>
      </c>
      <c r="J249" s="340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341">
        <f>IF(COUNT(C250,F250)=0,"",N(C250)-N(F250))</f>
        <v/>
      </c>
      <c r="J250" s="342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339">
        <f>IF(COUNT(C251,F251)=0,"",N(C251)-N(F251))</f>
        <v/>
      </c>
      <c r="J251" s="340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341">
        <f>IF(COUNT(C252,F252)=0,"",N(C252)-N(F252))</f>
        <v/>
      </c>
      <c r="J252" s="342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339">
        <f>IF(COUNT(C253,F253)=0,"",N(C253)-N(F253))</f>
        <v/>
      </c>
      <c r="J253" s="340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341">
        <f>IF(COUNT(C254,F254)=0,"",N(C254)-N(F254))</f>
        <v/>
      </c>
      <c r="J254" s="342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339">
        <f>IF(COUNT(C255,F255)=0,"",N(C255)-N(F255))</f>
        <v/>
      </c>
      <c r="J255" s="340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341">
        <f>IF(COUNT(C256,F256)=0,"",N(C256)-N(F256))</f>
        <v/>
      </c>
      <c r="J256" s="342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339">
        <f>IF(COUNT(C257,F257)=0,"",N(C257)-N(F257))</f>
        <v/>
      </c>
      <c r="J257" s="340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341">
        <f>IF(COUNT(C258,F258)=0,"",N(C258)-N(F258))</f>
        <v/>
      </c>
      <c r="J258" s="342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339">
        <f>IF(COUNT(C259,F259)=0,"",N(C259)-N(F259))</f>
        <v/>
      </c>
      <c r="J259" s="340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341">
        <f>IF(COUNT(C260,F260)=0,"",N(C260)-N(F260))</f>
        <v/>
      </c>
      <c r="J260" s="342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339">
        <f>IF(COUNT(C261,F261)=0,"",N(C261)-N(F261))</f>
        <v/>
      </c>
      <c r="J261" s="340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341">
        <f>IF(COUNT(C262,F262)=0,"",N(C262)-N(F262))</f>
        <v/>
      </c>
      <c r="J262" s="342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339">
        <f>IF(COUNT(C263,F263)=0,"",N(C263)-N(F263))</f>
        <v/>
      </c>
      <c r="J263" s="340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341">
        <f>IF(COUNT(C264,F264)=0,"",N(C264)-N(F264))</f>
        <v/>
      </c>
      <c r="J264" s="342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339">
        <f>IF(COUNT(C265,F265)=0,"",N(C265)-N(F265))</f>
        <v/>
      </c>
      <c r="J265" s="340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341">
        <f>IF(COUNT(C266,F266)=0,"",N(C266)-N(F266))</f>
        <v/>
      </c>
      <c r="J266" s="342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339">
        <f>IF(COUNT(C267,F267)=0,"",N(C267)-N(F267))</f>
        <v/>
      </c>
      <c r="J267" s="340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341">
        <f>IF(COUNT(C268,F268)=0,"",N(C268)-N(F268))</f>
        <v/>
      </c>
      <c r="J268" s="342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339">
        <f>IF(COUNT(C269,F269)=0,"",N(C269)-N(F269))</f>
        <v/>
      </c>
      <c r="J269" s="340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341">
        <f>IF(COUNT(C270,F270)=0,"",N(C270)-N(F270))</f>
        <v/>
      </c>
      <c r="J270" s="342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339">
        <f>IF(COUNT(C271,F271)=0,"",N(C271)-N(F271))</f>
        <v/>
      </c>
      <c r="J271" s="340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341">
        <f>IF(COUNT(C272,F272)=0,"",N(C272)-N(F272))</f>
        <v/>
      </c>
      <c r="J272" s="342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339">
        <f>IF(COUNT(C273,F273)=0,"",N(C273)-N(F273))</f>
        <v/>
      </c>
      <c r="J273" s="340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341">
        <f>IF(COUNT(C274,F274)=0,"",N(C274)-N(F274))</f>
        <v/>
      </c>
      <c r="J274" s="342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339">
        <f>IF(COUNT(C275,F275)=0,"",N(C275)-N(F275))</f>
        <v/>
      </c>
      <c r="J275" s="340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341">
        <f>IF(COUNT(C276,F276)=0,"",N(C276)-N(F276))</f>
        <v/>
      </c>
      <c r="J276" s="342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339">
        <f>IF(COUNT(C277,F277)=0,"",N(C277)-N(F277))</f>
        <v/>
      </c>
      <c r="J277" s="340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341">
        <f>IF(COUNT(C278,F278)=0,"",N(C278)-N(F278))</f>
        <v/>
      </c>
      <c r="J278" s="342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339">
        <f>IF(COUNT(C279,F279)=0,"",N(C279)-N(F279))</f>
        <v/>
      </c>
      <c r="J279" s="340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341">
        <f>IF(COUNT(C280,F280)=0,"",N(C280)-N(F280))</f>
        <v/>
      </c>
      <c r="J280" s="342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339">
        <f>IF(COUNT(C281,F281)=0,"",N(C281)-N(F281))</f>
        <v/>
      </c>
      <c r="J281" s="340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341">
        <f>IF(COUNT(C282,F282)=0,"",N(C282)-N(F282))</f>
        <v/>
      </c>
      <c r="J282" s="342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339">
        <f>IF(COUNT(C283,F283)=0,"",N(C283)-N(F283))</f>
        <v/>
      </c>
      <c r="J283" s="340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341">
        <f>IF(COUNT(C284,F284)=0,"",N(C284)-N(F284))</f>
        <v/>
      </c>
      <c r="J284" s="342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339">
        <f>IF(COUNT(C285,F285)=0,"",N(C285)-N(F285))</f>
        <v/>
      </c>
      <c r="J285" s="340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341">
        <f>IF(COUNT(C286,F286)=0,"",N(C286)-N(F286))</f>
        <v/>
      </c>
      <c r="J286" s="342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339">
        <f>IF(COUNT(C287,F287)=0,"",N(C287)-N(F287))</f>
        <v/>
      </c>
      <c r="J287" s="340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341">
        <f>IF(COUNT(C288,F288)=0,"",N(C288)-N(F288))</f>
        <v/>
      </c>
      <c r="J288" s="342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339">
        <f>IF(COUNT(C289,F289)=0,"",N(C289)-N(F289))</f>
        <v/>
      </c>
      <c r="J289" s="340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341">
        <f>IF(COUNT(C290,F290)=0,"",N(C290)-N(F290))</f>
        <v/>
      </c>
      <c r="J290" s="342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339">
        <f>IF(COUNT(C291,F291)=0,"",N(C291)-N(F291))</f>
        <v/>
      </c>
      <c r="J291" s="340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341">
        <f>IF(COUNT(C292,F292)=0,"",N(C292)-N(F292))</f>
        <v/>
      </c>
      <c r="J292" s="342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339">
        <f>IF(COUNT(C293,F293)=0,"",N(C293)-N(F293))</f>
        <v/>
      </c>
      <c r="J293" s="340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341">
        <f>IF(COUNT(C294,F294)=0,"",N(C294)-N(F294))</f>
        <v/>
      </c>
      <c r="J294" s="342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339">
        <f>IF(COUNT(C295,F295)=0,"",N(C295)-N(F295))</f>
        <v/>
      </c>
      <c r="J295" s="340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341">
        <f>IF(COUNT(C296,F296)=0,"",N(C296)-N(F296))</f>
        <v/>
      </c>
      <c r="J296" s="342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339">
        <f>IF(COUNT(C297,F297)=0,"",N(C297)-N(F297))</f>
        <v/>
      </c>
      <c r="J297" s="340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341">
        <f>IF(COUNT(C298,F298)=0,"",N(C298)-N(F298))</f>
        <v/>
      </c>
      <c r="J298" s="342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339">
        <f>IF(COUNT(C299,F299)=0,"",N(C299)-N(F299))</f>
        <v/>
      </c>
      <c r="J299" s="340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341">
        <f>IF(COUNT(C300,F300)=0,"",N(C300)-N(F300))</f>
        <v/>
      </c>
      <c r="J300" s="342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2026-10-11T16:34:54Z</dcterms:modified>
</cp:coreProperties>
</file>