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вод" sheetId="1" state="visible" r:id="rId1"/>
    <sheet xmlns:r="http://schemas.openxmlformats.org/officeDocument/2006/relationships" name="Торговля" sheetId="2" state="visible" r:id="rId2"/>
    <sheet xmlns:r="http://schemas.openxmlformats.org/officeDocument/2006/relationships" name="ИТОГО Торговля" sheetId="3" state="visible" r:id="rId3"/>
    <sheet xmlns:r="http://schemas.openxmlformats.org/officeDocument/2006/relationships" name="Лэндинг" sheetId="4" state="visible" r:id="rId4"/>
    <sheet xmlns:r="http://schemas.openxmlformats.org/officeDocument/2006/relationships" name="ИТОГО Лэндинг" sheetId="5" state="visible" r:id="rId5"/>
    <sheet xmlns:r="http://schemas.openxmlformats.org/officeDocument/2006/relationships" name="Пул" sheetId="6" state="visible" r:id="rId6"/>
    <sheet xmlns:r="http://schemas.openxmlformats.org/officeDocument/2006/relationships" name="Пул Закрытые" sheetId="7" state="visible" r:id="rId7"/>
    <sheet xmlns:r="http://schemas.openxmlformats.org/officeDocument/2006/relationships" name="ИТОГО ПУЛ" sheetId="8" state="visible" r:id="rId8"/>
    <sheet xmlns:r="http://schemas.openxmlformats.org/officeDocument/2006/relationships" name="Закрытые" sheetId="9" state="visible" r:id="rId9"/>
    <sheet xmlns:r="http://schemas.openxmlformats.org/officeDocument/2006/relationships" name="ИТОГО" sheetId="10" state="visible" r:id="rId10"/>
    <sheet xmlns:r="http://schemas.openxmlformats.org/officeDocument/2006/relationships" name="Справочники" sheetId="11" state="visible" r:id="rId11"/>
  </sheets>
  <definedNames>
    <definedName name="Список_Протокол">OFFSET(Справочники!$B$5,0,0,MAX(1,COUNTA(Справочники!$B$5:$B$104)),1)</definedName>
    <definedName name="Список_Действие_Торговля">OFFSET(Справочники!$C$5,0,0,MAX(1,COUNTA(Справочники!$C$5:$C$104)),1)</definedName>
    <definedName name="_xlnm.Print_Area" localSheetId="0">'Ввод'!$A$1:$K$25</definedName>
    <definedName name="_xlnm.Print_Area" localSheetId="1">'Торговля'!$A$1:$N$17</definedName>
    <definedName name="_xlnm.Print_Area" localSheetId="2">'ИТОГО Торговля'!$A$1:$N$13</definedName>
    <definedName name="_xlnm.Print_Area" localSheetId="3">'Лэндинг'!$A$1:$N$13</definedName>
    <definedName name="_xlnm.Print_Area" localSheetId="4">'ИТОГО Лэндинг'!$A$1:$N$13</definedName>
    <definedName name="_xlnm.Print_Area" localSheetId="5">'Пул'!$A$1:$J$13</definedName>
    <definedName name="_xlnm.Print_Area" localSheetId="6">'Пул Закрытые'!$A$1:$O$13</definedName>
    <definedName name="_xlnm.Print_Area" localSheetId="7">'ИТОГО ПУЛ'!$A$1:$L$13</definedName>
    <definedName name="_xlnm.Print_Area" localSheetId="8">'Закрытые'!$A$1:$R$13</definedName>
    <definedName name="_xlnm.Print_Area" localSheetId="9">'ИТОГО'!$A$1:$N$13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DD.MM.YYYY"/>
    <numFmt numFmtId="165" formatCode="#,##0.00######;[Red]-#,##0.00######"/>
    <numFmt numFmtId="166" formatCode="yyyy.mm.dd"/>
    <numFmt numFmtId="167" formatCode="#,##0.00######"/>
    <numFmt numFmtId="168" formatCode="0.0##"/>
    <numFmt numFmtId="169" formatCode="#,##0.00######;[Red]-#,##0.00######;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i val="1"/>
      <color rgb="00FFFFFF"/>
      <sz val="12"/>
    </font>
    <font>
      <name val="Calibri"/>
      <b val="1"/>
      <i val="1"/>
      <color rgb="00FFFFFF"/>
      <sz val="10"/>
    </font>
    <font>
      <name val="Calibri"/>
      <color rgb="00244E62"/>
      <sz val="11"/>
    </font>
    <font>
      <name val="Calibri"/>
      <b val="1"/>
      <color rgb="00244E62"/>
      <sz val="11"/>
    </font>
    <font>
      <name val="Calibri"/>
      <b val="1"/>
      <color rgb="00FFFFFF"/>
      <sz val="14"/>
    </font>
    <font>
      <name val="Calibri"/>
      <i val="1"/>
      <color rgb="006F9EB3"/>
      <sz val="9"/>
    </font>
    <font>
      <name val="Calibri"/>
      <b val="1"/>
      <i val="1"/>
      <color rgb="00FFFFFF"/>
      <sz val="11"/>
    </font>
    <font>
      <name val="Calibri"/>
      <sz val="11"/>
    </font>
  </fonts>
  <fills count="17">
    <fill>
      <patternFill/>
    </fill>
    <fill>
      <patternFill patternType="gray125"/>
    </fill>
    <fill>
      <patternFill patternType="solid">
        <fgColor rgb="00255B78"/>
        <bgColor rgb="00255B78"/>
      </patternFill>
    </fill>
    <fill>
      <patternFill patternType="solid">
        <fgColor rgb="002F6F93"/>
        <bgColor rgb="002F6F93"/>
      </patternFill>
    </fill>
    <fill>
      <patternFill patternType="solid">
        <fgColor rgb="00FFFDF3"/>
        <bgColor rgb="00FFFDF3"/>
      </patternFill>
    </fill>
    <fill>
      <patternFill patternType="solid">
        <fgColor rgb="005E9E72"/>
        <bgColor rgb="005E9E72"/>
      </patternFill>
    </fill>
    <fill>
      <patternFill patternType="solid">
        <fgColor rgb="008064A2"/>
        <bgColor rgb="008064A2"/>
      </patternFill>
    </fill>
    <fill>
      <patternFill patternType="solid">
        <fgColor rgb="00FFFFFF"/>
        <bgColor rgb="00FFFFFF"/>
      </patternFill>
    </fill>
    <fill>
      <patternFill patternType="solid">
        <fgColor rgb="00722F37"/>
        <bgColor rgb="00722F37"/>
      </patternFill>
    </fill>
    <fill>
      <patternFill patternType="solid">
        <fgColor rgb="006D568F"/>
        <bgColor rgb="006D568F"/>
      </patternFill>
    </fill>
    <fill>
      <patternFill patternType="solid">
        <fgColor rgb="002F6F93"/>
      </patternFill>
    </fill>
    <fill>
      <patternFill patternType="solid">
        <fgColor rgb="00FFFDF3"/>
      </patternFill>
    </fill>
    <fill>
      <patternFill patternType="solid">
        <fgColor rgb="00FFF2CC"/>
      </patternFill>
    </fill>
    <fill>
      <patternFill patternType="solid">
        <fgColor rgb="006D568F"/>
      </patternFill>
    </fill>
    <fill>
      <patternFill patternType="solid">
        <fgColor rgb="00FFFFFF"/>
      </patternFill>
    </fill>
    <fill>
      <patternFill patternType="solid">
        <fgColor rgb="00255B78"/>
      </patternFill>
    </fill>
    <fill>
      <patternFill patternType="solid">
        <fgColor rgb="008064A2"/>
      </patternFill>
    </fill>
  </fills>
  <borders count="43">
    <border>
      <left/>
      <right/>
      <top/>
      <bottom/>
      <diagonal/>
    </border>
    <border>
      <left style="thin">
        <color rgb="006F9EB3"/>
      </left>
      <right style="thin">
        <color rgb="006F9EB3"/>
      </right>
      <top style="thin">
        <color rgb="006F9EB3"/>
      </top>
      <bottom style="thin">
        <color rgb="006F9EB3"/>
      </bottom>
    </border>
    <border>
      <left style="thin">
        <color rgb="006F9EB3"/>
      </left>
      <top style="thin">
        <color rgb="006F9EB3"/>
      </top>
      <bottom style="thin">
        <color rgb="006F9EB3"/>
      </bottom>
    </border>
    <border>
      <top style="thin">
        <color rgb="006F9EB3"/>
      </top>
      <bottom style="thin">
        <color rgb="006F9EB3"/>
      </bottom>
    </border>
    <border>
      <right style="thin">
        <color rgb="006F9EB3"/>
      </right>
      <top style="thin">
        <color rgb="006F9EB3"/>
      </top>
      <bottom style="thin">
        <color rgb="006F9EB3"/>
      </bottom>
    </border>
    <border>
      <left style="medium">
        <color rgb="00FFFFFF"/>
      </left>
    </border>
    <border>
      <left style="thin">
        <color rgb="006F9EB3"/>
      </left>
      <top style="thin">
        <color rgb="006F9EB3"/>
      </top>
    </border>
    <border>
      <top style="thin">
        <color rgb="006F9EB3"/>
      </top>
    </border>
    <border>
      <right style="thin">
        <color rgb="006F9EB3"/>
      </right>
      <top style="thin">
        <color rgb="006F9EB3"/>
      </top>
    </border>
    <border>
      <left style="thin">
        <color rgb="006F9EB3"/>
      </left>
      <bottom style="thin">
        <color rgb="006F9EB3"/>
      </bottom>
    </border>
    <border>
      <bottom style="thin">
        <color rgb="006F9EB3"/>
      </bottom>
    </border>
    <border>
      <right style="thin">
        <color rgb="006F9EB3"/>
      </right>
      <bottom style="thin">
        <color rgb="006F9EB3"/>
      </bottom>
    </border>
    <border>
      <bottom style="medium">
        <color rgb="005E9E72"/>
      </bottom>
    </border>
    <border>
      <left style="medium">
        <color rgb="00FFFFFF"/>
      </left>
      <bottom style="medium">
        <color rgb="005E9E72"/>
      </bottom>
    </border>
    <border>
      <left style="medium">
        <color rgb="00FFFFFF"/>
      </left>
      <bottom/>
    </border>
    <border>
      <bottom style="medium">
        <color rgb="008064A2"/>
      </bottom>
    </border>
    <border>
      <bottom style="medium">
        <color rgb="00255B78"/>
      </bottom>
    </border>
    <border>
      <left style="medium">
        <color rgb="00FFFFFF"/>
      </left>
      <right style="medium">
        <color rgb="00FFFFFF"/>
      </right>
    </border>
    <border>
      <left style="medium">
        <color rgb="00FFFFFF"/>
      </left>
      <right style="thick">
        <color rgb="00FFFFFF"/>
      </right>
    </border>
    <border>
      <left style="thick">
        <color rgb="00FFFFFF"/>
      </left>
      <right style="medium">
        <color rgb="00FFFFFF"/>
      </right>
    </border>
    <border>
      <left style="thin">
        <color rgb="006F9EB3"/>
      </left>
      <right style="medium">
        <color rgb="00255B78"/>
      </right>
      <top style="thin">
        <color rgb="006F9EB3"/>
      </top>
      <bottom style="thin">
        <color rgb="006F9EB3"/>
      </bottom>
    </border>
    <border>
      <left style="medium">
        <color rgb="00255B78"/>
      </left>
      <right style="thin">
        <color rgb="006F9EB3"/>
      </right>
      <top style="thin">
        <color rgb="006F9EB3"/>
      </top>
      <bottom style="thin">
        <color rgb="006F9EB3"/>
      </bottom>
    </border>
    <border>
      <left/>
      <right/>
      <top style="thin">
        <color rgb="006F9EB3"/>
      </top>
      <bottom/>
      <diagonal/>
    </border>
    <border>
      <left/>
      <right style="thin">
        <color rgb="006F9EB3"/>
      </right>
      <top style="thin">
        <color rgb="006F9EB3"/>
      </top>
      <bottom/>
      <diagonal/>
    </border>
    <border>
      <left/>
      <right/>
      <top style="thin">
        <color rgb="006F9EB3"/>
      </top>
      <bottom style="thin">
        <color rgb="006F9EB3"/>
      </bottom>
      <diagonal/>
    </border>
    <border>
      <left/>
      <right style="thin">
        <color rgb="006F9EB3"/>
      </right>
      <top style="thin">
        <color rgb="006F9EB3"/>
      </top>
      <bottom style="thin">
        <color rgb="006F9EB3"/>
      </bottom>
      <diagonal/>
    </border>
    <border>
      <left style="thin">
        <color rgb="006F9EB3"/>
      </left>
      <right/>
      <top/>
      <bottom/>
      <diagonal/>
    </border>
    <border>
      <left/>
      <right style="thin">
        <color rgb="006F9EB3"/>
      </right>
      <top/>
      <bottom/>
      <diagonal/>
    </border>
    <border>
      <left style="thin">
        <color rgb="006F9EB3"/>
      </left>
      <right/>
      <top/>
      <bottom style="thin">
        <color rgb="006F9EB3"/>
      </bottom>
      <diagonal/>
    </border>
    <border>
      <left/>
      <right/>
      <top/>
      <bottom style="thin">
        <color rgb="006F9EB3"/>
      </bottom>
      <diagonal/>
    </border>
    <border>
      <left/>
      <right style="thin">
        <color rgb="006F9EB3"/>
      </right>
      <top/>
      <bottom style="thin">
        <color rgb="006F9EB3"/>
      </bottom>
      <diagonal/>
    </border>
    <border>
      <left/>
      <right/>
      <top/>
      <bottom style="medium">
        <color rgb="008064A2"/>
      </bottom>
      <diagonal/>
    </border>
    <border>
      <left/>
      <right/>
      <top/>
      <bottom style="medium">
        <color rgb="005E9E72"/>
      </bottom>
      <diagonal/>
    </border>
    <border>
      <left style="medium">
        <color rgb="00FFFFFF"/>
      </left>
      <right/>
      <bottom/>
    </border>
    <border>
      <left/>
      <right/>
      <top/>
      <bottom style="medium">
        <color rgb="00255B78"/>
      </bottom>
      <diagonal/>
    </border>
    <border>
      <left style="medium">
        <color rgb="00FFFFFF"/>
      </left>
      <right/>
      <top/>
      <bottom/>
      <diagonal/>
    </border>
    <border>
      <right/>
      <bottom style="medium">
        <color rgb="008064A2"/>
      </bottom>
    </border>
    <border>
      <right/>
      <bottom style="medium">
        <color rgb="005E9E72"/>
      </bottom>
    </border>
    <border>
      <left style="medium">
        <color rgb="00FFFFFF"/>
      </left>
      <right/>
      <bottom style="medium">
        <color rgb="005E9E72"/>
      </bottom>
    </border>
    <border>
      <right/>
      <bottom style="medium">
        <color rgb="00255B78"/>
      </bottom>
    </border>
    <border/>
    <border>
      <left style="thin">
        <color rgb="006F9EB3"/>
      </left>
    </border>
    <border>
      <right style="thin">
        <color rgb="006F9EB3"/>
      </right>
    </border>
  </borders>
  <cellStyleXfs count="1">
    <xf numFmtId="0" fontId="0" fillId="0" borderId="0"/>
  </cellStyleXfs>
  <cellXfs count="25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left" vertical="center" indent="1"/>
    </xf>
    <xf numFmtId="0" fontId="2" fillId="5" borderId="12" applyAlignment="1" pivotButton="0" quotePrefix="0" xfId="0">
      <alignment horizontal="left" vertical="center" indent="1"/>
    </xf>
    <xf numFmtId="0" fontId="2" fillId="5" borderId="13" applyAlignment="1" pivotButton="0" quotePrefix="0" xfId="0">
      <alignment horizontal="left" vertical="center" indent="1"/>
    </xf>
    <xf numFmtId="0" fontId="4" fillId="4" borderId="2" applyAlignment="1" pivotButton="0" quotePrefix="0" xfId="0">
      <alignment horizontal="left" vertical="center" indent="1"/>
    </xf>
    <xf numFmtId="0" fontId="4" fillId="4" borderId="3" applyAlignment="1" pivotButton="0" quotePrefix="0" xfId="0">
      <alignment horizontal="left" vertical="center" indent="1"/>
    </xf>
    <xf numFmtId="0" fontId="4" fillId="4" borderId="4" applyAlignment="1" pivotButton="0" quotePrefix="0" xfId="0">
      <alignment horizontal="left" vertical="center" indent="1"/>
    </xf>
    <xf numFmtId="0" fontId="3" fillId="3" borderId="14" applyAlignment="1" pivotButton="0" quotePrefix="0" xfId="0">
      <alignment horizontal="left" vertical="center" indent="1"/>
    </xf>
    <xf numFmtId="2" fontId="4" fillId="4" borderId="2" applyAlignment="1" pivotButton="0" quotePrefix="0" xfId="0">
      <alignment horizontal="right" vertical="center" indent="1"/>
    </xf>
    <xf numFmtId="0" fontId="4" fillId="4" borderId="4" applyAlignment="1" pivotButton="0" quotePrefix="0" xfId="0">
      <alignment horizontal="right" vertical="center" indent="1"/>
    </xf>
    <xf numFmtId="3" fontId="4" fillId="4" borderId="2" applyAlignment="1" pivotButton="0" quotePrefix="0" xfId="0">
      <alignment horizontal="right" vertical="center" indent="1"/>
    </xf>
    <xf numFmtId="1" fontId="4" fillId="4" borderId="2" applyAlignment="1" pivotButton="0" quotePrefix="0" xfId="0">
      <alignment horizontal="right" vertical="center" indent="1"/>
    </xf>
    <xf numFmtId="0" fontId="3" fillId="3" borderId="5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left" vertical="center" indent="1"/>
    </xf>
    <xf numFmtId="0" fontId="5" fillId="4" borderId="2" applyAlignment="1" pivotButton="0" quotePrefix="0" xfId="0">
      <alignment horizontal="left" vertical="center" indent="1"/>
    </xf>
    <xf numFmtId="0" fontId="5" fillId="4" borderId="4" applyAlignment="1" pivotButton="0" quotePrefix="0" xfId="0">
      <alignment horizontal="left" vertical="center" indent="1"/>
    </xf>
    <xf numFmtId="0" fontId="2" fillId="6" borderId="15" applyAlignment="1" pivotButton="0" quotePrefix="0" xfId="0">
      <alignment horizontal="left" vertical="center" indent="1"/>
    </xf>
    <xf numFmtId="0" fontId="2" fillId="3" borderId="16" applyAlignment="1" pivotButton="0" quotePrefix="0" xfId="0">
      <alignment horizontal="left" vertical="center" indent="1"/>
    </xf>
    <xf numFmtId="0" fontId="4" fillId="4" borderId="6" applyAlignment="1" pivotButton="0" quotePrefix="0" xfId="0">
      <alignment horizontal="left" vertical="top" wrapText="1" indent="1"/>
    </xf>
    <xf numFmtId="0" fontId="4" fillId="4" borderId="7" applyAlignment="1" pivotButton="0" quotePrefix="0" xfId="0">
      <alignment horizontal="left" vertical="top" wrapText="1" indent="1"/>
    </xf>
    <xf numFmtId="0" fontId="4" fillId="4" borderId="8" applyAlignment="1" pivotButton="0" quotePrefix="0" xfId="0">
      <alignment horizontal="left" vertical="top" wrapText="1" indent="1"/>
    </xf>
    <xf numFmtId="0" fontId="4" fillId="4" borderId="9" applyAlignment="1" pivotButton="0" quotePrefix="0" xfId="0">
      <alignment horizontal="left" vertical="top" wrapText="1" indent="1"/>
    </xf>
    <xf numFmtId="0" fontId="4" fillId="4" borderId="10" applyAlignment="1" pivotButton="0" quotePrefix="0" xfId="0">
      <alignment horizontal="left" vertical="top" wrapText="1" indent="1"/>
    </xf>
    <xf numFmtId="0" fontId="4" fillId="4" borderId="11" applyAlignment="1" pivotButton="0" quotePrefix="0" xfId="0">
      <alignment horizontal="left" vertical="top" wrapText="1" indent="1"/>
    </xf>
    <xf numFmtId="0" fontId="6" fillId="5" borderId="0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7" fillId="0" borderId="0" pivotButton="0" quotePrefix="0" xfId="0"/>
    <xf numFmtId="0" fontId="8" fillId="2" borderId="17" applyAlignment="1" pivotButton="0" quotePrefix="0" xfId="0">
      <alignment horizontal="center" vertical="center"/>
    </xf>
    <xf numFmtId="0" fontId="8" fillId="2" borderId="18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8" fillId="3" borderId="18" applyAlignment="1" pivotButton="0" quotePrefix="0" xfId="0">
      <alignment horizontal="center" vertical="center"/>
    </xf>
    <xf numFmtId="0" fontId="8" fillId="5" borderId="19" applyAlignment="1" pivotButton="0" quotePrefix="0" xfId="0">
      <alignment horizontal="center" vertical="center"/>
    </xf>
    <xf numFmtId="0" fontId="8" fillId="5" borderId="17" applyAlignment="1" pivotButton="0" quotePrefix="0" xfId="0">
      <alignment horizontal="center" vertical="center"/>
    </xf>
    <xf numFmtId="0" fontId="8" fillId="5" borderId="18" applyAlignment="1" pivotButton="0" quotePrefix="0" xfId="0">
      <alignment horizontal="center" vertical="center"/>
    </xf>
    <xf numFmtId="0" fontId="8" fillId="6" borderId="19" applyAlignment="1" pivotButton="0" quotePrefix="0" xfId="0">
      <alignment horizontal="center" vertical="center"/>
    </xf>
    <xf numFmtId="0" fontId="8" fillId="6" borderId="17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165" fontId="4" fillId="4" borderId="2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4" fillId="4" borderId="20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4" fillId="7" borderId="20" applyAlignment="1" pivotButton="0" quotePrefix="0" xfId="0">
      <alignment horizontal="center" vertical="center"/>
    </xf>
    <xf numFmtId="165" fontId="4" fillId="7" borderId="21" applyAlignment="1" pivotButton="0" quotePrefix="0" xfId="0">
      <alignment horizontal="center" vertical="center"/>
    </xf>
    <xf numFmtId="165" fontId="4" fillId="7" borderId="1" applyAlignment="1" pivotButton="0" quotePrefix="0" xfId="0">
      <alignment horizontal="center" vertical="center"/>
    </xf>
    <xf numFmtId="165" fontId="4" fillId="7" borderId="20" applyAlignment="1" pivotButton="0" quotePrefix="0" xfId="0">
      <alignment horizontal="center" vertical="center"/>
    </xf>
    <xf numFmtId="0" fontId="8" fillId="6" borderId="18" applyAlignment="1" pivotButton="0" quotePrefix="0" xfId="0">
      <alignment horizontal="center" vertical="center"/>
    </xf>
    <xf numFmtId="0" fontId="8" fillId="8" borderId="19" applyAlignment="1" pivotButton="0" quotePrefix="0" xfId="0">
      <alignment horizontal="center" vertical="center"/>
    </xf>
    <xf numFmtId="0" fontId="8" fillId="8" borderId="17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24" pivotButton="0" quotePrefix="0" xfId="0"/>
    <xf numFmtId="0" fontId="0" fillId="0" borderId="25" pivotButton="0" quotePrefix="0" xfId="0"/>
    <xf numFmtId="2" fontId="4" fillId="4" borderId="1" applyAlignment="1" pivotButton="0" quotePrefix="0" xfId="0">
      <alignment horizontal="right" vertical="center" indent="1"/>
    </xf>
    <xf numFmtId="3" fontId="4" fillId="4" borderId="1" applyAlignment="1" pivotButton="0" quotePrefix="0" xfId="0">
      <alignment horizontal="right" vertical="center" indent="1"/>
    </xf>
    <xf numFmtId="1" fontId="4" fillId="4" borderId="1" applyAlignment="1" pivotButton="0" quotePrefix="0" xfId="0">
      <alignment horizontal="right" vertical="center" indent="1"/>
    </xf>
    <xf numFmtId="0" fontId="3" fillId="3" borderId="33" applyAlignment="1" pivotButton="0" quotePrefix="0" xfId="0">
      <alignment horizontal="left" vertical="center" indent="1"/>
    </xf>
    <xf numFmtId="0" fontId="5" fillId="4" borderId="1" applyAlignment="1" pivotButton="0" quotePrefix="0" xfId="0">
      <alignment horizontal="left" vertical="center" indent="1"/>
    </xf>
    <xf numFmtId="0" fontId="0" fillId="0" borderId="31" pivotButton="0" quotePrefix="0" xfId="0"/>
    <xf numFmtId="0" fontId="0" fillId="0" borderId="34" pivotButton="0" quotePrefix="0" xfId="0"/>
    <xf numFmtId="0" fontId="4" fillId="4" borderId="1" applyAlignment="1" pivotButton="0" quotePrefix="0" xfId="0">
      <alignment horizontal="left" vertical="top" wrapText="1" indent="1"/>
    </xf>
    <xf numFmtId="0" fontId="0" fillId="0" borderId="22" pivotButton="0" quotePrefix="0" xfId="0"/>
    <xf numFmtId="0" fontId="0" fillId="0" borderId="23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6" fillId="3" borderId="33" applyAlignment="1" pivotButton="0" quotePrefix="0" xfId="0">
      <alignment horizontal="center" vertical="center"/>
    </xf>
    <xf numFmtId="0" fontId="0" fillId="0" borderId="35" pivotButton="0" quotePrefix="0" xfId="0"/>
    <xf numFmtId="164" fontId="4" fillId="4" borderId="1" applyAlignment="1" pivotButton="0" quotePrefix="0" xfId="0">
      <alignment horizontal="center" vertical="center"/>
    </xf>
    <xf numFmtId="165" fontId="4" fillId="4" borderId="2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4" fillId="4" borderId="20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165" fontId="4" fillId="7" borderId="21" applyAlignment="1" pivotButton="0" quotePrefix="0" xfId="0">
      <alignment horizontal="center" vertical="center"/>
    </xf>
    <xf numFmtId="165" fontId="4" fillId="7" borderId="1" applyAlignment="1" pivotButton="0" quotePrefix="0" xfId="0">
      <alignment horizontal="center" vertical="center"/>
    </xf>
    <xf numFmtId="165" fontId="4" fillId="7" borderId="20" applyAlignment="1" pivotButton="0" quotePrefix="0" xfId="0">
      <alignment horizontal="center" vertical="center"/>
    </xf>
    <xf numFmtId="0" fontId="8" fillId="2" borderId="18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8" fillId="3" borderId="18" applyAlignment="1" pivotButton="0" quotePrefix="0" xfId="0">
      <alignment horizontal="center" vertical="center"/>
    </xf>
    <xf numFmtId="0" fontId="8" fillId="5" borderId="19" applyAlignment="1" pivotButton="0" quotePrefix="0" xfId="0">
      <alignment horizontal="center" vertical="center"/>
    </xf>
    <xf numFmtId="0" fontId="8" fillId="5" borderId="17" applyAlignment="1" pivotButton="0" quotePrefix="0" xfId="0">
      <alignment horizontal="center" vertical="center"/>
    </xf>
    <xf numFmtId="0" fontId="8" fillId="5" borderId="18" applyAlignment="1" pivotButton="0" quotePrefix="0" xfId="0">
      <alignment horizontal="center" vertical="center"/>
    </xf>
    <xf numFmtId="0" fontId="8" fillId="6" borderId="19" applyAlignment="1" pivotButton="0" quotePrefix="0" xfId="0">
      <alignment horizontal="center" vertical="center"/>
    </xf>
    <xf numFmtId="0" fontId="8" fillId="6" borderId="18" applyAlignment="1" pivotButton="0" quotePrefix="0" xfId="0">
      <alignment horizontal="center" vertical="center"/>
    </xf>
    <xf numFmtId="0" fontId="8" fillId="8" borderId="19" applyAlignment="1" pivotButton="0" quotePrefix="0" xfId="0">
      <alignment horizontal="center" vertical="center"/>
    </xf>
    <xf numFmtId="0" fontId="8" fillId="8" borderId="17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165" fontId="4" fillId="4" borderId="2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4" fillId="4" borderId="20" applyAlignment="1" pivotButton="0" quotePrefix="0" xfId="0">
      <alignment horizontal="center" vertical="center"/>
    </xf>
    <xf numFmtId="0" fontId="4" fillId="7" borderId="20" applyAlignment="1" pivotButton="0" quotePrefix="0" xfId="0">
      <alignment horizontal="center" vertical="center"/>
    </xf>
    <xf numFmtId="165" fontId="4" fillId="7" borderId="21" applyAlignment="1" pivotButton="0" quotePrefix="0" xfId="0">
      <alignment horizontal="center" vertical="center"/>
    </xf>
    <xf numFmtId="165" fontId="4" fillId="7" borderId="1" applyAlignment="1" pivotButton="0" quotePrefix="0" xfId="0">
      <alignment horizontal="center" vertical="center"/>
    </xf>
    <xf numFmtId="165" fontId="4" fillId="7" borderId="20" applyAlignment="1" pivotButton="0" quotePrefix="0" xfId="0">
      <alignment horizontal="center" vertical="center"/>
    </xf>
    <xf numFmtId="0" fontId="2" fillId="5" borderId="37" applyAlignment="1" pivotButton="0" quotePrefix="0" xfId="0">
      <alignment horizontal="left" vertical="center" indent="1"/>
    </xf>
    <xf numFmtId="0" fontId="2" fillId="5" borderId="38" applyAlignment="1" pivotButton="0" quotePrefix="0" xfId="0">
      <alignment horizontal="left" vertical="center" indent="1"/>
    </xf>
    <xf numFmtId="0" fontId="2" fillId="6" borderId="36" applyAlignment="1" pivotButton="0" quotePrefix="0" xfId="0">
      <alignment horizontal="left" vertical="center" indent="1"/>
    </xf>
    <xf numFmtId="0" fontId="2" fillId="3" borderId="39" applyAlignment="1" pivotButton="0" quotePrefix="0" xfId="0">
      <alignment horizontal="left" vertical="center" indent="1"/>
    </xf>
    <xf numFmtId="0" fontId="8" fillId="2" borderId="17" applyAlignment="1" pivotButton="0" quotePrefix="0" xfId="0">
      <alignment horizontal="center" vertical="center"/>
    </xf>
    <xf numFmtId="0" fontId="8" fillId="2" borderId="18" applyAlignment="1" pivotButton="0" quotePrefix="0" xfId="0">
      <alignment horizontal="center" vertical="center"/>
    </xf>
    <xf numFmtId="0" fontId="8" fillId="6" borderId="19" applyAlignment="1" pivotButton="0" quotePrefix="0" xfId="0">
      <alignment horizontal="center" vertical="center"/>
    </xf>
    <xf numFmtId="0" fontId="8" fillId="6" borderId="17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165" fontId="4" fillId="4" borderId="2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4" fillId="7" borderId="20" applyAlignment="1" pivotButton="0" quotePrefix="0" xfId="0">
      <alignment horizontal="center" vertical="center"/>
    </xf>
    <xf numFmtId="165" fontId="4" fillId="7" borderId="21" applyAlignment="1" pivotButton="0" quotePrefix="0" xfId="0">
      <alignment horizontal="center" vertical="center"/>
    </xf>
    <xf numFmtId="165" fontId="4" fillId="7" borderId="1" applyAlignment="1" pivotButton="0" quotePrefix="0" xfId="0">
      <alignment horizontal="center" vertical="center"/>
    </xf>
    <xf numFmtId="0" fontId="8" fillId="2" borderId="18" applyAlignment="1" pivotButton="0" quotePrefix="0" xfId="0">
      <alignment horizontal="center" vertical="center"/>
    </xf>
    <xf numFmtId="0" fontId="8" fillId="6" borderId="19" applyAlignment="1" pivotButton="0" quotePrefix="0" xfId="0">
      <alignment horizontal="center" vertical="center"/>
    </xf>
    <xf numFmtId="0" fontId="8" fillId="6" borderId="18" applyAlignment="1" pivotButton="0" quotePrefix="0" xfId="0">
      <alignment horizontal="center" vertical="center"/>
    </xf>
    <xf numFmtId="0" fontId="8" fillId="9" borderId="19" applyAlignment="1" pivotButton="0" quotePrefix="0" xfId="0">
      <alignment horizontal="center" vertical="center"/>
    </xf>
    <xf numFmtId="0" fontId="8" fillId="9" borderId="18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8" applyAlignment="1" pivotButton="0" quotePrefix="0" xfId="0">
      <alignment horizontal="center" vertical="center"/>
    </xf>
    <xf numFmtId="0" fontId="8" fillId="5" borderId="19" applyAlignment="1" pivotButton="0" quotePrefix="0" xfId="0">
      <alignment horizontal="center" vertical="center"/>
    </xf>
    <xf numFmtId="0" fontId="8" fillId="5" borderId="17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165" fontId="4" fillId="4" borderId="21" applyAlignment="1" pivotButton="0" quotePrefix="0" xfId="0">
      <alignment horizontal="center" vertical="center"/>
    </xf>
    <xf numFmtId="165" fontId="4" fillId="4" borderId="20" applyAlignment="1" pivotButton="0" quotePrefix="0" xfId="0">
      <alignment horizontal="center" vertical="center"/>
    </xf>
    <xf numFmtId="0" fontId="4" fillId="4" borderId="2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0" fontId="4" fillId="7" borderId="20" applyAlignment="1" pivotButton="0" quotePrefix="0" xfId="0">
      <alignment horizontal="center" vertical="center"/>
    </xf>
    <xf numFmtId="165" fontId="4" fillId="7" borderId="21" applyAlignment="1" pivotButton="0" quotePrefix="0" xfId="0">
      <alignment horizontal="center" vertical="center"/>
    </xf>
    <xf numFmtId="165" fontId="4" fillId="7" borderId="20" applyAlignment="1" pivotButton="0" quotePrefix="0" xfId="0">
      <alignment horizontal="center" vertical="center"/>
    </xf>
    <xf numFmtId="0" fontId="4" fillId="7" borderId="21" applyAlignment="1" pivotButton="0" quotePrefix="0" xfId="0">
      <alignment horizontal="center" vertical="center"/>
    </xf>
    <xf numFmtId="165" fontId="4" fillId="7" borderId="1" applyAlignment="1" pivotButton="0" quotePrefix="0" xfId="0">
      <alignment horizontal="center" vertical="center"/>
    </xf>
    <xf numFmtId="0" fontId="8" fillId="2" borderId="17" applyAlignment="1" pivotButton="0" quotePrefix="0" xfId="0">
      <alignment horizontal="center" vertical="center"/>
    </xf>
    <xf numFmtId="0" fontId="8" fillId="2" borderId="18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8" fillId="3" borderId="18" applyAlignment="1" pivotButton="0" quotePrefix="0" xfId="0">
      <alignment horizontal="center" vertical="center"/>
    </xf>
    <xf numFmtId="0" fontId="8" fillId="5" borderId="19" applyAlignment="1" pivotButton="0" quotePrefix="0" xfId="0">
      <alignment horizontal="center" vertical="center"/>
    </xf>
    <xf numFmtId="0" fontId="8" fillId="5" borderId="17" applyAlignment="1" pivotButton="0" quotePrefix="0" xfId="0">
      <alignment horizontal="center" vertical="center"/>
    </xf>
    <xf numFmtId="0" fontId="8" fillId="5" borderId="18" applyAlignment="1" pivotButton="0" quotePrefix="0" xfId="0">
      <alignment horizontal="center" vertical="center"/>
    </xf>
    <xf numFmtId="0" fontId="8" fillId="6" borderId="19" applyAlignment="1" pivotButton="0" quotePrefix="0" xfId="0">
      <alignment horizontal="center" vertical="center"/>
    </xf>
    <xf numFmtId="0" fontId="8" fillId="6" borderId="18" applyAlignment="1" pivotButton="0" quotePrefix="0" xfId="0">
      <alignment horizontal="center" vertical="center"/>
    </xf>
    <xf numFmtId="0" fontId="8" fillId="8" borderId="19" applyAlignment="1" pivotButton="0" quotePrefix="0" xfId="0">
      <alignment horizontal="center" vertical="center"/>
    </xf>
    <xf numFmtId="0" fontId="8" fillId="8" borderId="17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165" fontId="4" fillId="4" borderId="2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4" fillId="4" borderId="20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4" fillId="7" borderId="20" applyAlignment="1" pivotButton="0" quotePrefix="0" xfId="0">
      <alignment horizontal="center" vertical="center"/>
    </xf>
    <xf numFmtId="165" fontId="4" fillId="7" borderId="21" applyAlignment="1" pivotButton="0" quotePrefix="0" xfId="0">
      <alignment horizontal="center" vertical="center"/>
    </xf>
    <xf numFmtId="165" fontId="4" fillId="7" borderId="1" applyAlignment="1" pivotButton="0" quotePrefix="0" xfId="0">
      <alignment horizontal="center" vertical="center"/>
    </xf>
    <xf numFmtId="165" fontId="4" fillId="7" borderId="20" applyAlignment="1" pivotButton="0" quotePrefix="0" xfId="0">
      <alignment horizontal="center" vertical="center"/>
    </xf>
    <xf numFmtId="0" fontId="8" fillId="2" borderId="17" applyAlignment="1" pivotButton="0" quotePrefix="0" xfId="0">
      <alignment horizontal="center" vertical="center"/>
    </xf>
    <xf numFmtId="0" fontId="8" fillId="2" borderId="18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8" fillId="3" borderId="18" applyAlignment="1" pivotButton="0" quotePrefix="0" xfId="0">
      <alignment horizontal="center" vertical="center"/>
    </xf>
    <xf numFmtId="0" fontId="8" fillId="5" borderId="19" applyAlignment="1" pivotButton="0" quotePrefix="0" xfId="0">
      <alignment horizontal="center" vertical="center"/>
    </xf>
    <xf numFmtId="0" fontId="8" fillId="5" borderId="17" applyAlignment="1" pivotButton="0" quotePrefix="0" xfId="0">
      <alignment horizontal="center" vertical="center"/>
    </xf>
    <xf numFmtId="0" fontId="8" fillId="5" borderId="18" applyAlignment="1" pivotButton="0" quotePrefix="0" xfId="0">
      <alignment horizontal="center" vertical="center"/>
    </xf>
    <xf numFmtId="0" fontId="8" fillId="6" borderId="19" applyAlignment="1" pivotButton="0" quotePrefix="0" xfId="0">
      <alignment horizontal="center" vertical="center"/>
    </xf>
    <xf numFmtId="0" fontId="8" fillId="6" borderId="18" applyAlignment="1" pivotButton="0" quotePrefix="0" xfId="0">
      <alignment horizontal="center" vertical="center"/>
    </xf>
    <xf numFmtId="0" fontId="8" fillId="8" borderId="19" applyAlignment="1" pivotButton="0" quotePrefix="0" xfId="0">
      <alignment horizontal="center" vertical="center"/>
    </xf>
    <xf numFmtId="0" fontId="8" fillId="8" borderId="17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165" fontId="4" fillId="4" borderId="2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4" fillId="4" borderId="20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4" fillId="7" borderId="20" applyAlignment="1" pivotButton="0" quotePrefix="0" xfId="0">
      <alignment horizontal="center" vertical="center"/>
    </xf>
    <xf numFmtId="165" fontId="4" fillId="7" borderId="21" applyAlignment="1" pivotButton="0" quotePrefix="0" xfId="0">
      <alignment horizontal="center" vertical="center"/>
    </xf>
    <xf numFmtId="165" fontId="4" fillId="7" borderId="1" applyAlignment="1" pivotButton="0" quotePrefix="0" xfId="0">
      <alignment horizontal="center" vertical="center"/>
    </xf>
    <xf numFmtId="165" fontId="4" fillId="7" borderId="20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166" fontId="4" fillId="4" borderId="1" applyAlignment="1" applyProtection="1" pivotButton="0" quotePrefix="0" xfId="0">
      <alignment horizontal="left" vertical="center" indent="1"/>
      <protection locked="0" hidden="0"/>
    </xf>
    <xf numFmtId="0" fontId="0" fillId="0" borderId="24" applyProtection="1" pivotButton="0" quotePrefix="0" xfId="0">
      <protection locked="0" hidden="0"/>
    </xf>
    <xf numFmtId="0" fontId="0" fillId="0" borderId="25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indent="1"/>
      <protection locked="0" hidden="0"/>
    </xf>
    <xf numFmtId="2" fontId="4" fillId="4" borderId="1" applyAlignment="1" applyProtection="1" pivotButton="0" quotePrefix="0" xfId="0">
      <alignment horizontal="right" vertical="center" indent="1"/>
      <protection locked="0" hidden="0"/>
    </xf>
    <xf numFmtId="3" fontId="4" fillId="4" borderId="1" applyAlignment="1" applyProtection="1" pivotButton="0" quotePrefix="0" xfId="0">
      <alignment horizontal="right" vertical="center" indent="1"/>
      <protection locked="0" hidden="0"/>
    </xf>
    <xf numFmtId="1" fontId="4" fillId="4" borderId="1" applyAlignment="1" applyProtection="1" pivotButton="0" quotePrefix="0" xfId="0">
      <alignment horizontal="right" vertical="center" indent="1"/>
      <protection locked="0" hidden="0"/>
    </xf>
    <xf numFmtId="0" fontId="5" fillId="12" borderId="1" applyAlignment="1" pivotButton="0" quotePrefix="0" xfId="0">
      <alignment horizontal="left" vertical="center" indent="1"/>
    </xf>
    <xf numFmtId="0" fontId="0" fillId="12" borderId="25" pivotButton="0" quotePrefix="0" xfId="0"/>
    <xf numFmtId="0" fontId="4" fillId="4" borderId="1" applyAlignment="1" applyProtection="1" pivotButton="0" quotePrefix="0" xfId="0">
      <alignment horizontal="left" vertical="top" wrapText="1" indent="1"/>
      <protection locked="0" hidden="0"/>
    </xf>
    <xf numFmtId="0" fontId="0" fillId="0" borderId="22" applyProtection="1" pivotButton="0" quotePrefix="0" xfId="0">
      <protection locked="0" hidden="0"/>
    </xf>
    <xf numFmtId="0" fontId="0" fillId="0" borderId="23" applyProtection="1" pivotButton="0" quotePrefix="0" xfId="0">
      <protection locked="0" hidden="0"/>
    </xf>
    <xf numFmtId="0" fontId="0" fillId="0" borderId="28" applyProtection="1" pivotButton="0" quotePrefix="0" xfId="0">
      <protection locked="0" hidden="0"/>
    </xf>
    <xf numFmtId="0" fontId="0" fillId="0" borderId="29" applyProtection="1" pivotButton="0" quotePrefix="0" xfId="0">
      <protection locked="0" hidden="0"/>
    </xf>
    <xf numFmtId="0" fontId="0" fillId="0" borderId="30" applyProtection="1" pivotButton="0" quotePrefix="0" xfId="0">
      <protection locked="0" hidden="0"/>
    </xf>
    <xf numFmtId="166" fontId="4" fillId="4" borderId="1" applyAlignment="1" pivotButton="0" quotePrefix="0" xfId="0">
      <alignment horizontal="center" vertical="center"/>
    </xf>
    <xf numFmtId="166" fontId="4" fillId="7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9" fillId="0" borderId="40" pivotButton="0" quotePrefix="0" xfId="0"/>
    <xf numFmtId="166" fontId="4" fillId="4" borderId="1" applyAlignment="1" applyProtection="1" pivotButton="0" quotePrefix="0" xfId="0">
      <alignment horizontal="left" vertical="center" indent="1"/>
      <protection locked="0" hidden="0"/>
    </xf>
    <xf numFmtId="166" fontId="4" fillId="4" borderId="1" applyAlignment="1" pivotButton="0" quotePrefix="0" xfId="0">
      <alignment horizontal="center" vertical="center"/>
    </xf>
    <xf numFmtId="166" fontId="4" fillId="7" borderId="1" applyAlignment="1" pivotButton="0" quotePrefix="0" xfId="0">
      <alignment horizontal="center" vertical="center"/>
    </xf>
    <xf numFmtId="167" fontId="4" fillId="12" borderId="1" applyAlignment="1" pivotButton="0" quotePrefix="0" xfId="0">
      <alignment horizontal="right" vertical="center" indent="1"/>
    </xf>
    <xf numFmtId="0" fontId="4" fillId="4" borderId="6" applyAlignment="1" applyProtection="1" pivotButton="0" quotePrefix="0" xfId="0">
      <alignment horizontal="left" vertical="top" wrapText="1" indent="1"/>
      <protection locked="0" hidden="0"/>
    </xf>
    <xf numFmtId="0" fontId="4" fillId="4" borderId="7" applyAlignment="1" applyProtection="1" pivotButton="0" quotePrefix="0" xfId="0">
      <alignment horizontal="left" vertical="top" wrapText="1" indent="1"/>
      <protection locked="0" hidden="0"/>
    </xf>
    <xf numFmtId="0" fontId="4" fillId="4" borderId="8" applyAlignment="1" applyProtection="1" pivotButton="0" quotePrefix="0" xfId="0">
      <alignment horizontal="left" vertical="top" wrapText="1" indent="1"/>
      <protection locked="0" hidden="0"/>
    </xf>
    <xf numFmtId="0" fontId="4" fillId="4" borderId="41" applyAlignment="1" applyProtection="1" pivotButton="0" quotePrefix="0" xfId="0">
      <alignment horizontal="left" vertical="top" wrapText="1" indent="1"/>
      <protection locked="0" hidden="0"/>
    </xf>
    <xf numFmtId="0" fontId="4" fillId="4" borderId="40" applyAlignment="1" applyProtection="1" pivotButton="0" quotePrefix="0" xfId="0">
      <alignment horizontal="left" vertical="top" wrapText="1" indent="1"/>
      <protection locked="0" hidden="0"/>
    </xf>
    <xf numFmtId="0" fontId="4" fillId="4" borderId="42" applyAlignment="1" applyProtection="1" pivotButton="0" quotePrefix="0" xfId="0">
      <alignment horizontal="left" vertical="top" wrapText="1" indent="1"/>
      <protection locked="0" hidden="0"/>
    </xf>
    <xf numFmtId="0" fontId="4" fillId="4" borderId="9" applyAlignment="1" applyProtection="1" pivotButton="0" quotePrefix="0" xfId="0">
      <alignment horizontal="left" vertical="top" wrapText="1" indent="1"/>
      <protection locked="0" hidden="0"/>
    </xf>
    <xf numFmtId="0" fontId="4" fillId="4" borderId="10" applyAlignment="1" applyProtection="1" pivotButton="0" quotePrefix="0" xfId="0">
      <alignment horizontal="left" vertical="top" wrapText="1" indent="1"/>
      <protection locked="0" hidden="0"/>
    </xf>
    <xf numFmtId="0" fontId="4" fillId="4" borderId="11" applyAlignment="1" applyProtection="1" pivotButton="0" quotePrefix="0" xfId="0">
      <alignment horizontal="left" vertical="top" wrapText="1" indent="1"/>
      <protection locked="0" hidden="0"/>
    </xf>
    <xf numFmtId="0" fontId="0" fillId="0" borderId="26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27" applyProtection="1" pivotButton="0" quotePrefix="0" xfId="0">
      <protection locked="0" hidden="0"/>
    </xf>
    <xf numFmtId="168" fontId="4" fillId="4" borderId="1" applyAlignment="1" applyProtection="1" pivotButton="0" quotePrefix="0" xfId="0">
      <alignment horizontal="right" vertical="center" indent="1"/>
      <protection locked="0" hidden="0"/>
    </xf>
    <xf numFmtId="167" fontId="4" fillId="4" borderId="1" applyAlignment="1" applyProtection="1" pivotButton="0" quotePrefix="0" xfId="0">
      <alignment horizontal="right" vertical="center" indent="1"/>
      <protection locked="0" hidden="0"/>
    </xf>
    <xf numFmtId="0" fontId="8" fillId="13" borderId="19" applyAlignment="1" pivotButton="0" quotePrefix="0" xfId="0">
      <alignment horizontal="center" vertical="center"/>
    </xf>
    <xf numFmtId="0" fontId="8" fillId="13" borderId="17" applyAlignment="1" pivotButton="0" quotePrefix="0" xfId="0">
      <alignment horizontal="center" vertical="center"/>
    </xf>
    <xf numFmtId="165" fontId="4" fillId="11" borderId="21" applyAlignment="1" pivotButton="0" quotePrefix="0" xfId="0">
      <alignment horizontal="center" vertical="center"/>
    </xf>
    <xf numFmtId="165" fontId="4" fillId="11" borderId="1" applyAlignment="1" pivotButton="0" quotePrefix="0" xfId="0">
      <alignment horizontal="center" vertical="center"/>
    </xf>
    <xf numFmtId="165" fontId="4" fillId="14" borderId="21" applyAlignment="1" pivotButton="0" quotePrefix="0" xfId="0">
      <alignment horizontal="center" vertical="center"/>
    </xf>
    <xf numFmtId="165" fontId="4" fillId="14" borderId="1" applyAlignment="1" pivotButton="0" quotePrefix="0" xfId="0">
      <alignment horizontal="center" vertical="center"/>
    </xf>
    <xf numFmtId="0" fontId="1" fillId="15" borderId="0" applyAlignment="1" pivotButton="0" quotePrefix="0" xfId="0">
      <alignment horizontal="left" vertical="center" indent="1"/>
    </xf>
    <xf numFmtId="0" fontId="8" fillId="15" borderId="17" applyAlignment="1" pivotButton="0" quotePrefix="0" xfId="0">
      <alignment horizontal="center" vertical="center"/>
    </xf>
    <xf numFmtId="0" fontId="8" fillId="15" borderId="18" applyAlignment="1" pivotButton="0" quotePrefix="0" xfId="0">
      <alignment horizontal="center" vertical="center"/>
    </xf>
    <xf numFmtId="0" fontId="8" fillId="16" borderId="19" applyAlignment="1" pivotButton="0" quotePrefix="0" xfId="0">
      <alignment horizontal="center" vertical="center"/>
    </xf>
    <xf numFmtId="0" fontId="8" fillId="16" borderId="18" applyAlignment="1" pivotButton="0" quotePrefix="0" xfId="0">
      <alignment horizontal="center" vertical="center"/>
    </xf>
    <xf numFmtId="0" fontId="8" fillId="13" borderId="18" applyAlignment="1" pivotButton="0" quotePrefix="0" xfId="0">
      <alignment horizontal="center" vertical="center"/>
    </xf>
    <xf numFmtId="0" fontId="8" fillId="10" borderId="19" applyAlignment="1" pivotButton="0" quotePrefix="0" xfId="0">
      <alignment horizontal="center" vertical="center"/>
    </xf>
    <xf numFmtId="0" fontId="8" fillId="10" borderId="17" applyAlignment="1" pivotButton="0" quotePrefix="0" xfId="0">
      <alignment horizontal="center" vertical="center"/>
    </xf>
    <xf numFmtId="166" fontId="4" fillId="11" borderId="1" applyAlignment="1" pivotButton="0" quotePrefix="0" xfId="0">
      <alignment horizontal="center" vertical="center"/>
    </xf>
    <xf numFmtId="0" fontId="4" fillId="11" borderId="20" applyAlignment="1" pivotButton="0" quotePrefix="0" xfId="0">
      <alignment horizontal="center" vertical="center"/>
    </xf>
    <xf numFmtId="165" fontId="4" fillId="11" borderId="20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166" fontId="4" fillId="14" borderId="1" applyAlignment="1" pivotButton="0" quotePrefix="0" xfId="0">
      <alignment horizontal="center" vertical="center"/>
    </xf>
    <xf numFmtId="0" fontId="4" fillId="14" borderId="20" applyAlignment="1" pivotButton="0" quotePrefix="0" xfId="0">
      <alignment horizontal="center" vertical="center"/>
    </xf>
    <xf numFmtId="165" fontId="4" fillId="14" borderId="20" applyAlignment="1" pivotButton="0" quotePrefix="0" xfId="0">
      <alignment horizontal="center" vertical="center"/>
    </xf>
    <xf numFmtId="169" fontId="4" fillId="4" borderId="21" applyAlignment="1" pivotButton="0" quotePrefix="0" xfId="0">
      <alignment horizontal="center" vertical="center"/>
    </xf>
    <xf numFmtId="169" fontId="4" fillId="4" borderId="20" applyAlignment="1" pivotButton="0" quotePrefix="0" xfId="0">
      <alignment horizontal="center" vertical="center"/>
    </xf>
    <xf numFmtId="169" fontId="4" fillId="7" borderId="21" applyAlignment="1" pivotButton="0" quotePrefix="0" xfId="0">
      <alignment horizontal="center" vertical="center"/>
    </xf>
    <xf numFmtId="169" fontId="4" fillId="7" borderId="2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55B78"/>
    <outlinePr summaryBelow="1" summaryRight="1"/>
    <pageSetUpPr fitToPage="1"/>
  </sheetPr>
  <dimension ref="B1:L24"/>
  <sheetViews>
    <sheetView showGridLines="0" zoomScale="140" zoomScaleNormal="140" workbookViewId="0">
      <selection activeCell="A1" sqref="A1"/>
    </sheetView>
  </sheetViews>
  <sheetFormatPr baseColWidth="8" defaultRowHeight="15"/>
  <cols>
    <col width="2.5" customWidth="1" min="1" max="1"/>
    <col width="11" customWidth="1" min="2" max="2"/>
    <col width="11" customWidth="1" min="3" max="3"/>
    <col width="11" customWidth="1" min="4" max="4"/>
    <col width="11" customWidth="1" min="5" max="5"/>
    <col width="3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1" customHeight="1">
      <c r="B1" s="1" t="inlineStr">
        <is>
          <t>CRYPTO JOURNAL • ВВОД</t>
        </is>
      </c>
      <c r="K1" s="207" t="n"/>
      <c r="L1" s="207" t="n"/>
    </row>
    <row r="2" ht="21" customHeight="1">
      <c r="K2" s="207" t="n"/>
      <c r="L2" s="207" t="n"/>
    </row>
    <row r="3" ht="22" customHeight="1">
      <c r="B3" s="2" t="inlineStr">
        <is>
          <t>ОСНОВНЫЕ ДАННЫЕ</t>
        </is>
      </c>
      <c r="G3" s="2" t="inlineStr">
        <is>
          <t>РАЗДЕЛЫ</t>
        </is>
      </c>
      <c r="K3" s="207" t="n"/>
      <c r="L3" s="207" t="n"/>
    </row>
    <row r="4" ht="22" customHeight="1">
      <c r="G4" s="207" t="n"/>
      <c r="H4" s="207" t="n"/>
      <c r="I4" s="207" t="n"/>
      <c r="J4" s="207" t="n"/>
      <c r="K4" s="207" t="n"/>
      <c r="L4" s="207" t="n"/>
    </row>
    <row r="5" ht="22" customHeight="1">
      <c r="B5" s="3" t="inlineStr">
        <is>
          <t>Дата</t>
        </is>
      </c>
      <c r="G5" s="100" t="inlineStr">
        <is>
          <t>ТОРГОВЛЯ</t>
        </is>
      </c>
      <c r="H5" s="55" t="n"/>
      <c r="I5" s="101" t="inlineStr">
        <is>
          <t>ЛЭНДИНГ</t>
        </is>
      </c>
      <c r="J5" s="55" t="n"/>
      <c r="K5" s="207" t="n"/>
      <c r="L5" s="207" t="n"/>
    </row>
    <row r="6" ht="22" customHeight="1">
      <c r="B6" s="208" t="n">
        <v>46299</v>
      </c>
      <c r="C6" s="189" t="n"/>
      <c r="D6" s="189" t="n"/>
      <c r="E6" s="190" t="n"/>
      <c r="G6" s="3" t="inlineStr">
        <is>
          <t>Действие</t>
        </is>
      </c>
      <c r="H6" s="191" t="inlineStr">
        <is>
          <t>Buy</t>
        </is>
      </c>
      <c r="I6" s="9" t="inlineStr">
        <is>
          <t>Действие</t>
        </is>
      </c>
      <c r="J6" s="191" t="inlineStr">
        <is>
          <t>Операция</t>
        </is>
      </c>
      <c r="K6" s="207" t="n"/>
      <c r="L6" s="207" t="n"/>
    </row>
    <row r="7" ht="22" customHeight="1">
      <c r="G7" s="3" t="inlineStr">
        <is>
          <t>Количество</t>
        </is>
      </c>
      <c r="H7" s="225" t="n">
        <v>0.5</v>
      </c>
      <c r="I7" s="9" t="inlineStr">
        <is>
          <t>Количество</t>
        </is>
      </c>
      <c r="J7" s="193" t="n">
        <v>1000</v>
      </c>
      <c r="K7" s="207" t="n"/>
      <c r="L7" s="207" t="n"/>
    </row>
    <row r="8" ht="22" customHeight="1">
      <c r="B8" s="3" t="inlineStr">
        <is>
          <t>Актив 1</t>
        </is>
      </c>
      <c r="C8" s="14" t="inlineStr">
        <is>
          <t>Актив 2</t>
        </is>
      </c>
      <c r="D8" s="61" t="inlineStr">
        <is>
          <t>Пара (авто)</t>
        </is>
      </c>
      <c r="G8" s="3" t="inlineStr">
        <is>
          <t>Курс</t>
        </is>
      </c>
      <c r="H8" s="225" t="n">
        <v>62000</v>
      </c>
      <c r="I8" s="9" t="inlineStr">
        <is>
          <t>Курс</t>
        </is>
      </c>
      <c r="J8" s="192" t="n">
        <v>1</v>
      </c>
      <c r="K8" s="207" t="n"/>
      <c r="L8" s="207" t="n"/>
    </row>
    <row r="9" ht="22" customHeight="1">
      <c r="B9" s="191" t="inlineStr">
        <is>
          <t>ETH</t>
        </is>
      </c>
      <c r="C9" s="191" t="inlineStr">
        <is>
          <t>BTC</t>
        </is>
      </c>
      <c r="D9" s="195">
        <f>IF(AND(TRIM(B9)&lt;&gt;"",TRIM(C9)&lt;&gt;""),UPPER(TRIM(B9))&amp;"/"&amp;UPPER(TRIM(C9)),"")</f>
        <v/>
      </c>
      <c r="E9" s="57" t="n"/>
      <c r="G9" s="3" t="inlineStr">
        <is>
          <t>Сумма (авто)</t>
        </is>
      </c>
      <c r="H9" s="211">
        <f>IF(AND(ISNUMBER(H7),ISNUMBER(H8)),H7*H8*(1-N(J19)/100),"")</f>
        <v/>
      </c>
      <c r="I9" s="9" t="inlineStr">
        <is>
          <t>Сумма</t>
        </is>
      </c>
      <c r="J9" s="193" t="n">
        <v>1000</v>
      </c>
      <c r="K9" s="207" t="n"/>
      <c r="L9" s="207" t="n"/>
    </row>
    <row r="10" ht="22" customHeight="1">
      <c r="B10" s="207" t="n"/>
      <c r="C10" s="207" t="n"/>
      <c r="D10" s="207" t="n"/>
      <c r="E10" s="207" t="n"/>
      <c r="G10" s="3" t="inlineStr">
        <is>
          <t>ID закрыть</t>
        </is>
      </c>
      <c r="H10" s="194" t="inlineStr">
        <is>
          <t>T-0001</t>
        </is>
      </c>
      <c r="I10" s="9" t="inlineStr">
        <is>
          <t>ID закрыть</t>
        </is>
      </c>
      <c r="J10" s="194" t="inlineStr">
        <is>
          <t>L-0001</t>
        </is>
      </c>
      <c r="K10" s="207" t="n"/>
      <c r="L10" s="207" t="n"/>
    </row>
    <row r="11" ht="22" customHeight="1">
      <c r="B11" s="3" t="inlineStr">
        <is>
          <t>Протокол</t>
        </is>
      </c>
      <c r="G11" s="3" t="inlineStr">
        <is>
          <t>Сумма закрыть</t>
        </is>
      </c>
      <c r="H11" s="193" t="n">
        <v>15500</v>
      </c>
      <c r="I11" s="9" t="inlineStr">
        <is>
          <t>Сумма закрыть</t>
        </is>
      </c>
      <c r="J11" s="193" t="n">
        <v>500</v>
      </c>
      <c r="K11" s="207" t="n"/>
      <c r="L11" s="207" t="n"/>
    </row>
    <row r="12" ht="22" customHeight="1">
      <c r="B12" s="191" t="inlineStr">
        <is>
          <t>Binance</t>
        </is>
      </c>
      <c r="C12" s="189" t="n"/>
      <c r="D12" s="189" t="n"/>
      <c r="E12" s="190" t="n"/>
      <c r="G12" s="207" t="n"/>
      <c r="H12" s="207" t="n"/>
      <c r="I12" s="207" t="n"/>
      <c r="J12" s="207" t="n"/>
      <c r="K12" s="207" t="n"/>
      <c r="L12" s="207" t="n"/>
    </row>
    <row r="13" ht="22" customHeight="1">
      <c r="B13" s="207" t="n"/>
      <c r="C13" s="207" t="n"/>
      <c r="D13" s="207" t="n"/>
      <c r="E13" s="207" t="n"/>
      <c r="G13" s="102" t="inlineStr">
        <is>
          <t>ПУЛЫ</t>
        </is>
      </c>
      <c r="H13" s="63" t="n"/>
      <c r="I13" s="63" t="n"/>
      <c r="J13" s="63" t="n"/>
      <c r="K13" s="207" t="n"/>
      <c r="L13" s="207" t="n"/>
    </row>
    <row r="14" ht="22" customHeight="1">
      <c r="B14" s="3" t="inlineStr">
        <is>
          <t>Комментарий</t>
        </is>
      </c>
      <c r="G14" s="3" t="inlineStr">
        <is>
          <t>Действие</t>
        </is>
      </c>
      <c r="H14" s="191" t="inlineStr">
        <is>
          <t>Добавить</t>
        </is>
      </c>
      <c r="I14" s="14" t="inlineStr">
        <is>
          <t>Кол-во 1</t>
        </is>
      </c>
      <c r="J14" s="192" t="n">
        <v>0.1</v>
      </c>
      <c r="K14" s="207" t="n"/>
      <c r="L14" s="207" t="n"/>
    </row>
    <row r="15" ht="22" customHeight="1">
      <c r="B15" s="197" t="inlineStr">
        <is>
          <t>Пробная операция</t>
        </is>
      </c>
      <c r="C15" s="198" t="n"/>
      <c r="D15" s="198" t="n"/>
      <c r="E15" s="199" t="n"/>
      <c r="G15" s="3" t="inlineStr">
        <is>
          <t>ID позиции</t>
        </is>
      </c>
      <c r="H15" s="194" t="inlineStr">
        <is>
          <t>Новый</t>
        </is>
      </c>
      <c r="I15" s="14" t="inlineStr">
        <is>
          <t>Кол-во 2</t>
        </is>
      </c>
      <c r="J15" s="193" t="n">
        <v>6200</v>
      </c>
      <c r="K15" s="207" t="n"/>
      <c r="L15" s="207" t="n"/>
    </row>
    <row r="16" ht="22" customHeight="1">
      <c r="B16" s="221" t="n"/>
      <c r="C16" s="222" t="n"/>
      <c r="D16" s="222" t="n"/>
      <c r="E16" s="223" t="n"/>
      <c r="G16" s="207" t="n"/>
      <c r="H16" s="207" t="n"/>
      <c r="I16" s="207" t="n"/>
      <c r="J16" s="207" t="n"/>
      <c r="K16" s="207" t="n"/>
      <c r="L16" s="207" t="n"/>
    </row>
    <row r="17" ht="22" customHeight="1">
      <c r="B17" s="221" t="n"/>
      <c r="C17" s="222" t="n"/>
      <c r="D17" s="222" t="n"/>
      <c r="E17" s="223" t="n"/>
      <c r="G17" s="103" t="inlineStr">
        <is>
          <t>Обратный расчёт</t>
        </is>
      </c>
      <c r="H17" s="64" t="n"/>
      <c r="I17" s="64" t="n"/>
      <c r="J17" s="64" t="n"/>
      <c r="K17" s="207" t="n"/>
      <c r="L17" s="207" t="n"/>
    </row>
    <row r="18" ht="22" customHeight="1">
      <c r="B18" s="221" t="n"/>
      <c r="C18" s="222" t="n"/>
      <c r="D18" s="222" t="n"/>
      <c r="E18" s="223" t="n"/>
      <c r="G18" s="3" t="inlineStr">
        <is>
          <t>Сумма</t>
        </is>
      </c>
      <c r="H18" s="61" t="inlineStr">
        <is>
          <t>Курс (авто)</t>
        </is>
      </c>
      <c r="I18" s="61" t="inlineStr">
        <is>
          <t>Сумма (авто)</t>
        </is>
      </c>
      <c r="J18" s="61" t="inlineStr">
        <is>
          <t>Комиссия</t>
        </is>
      </c>
      <c r="K18" s="207" t="n"/>
      <c r="L18" s="207" t="n"/>
    </row>
    <row r="19" ht="22" customHeight="1">
      <c r="B19" s="200" t="n"/>
      <c r="C19" s="201" t="n"/>
      <c r="D19" s="201" t="n"/>
      <c r="E19" s="202" t="n"/>
      <c r="G19" s="193" t="n">
        <v>31000</v>
      </c>
      <c r="H19" s="59" t="n">
        <v>62000</v>
      </c>
      <c r="I19" s="59" t="n">
        <v>31000</v>
      </c>
      <c r="J19" s="224" t="n">
        <v>0.2</v>
      </c>
      <c r="K19" s="207" t="n"/>
      <c r="L19" s="207" t="n"/>
    </row>
    <row r="20" ht="22" customHeight="1">
      <c r="G20" s="207" t="n"/>
      <c r="H20" s="207" t="n"/>
      <c r="I20" s="207" t="n"/>
      <c r="J20" s="207" t="n"/>
      <c r="K20" s="207" t="n"/>
      <c r="L20" s="207" t="n"/>
    </row>
    <row r="21" ht="26" customHeight="1">
      <c r="B21" s="3" t="inlineStr">
        <is>
          <t>СТАТУС</t>
        </is>
      </c>
      <c r="G21" s="26" t="inlineStr">
        <is>
          <t>ЗАПИСАТЬ</t>
        </is>
      </c>
      <c r="I21" s="71" t="inlineStr">
        <is>
          <t>ОЧИСТИТЬ</t>
        </is>
      </c>
      <c r="K21" s="207" t="n"/>
      <c r="L21" s="207" t="n"/>
    </row>
    <row r="22" ht="26" customHeight="1">
      <c r="B22" s="15" t="inlineStr">
        <is>
          <t>Готово к вводу</t>
        </is>
      </c>
      <c r="C22" s="56" t="n"/>
      <c r="D22" s="56" t="n"/>
      <c r="E22" s="57" t="n"/>
      <c r="I22" s="72" t="n"/>
      <c r="K22" s="207" t="n"/>
      <c r="L22" s="207" t="n"/>
    </row>
    <row r="23" ht="22" customHeight="1"/>
    <row r="24" ht="22" customHeight="1">
      <c r="B24" s="29" t="inlineStr">
        <is>
          <t>Прототип v7: списки, проверки и автоматические поля (Пара, Сумма торговли); Пулы: Добавить/Закрыть, ID «Новый» по умолчанию. Макросов и рабочих кнопок нет.</t>
        </is>
      </c>
    </row>
    <row r="25" ht="22" customHeight="1"/>
    <row r="26" ht="22" customHeight="1"/>
    <row r="27" ht="22" customHeight="1"/>
    <row r="28" ht="22" customHeight="1"/>
    <row r="29" ht="22" customHeight="1"/>
    <row r="30" ht="22" customHeight="1"/>
    <row r="31" ht="22" customHeight="1"/>
    <row r="32" ht="22" customHeight="1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9">
    <mergeCell ref="I21:J22"/>
    <mergeCell ref="B6:E6"/>
    <mergeCell ref="B5:E5"/>
    <mergeCell ref="B15:E19"/>
    <mergeCell ref="B3:E3"/>
    <mergeCell ref="B22:E22"/>
    <mergeCell ref="G21:H22"/>
    <mergeCell ref="G17:J17"/>
    <mergeCell ref="B12:E12"/>
    <mergeCell ref="B21:E21"/>
    <mergeCell ref="G5:H5"/>
    <mergeCell ref="I5:J5"/>
    <mergeCell ref="B11:E11"/>
    <mergeCell ref="D9:E9"/>
    <mergeCell ref="B14:E14"/>
    <mergeCell ref="D8:E8"/>
    <mergeCell ref="G13:J13"/>
    <mergeCell ref="B1:J2"/>
    <mergeCell ref="G3:J3"/>
  </mergeCells>
  <dataValidations count="11">
    <dataValidation sqref="H14" showDropDown="0" showInputMessage="0" showErrorMessage="1" allowBlank="1" errorTitle="Действие" error="Выберите из списка: Добавить или Закрыть." type="list">
      <formula1>"Добавить,Закрыть"</formula1>
    </dataValidation>
    <dataValidation sqref="B6" showDropDown="0" showInputMessage="0" showErrorMessage="1" allowBlank="1" errorTitle="Дата" error="Введите корректную дату (ГГГГ.ММ.ДД)." type="date" operator="greaterThan">
      <formula1>36526</formula1>
    </dataValidation>
    <dataValidation sqref="B12" showDropDown="0" showInputMessage="0" showErrorMessage="1" allowBlank="1" errorTitle="Протокол" error="Выберите значение из списка." type="list">
      <formula1>=Список_Протокол</formula1>
    </dataValidation>
    <dataValidation sqref="H6" showDropDown="0" showInputMessage="0" showErrorMessage="1" allowBlank="1" errorTitle="Действие" error="Выберите значение из списка." type="list">
      <formula1>=Список_Действие_Торговля</formula1>
    </dataValidation>
    <dataValidation sqref="B9" showDropDown="0" showInputMessage="0" showErrorMessage="1" allowBlank="1" errorTitle="Актив" error="Актив 1 и Актив 2 не могут совпадать, символ «/» в тикере не допускается." type="custom">
      <formula1>=AND(ISERROR(FIND("/",B9)),UPPER(TRIM(B9))&lt;&gt;UPPER(TRIM(C9)))</formula1>
    </dataValidation>
    <dataValidation sqref="C9" showDropDown="0" showInputMessage="0" showErrorMessage="1" allowBlank="1" errorTitle="Актив" error="Актив 1 и Актив 2 не могут совпадать, символ «/» в тикере не допускается." type="custom">
      <formula1>=AND(ISERROR(FIND("/",C9)),UPPER(TRIM(C9))&lt;&gt;UPPER(TRIM(B9)))</formula1>
    </dataValidation>
    <dataValidation sqref="J19" showDropDown="0" showInputMessage="0" showErrorMessage="1" allowBlank="1" errorTitle="Комиссия" error="Введите число от 0 до 100 (например, 0.2 — это 0,2%)." type="decimal" operator="between">
      <formula1>0</formula1>
      <formula2>100</formula2>
    </dataValidation>
    <dataValidation sqref="H7 H8" showDropDown="0" showInputMessage="0" showErrorMessage="1" allowBlank="1" errorTitle="Число" error="Введите число больше нуля." type="decimal" operator="greaterThan">
      <formula1>0</formula1>
    </dataValidation>
    <dataValidation sqref="H10" showDropDown="0" showInputMessage="0" showErrorMessage="1" allowBlank="1" errorTitle="ID закрыть" error="Формат ID: T-0001 (буква T, дефис и номер минимум из четырёх цифр)." type="custom">
      <formula1>=IFERROR(AND(EXACT(LEFT(H10,2),"T-"),ISNUMBER(--MID(H10,3,20)),MID(H10,3,20)=TEXT(--MID(H10,3,20),"0000")),FALSE)</formula1>
    </dataValidation>
    <dataValidation sqref="J10" showDropDown="0" showInputMessage="0" showErrorMessage="1" allowBlank="1" errorTitle="ID закрыть" error="Формат ID: L-0001 (буква L, дефис и номер минимум из четырёх цифр)." type="custom">
      <formula1>=IFERROR(AND(EXACT(LEFT(J10,2),"L-"),ISNUMBER(--MID(J10,3,20)),MID(J10,3,20)=TEXT(--MID(J10,3,20),"0000")),FALSE)</formula1>
    </dataValidation>
    <dataValidation sqref="H15" showDropDown="0" showInputMessage="1" showErrorMessage="1" allowBlank="1" errorTitle="ID позиции" error="Введите «Новый» или ID существующего пула в формате P-0001." promptTitle="ID позиции" prompt="«Новый» — ID присвоится автоматически. Чтобы добавить в существующий пул или закрыть его, введите его ID (P-0001)." type="custom">
      <formula1>=OR(H15="Новый",IFERROR(AND(EXACT(LEFT(H15,2),"P-"),ISNUMBER(--MID(H15,3,20)),MID(H15,3,20)=TEXT(--MID(H15,3,20),"0000")),FALSE))</formula1>
    </dataValidation>
  </dataValidation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tabColor rgb="005E9E72"/>
    <outlinePr summaryBelow="1" summaryRight="1"/>
    <pageSetUpPr fitToPage="1"/>
  </sheetPr>
  <dimension ref="B1:M16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5" customWidth="1" min="1" max="1"/>
    <col width="8" customWidth="1" min="2" max="2"/>
    <col width="13" customWidth="1" min="3" max="3"/>
    <col width="14" customWidth="1" min="4" max="4"/>
    <col width="14" customWidth="1" min="5" max="5"/>
    <col width="11" customWidth="1" min="6" max="6"/>
    <col width="13" customWidth="1" min="7" max="7"/>
    <col width="14" customWidth="1" min="8" max="8"/>
    <col width="11" customWidth="1" min="9" max="9"/>
    <col width="13" customWidth="1" min="10" max="10"/>
    <col width="14" customWidth="1" min="11" max="11"/>
    <col width="13" customWidth="1" min="12" max="12"/>
    <col width="13" customWidth="1" min="13" max="13"/>
  </cols>
  <sheetData>
    <row r="1" ht="21" customHeight="1">
      <c r="B1" s="1" t="inlineStr">
        <is>
          <t>CRYPTO JOURNAL • ТОРГОВЛЯ</t>
        </is>
      </c>
    </row>
    <row r="2" ht="21" customHeight="1"/>
    <row r="3" ht="10" customHeight="1"/>
    <row r="4" ht="28" customHeight="1">
      <c r="B4" s="161" t="inlineStr">
        <is>
          <t>ID</t>
        </is>
      </c>
      <c r="C4" s="161" t="inlineStr">
        <is>
          <t>Дата</t>
        </is>
      </c>
      <c r="D4" s="161" t="inlineStr">
        <is>
          <t>Протокол</t>
        </is>
      </c>
      <c r="E4" s="162" t="inlineStr">
        <is>
          <t>Пара</t>
        </is>
      </c>
      <c r="F4" s="163" t="inlineStr">
        <is>
          <t>Кол-во</t>
        </is>
      </c>
      <c r="G4" s="185" t="inlineStr">
        <is>
          <t>Курс</t>
        </is>
      </c>
      <c r="H4" s="165" t="inlineStr">
        <is>
          <t>Сумма</t>
        </is>
      </c>
      <c r="I4" s="166" t="inlineStr">
        <is>
          <t>Кол-во</t>
        </is>
      </c>
      <c r="J4" s="167" t="inlineStr">
        <is>
          <t>Курс</t>
        </is>
      </c>
      <c r="K4" s="168" t="inlineStr">
        <is>
          <t>Сумма</t>
        </is>
      </c>
      <c r="L4" s="169" t="inlineStr">
        <is>
          <t>Дельта 1</t>
        </is>
      </c>
      <c r="M4" s="107" t="inlineStr">
        <is>
          <t>Дельта 2</t>
        </is>
      </c>
    </row>
    <row r="5" ht="22" customHeight="1">
      <c r="B5" s="186" t="inlineStr">
        <is>
          <t>T-0005</t>
        </is>
      </c>
      <c r="C5" s="209" t="n">
        <v>46299</v>
      </c>
      <c r="D5" s="186" t="inlineStr">
        <is>
          <t>Bybit</t>
        </is>
      </c>
      <c r="E5" s="175" t="inlineStr">
        <is>
          <t>BNB/USDT</t>
        </is>
      </c>
      <c r="F5" s="176" t="n">
        <v>2</v>
      </c>
      <c r="G5" s="177" t="n">
        <v>585</v>
      </c>
      <c r="H5" s="178" t="n">
        <v>1167.66</v>
      </c>
      <c r="I5" s="176" t="n">
        <v>5</v>
      </c>
      <c r="J5" s="177" t="n">
        <v>600</v>
      </c>
      <c r="K5" s="178" t="n">
        <v>2994</v>
      </c>
      <c r="L5" s="176">
        <f>IF(AND(AND(ISNUMBER(F5),ISNUMBER(I5),ISNUMBER(H5),ISNUMBER(K5)),F5&gt;0,I5&gt;0,H5&lt;&gt;0),ROUND(MIN(F5,I5)*(K5/I5-H5/F5),8),"")</f>
        <v/>
      </c>
      <c r="M5" s="177">
        <f>IF(AND(AND(ISNUMBER(F5),ISNUMBER(I5),ISNUMBER(H5),ISNUMBER(K5)),F5&gt;0,I5&gt;0,H5&lt;&gt;0),ROUND((K5/I5)/(H5/F5)*100-100,2),"")</f>
        <v/>
      </c>
    </row>
    <row r="6" ht="22" customHeight="1">
      <c r="B6" s="187" t="inlineStr">
        <is>
          <t>T-0001</t>
        </is>
      </c>
      <c r="C6" s="210" t="n">
        <v>46296</v>
      </c>
      <c r="D6" s="187" t="inlineStr">
        <is>
          <t>Binance</t>
        </is>
      </c>
      <c r="E6" s="181" t="inlineStr">
        <is>
          <t>BTC/USDT</t>
        </is>
      </c>
      <c r="F6" s="182" t="n">
        <v>0.1</v>
      </c>
      <c r="G6" s="183" t="n">
        <v>62000</v>
      </c>
      <c r="H6" s="184" t="n">
        <v>6187.6</v>
      </c>
      <c r="I6" s="182" t="n"/>
      <c r="J6" s="183" t="n"/>
      <c r="K6" s="184" t="n"/>
      <c r="L6" s="182">
        <f>IF(AND(AND(ISNUMBER(F6),ISNUMBER(I6),ISNUMBER(H6),ISNUMBER(K6)),F6&gt;0,I6&gt;0,H6&lt;&gt;0),ROUND(MIN(F6,I6)*(K6/I6-H6/F6),8),"")</f>
        <v/>
      </c>
      <c r="M6" s="183">
        <f>IF(AND(AND(ISNUMBER(F6),ISNUMBER(I6),ISNUMBER(H6),ISNUMBER(K6)),F6&gt;0,I6&gt;0,H6&lt;&gt;0),ROUND((K6/I6)/(H6/F6)*100-100,2),"")</f>
        <v/>
      </c>
    </row>
    <row r="7" ht="22" customHeight="1">
      <c r="B7" s="186" t="inlineStr">
        <is>
          <t>T-0006</t>
        </is>
      </c>
      <c r="C7" s="209" t="n">
        <v>46299</v>
      </c>
      <c r="D7" s="186" t="inlineStr">
        <is>
          <t>OKX</t>
        </is>
      </c>
      <c r="E7" s="175" t="inlineStr">
        <is>
          <t>BTC/USDT</t>
        </is>
      </c>
      <c r="F7" s="176" t="n">
        <v>0.05</v>
      </c>
      <c r="G7" s="177" t="n">
        <v>62200</v>
      </c>
      <c r="H7" s="178" t="n">
        <v>3103.78</v>
      </c>
      <c r="I7" s="176" t="n">
        <v>0.05</v>
      </c>
      <c r="J7" s="177" t="n">
        <v>63000</v>
      </c>
      <c r="K7" s="178" t="n">
        <v>3143.7</v>
      </c>
      <c r="L7" s="176">
        <f>IF(AND(AND(ISNUMBER(F7),ISNUMBER(I7),ISNUMBER(H7),ISNUMBER(K7)),F7&gt;0,I7&gt;0,H7&lt;&gt;0),ROUND(MIN(F7,I7)*(K7/I7-H7/F7),8),"")</f>
        <v/>
      </c>
      <c r="M7" s="177">
        <f>IF(AND(AND(ISNUMBER(F7),ISNUMBER(I7),ISNUMBER(H7),ISNUMBER(K7)),F7&gt;0,I7&gt;0,H7&lt;&gt;0),ROUND((K7/I7)/(H7/F7)*100-100,2),"")</f>
        <v/>
      </c>
    </row>
    <row r="8" ht="22" customHeight="1">
      <c r="B8" s="187" t="inlineStr">
        <is>
          <t>T-0004</t>
        </is>
      </c>
      <c r="C8" s="210" t="n">
        <v>46298</v>
      </c>
      <c r="D8" s="187" t="inlineStr">
        <is>
          <t>Binance</t>
        </is>
      </c>
      <c r="E8" s="181" t="inlineStr">
        <is>
          <t>ETH/BTC</t>
        </is>
      </c>
      <c r="F8" s="182" t="n"/>
      <c r="G8" s="183" t="n"/>
      <c r="H8" s="184" t="n"/>
      <c r="I8" s="182" t="n">
        <v>1.5</v>
      </c>
      <c r="J8" s="183" t="n">
        <v>0.0525</v>
      </c>
      <c r="K8" s="184" t="n">
        <v>0.0785925</v>
      </c>
      <c r="L8" s="182">
        <f>IF(AND(AND(ISNUMBER(F8),ISNUMBER(I8),ISNUMBER(H8),ISNUMBER(K8)),F8&gt;0,I8&gt;0,H8&lt;&gt;0),ROUND(MIN(F8,I8)*(K8/I8-H8/F8),8),"")</f>
        <v/>
      </c>
      <c r="M8" s="183">
        <f>IF(AND(AND(ISNUMBER(F8),ISNUMBER(I8),ISNUMBER(H8),ISNUMBER(K8)),F8&gt;0,I8&gt;0,H8&lt;&gt;0),ROUND((K8/I8)/(H8/F8)*100-100,2),"")</f>
        <v/>
      </c>
    </row>
    <row r="9" ht="22" customHeight="1">
      <c r="B9" s="186" t="inlineStr">
        <is>
          <t>T-0002</t>
        </is>
      </c>
      <c r="C9" s="209" t="n">
        <v>46297</v>
      </c>
      <c r="D9" s="186" t="inlineStr">
        <is>
          <t>Bybit</t>
        </is>
      </c>
      <c r="E9" s="175" t="inlineStr">
        <is>
          <t>ETH/USDT</t>
        </is>
      </c>
      <c r="F9" s="176" t="n">
        <v>2</v>
      </c>
      <c r="G9" s="177" t="n">
        <v>3200</v>
      </c>
      <c r="H9" s="178" t="n">
        <v>6387.2</v>
      </c>
      <c r="I9" s="176" t="n">
        <v>1</v>
      </c>
      <c r="J9" s="177" t="n">
        <v>3350</v>
      </c>
      <c r="K9" s="178" t="n">
        <v>3343.3</v>
      </c>
      <c r="L9" s="176">
        <f>IF(AND(AND(ISNUMBER(F9),ISNUMBER(I9),ISNUMBER(H9),ISNUMBER(K9)),F9&gt;0,I9&gt;0,H9&lt;&gt;0),ROUND(MIN(F9,I9)*(K9/I9-H9/F9),8),"")</f>
        <v/>
      </c>
      <c r="M9" s="177">
        <f>IF(AND(AND(ISNUMBER(F9),ISNUMBER(I9),ISNUMBER(H9),ISNUMBER(K9)),F9&gt;0,I9&gt;0,H9&lt;&gt;0),ROUND((K9/I9)/(H9/F9)*100-100,2),"")</f>
        <v/>
      </c>
    </row>
    <row r="10" ht="22" customHeight="1">
      <c r="B10" s="187" t="inlineStr">
        <is>
          <t>T-0007</t>
        </is>
      </c>
      <c r="C10" s="210" t="n">
        <v>46300</v>
      </c>
      <c r="D10" s="187" t="inlineStr">
        <is>
          <t>Binance</t>
        </is>
      </c>
      <c r="E10" s="181" t="inlineStr">
        <is>
          <t>ETH/USDT</t>
        </is>
      </c>
      <c r="F10" s="182" t="n">
        <v>1.2</v>
      </c>
      <c r="G10" s="183" t="n">
        <v>3180</v>
      </c>
      <c r="H10" s="184" t="n">
        <v>3808.368</v>
      </c>
      <c r="I10" s="182" t="n"/>
      <c r="J10" s="183" t="n"/>
      <c r="K10" s="184" t="n"/>
      <c r="L10" s="182">
        <f>IF(AND(AND(ISNUMBER(F10),ISNUMBER(I10),ISNUMBER(H10),ISNUMBER(K10)),F10&gt;0,I10&gt;0,H10&lt;&gt;0),ROUND(MIN(F10,I10)*(K10/I10-H10/F10),8),"")</f>
        <v/>
      </c>
      <c r="M10" s="183">
        <f>IF(AND(AND(ISNUMBER(F10),ISNUMBER(I10),ISNUMBER(H10),ISNUMBER(K10)),F10&gt;0,I10&gt;0,H10&lt;&gt;0),ROUND((K10/I10)/(H10/F10)*100-100,2),"")</f>
        <v/>
      </c>
    </row>
    <row r="11" ht="22" customHeight="1">
      <c r="B11" s="186" t="inlineStr">
        <is>
          <t>T-0008</t>
        </is>
      </c>
      <c r="C11" s="209" t="n">
        <v>46300</v>
      </c>
      <c r="D11" s="186" t="inlineStr">
        <is>
          <t>Bybit</t>
        </is>
      </c>
      <c r="E11" s="175" t="inlineStr">
        <is>
          <t>ETH/USDT</t>
        </is>
      </c>
      <c r="F11" s="176" t="n">
        <v>0.8</v>
      </c>
      <c r="G11" s="177" t="n">
        <v>3250</v>
      </c>
      <c r="H11" s="178" t="n">
        <v>2594.8</v>
      </c>
      <c r="I11" s="176" t="n"/>
      <c r="J11" s="177" t="n"/>
      <c r="K11" s="178" t="n"/>
      <c r="L11" s="176">
        <f>IF(AND(AND(ISNUMBER(F11),ISNUMBER(I11),ISNUMBER(H11),ISNUMBER(K11)),F11&gt;0,I11&gt;0,H11&lt;&gt;0),ROUND(MIN(F11,I11)*(K11/I11-H11/F11),8),"")</f>
        <v/>
      </c>
      <c r="M11" s="177">
        <f>IF(AND(AND(ISNUMBER(F11),ISNUMBER(I11),ISNUMBER(H11),ISNUMBER(K11)),F11&gt;0,I11&gt;0,H11&lt;&gt;0),ROUND((K11/I11)/(H11/F11)*100-100,2),"")</f>
        <v/>
      </c>
    </row>
    <row r="12" ht="22" customHeight="1">
      <c r="B12" s="187" t="inlineStr">
        <is>
          <t>T-0009</t>
        </is>
      </c>
      <c r="C12" s="210" t="n">
        <v>46301</v>
      </c>
      <c r="D12" s="187" t="inlineStr">
        <is>
          <t>OKX</t>
        </is>
      </c>
      <c r="E12" s="181" t="inlineStr">
        <is>
          <t>ETH/USDT</t>
        </is>
      </c>
      <c r="F12" s="182" t="n"/>
      <c r="G12" s="183" t="n"/>
      <c r="H12" s="184" t="n"/>
      <c r="I12" s="182" t="n">
        <v>1.5</v>
      </c>
      <c r="J12" s="183" t="n">
        <v>3400</v>
      </c>
      <c r="K12" s="184" t="n">
        <v>5089.8</v>
      </c>
      <c r="L12" s="182">
        <f>IF(AND(AND(ISNUMBER(F12),ISNUMBER(I12),ISNUMBER(H12),ISNUMBER(K12)),F12&gt;0,I12&gt;0,H12&lt;&gt;0),ROUND(MIN(F12,I12)*(K12/I12-H12/F12),8),"")</f>
        <v/>
      </c>
      <c r="M12" s="183">
        <f>IF(AND(AND(ISNUMBER(F12),ISNUMBER(I12),ISNUMBER(H12),ISNUMBER(K12)),F12&gt;0,I12&gt;0,H12&lt;&gt;0),ROUND((K12/I12)/(H12/F12)*100-100,2),"")</f>
        <v/>
      </c>
    </row>
    <row r="13" ht="22" customHeight="1">
      <c r="B13" s="186" t="inlineStr">
        <is>
          <t>T-0003</t>
        </is>
      </c>
      <c r="C13" s="209" t="n">
        <v>46298</v>
      </c>
      <c r="D13" s="186" t="inlineStr">
        <is>
          <t>OKX</t>
        </is>
      </c>
      <c r="E13" s="175" t="inlineStr">
        <is>
          <t>SOL/USDT</t>
        </is>
      </c>
      <c r="F13" s="176" t="n">
        <v>20</v>
      </c>
      <c r="G13" s="177" t="n">
        <v>145</v>
      </c>
      <c r="H13" s="178" t="n">
        <v>2894.2</v>
      </c>
      <c r="I13" s="176" t="n">
        <v>20</v>
      </c>
      <c r="J13" s="177" t="n">
        <v>152</v>
      </c>
      <c r="K13" s="178" t="n">
        <v>3033.92</v>
      </c>
      <c r="L13" s="176">
        <f>IF(AND(AND(ISNUMBER(F13),ISNUMBER(I13),ISNUMBER(H13),ISNUMBER(K13)),F13&gt;0,I13&gt;0,H13&lt;&gt;0),ROUND(MIN(F13,I13)*(K13/I13-H13/F13),8),"")</f>
        <v/>
      </c>
      <c r="M13" s="177">
        <f>IF(AND(AND(ISNUMBER(F13),ISNUMBER(I13),ISNUMBER(H13),ISNUMBER(K13)),F13&gt;0,I13&gt;0,H13&lt;&gt;0),ROUND((K13/I13)/(H13/F13)*100-100,2),"")</f>
        <v/>
      </c>
    </row>
    <row r="14" ht="22" customHeight="1">
      <c r="B14" s="187" t="inlineStr">
        <is>
          <t>T-0010</t>
        </is>
      </c>
      <c r="C14" s="210" t="n">
        <v>46300</v>
      </c>
      <c r="D14" s="187" t="inlineStr">
        <is>
          <t>Binance</t>
        </is>
      </c>
      <c r="E14" s="181" t="inlineStr">
        <is>
          <t>SOL/USDT</t>
        </is>
      </c>
      <c r="F14" s="182" t="n"/>
      <c r="G14" s="183" t="n"/>
      <c r="H14" s="184" t="n"/>
      <c r="I14" s="182" t="n">
        <v>30</v>
      </c>
      <c r="J14" s="183" t="n">
        <v>150</v>
      </c>
      <c r="K14" s="184" t="n">
        <v>4491</v>
      </c>
      <c r="L14" s="182">
        <f>IF(AND(AND(ISNUMBER(F14),ISNUMBER(I14),ISNUMBER(H14),ISNUMBER(K14)),F14&gt;0,I14&gt;0,H14&lt;&gt;0),ROUND(MIN(F14,I14)*(K14/I14-H14/F14),8),"")</f>
        <v/>
      </c>
      <c r="M14" s="183">
        <f>IF(AND(AND(ISNUMBER(F14),ISNUMBER(I14),ISNUMBER(H14),ISNUMBER(K14)),F14&gt;0,I14&gt;0,H14&lt;&gt;0),ROUND((K14/I14)/(H14/F14)*100-100,2),"")</f>
        <v/>
      </c>
    </row>
    <row r="15" ht="22" customHeight="1">
      <c r="B15" s="186" t="inlineStr">
        <is>
          <t>T-0011</t>
        </is>
      </c>
      <c r="C15" s="209" t="n">
        <v>46301</v>
      </c>
      <c r="D15" s="186" t="inlineStr">
        <is>
          <t>Bybit</t>
        </is>
      </c>
      <c r="E15" s="175" t="inlineStr">
        <is>
          <t>SOL/USDT</t>
        </is>
      </c>
      <c r="F15" s="176" t="n"/>
      <c r="G15" s="177" t="n"/>
      <c r="H15" s="178" t="n"/>
      <c r="I15" s="176" t="n">
        <v>10</v>
      </c>
      <c r="J15" s="177" t="n">
        <v>152</v>
      </c>
      <c r="K15" s="178" t="n">
        <v>1516.96</v>
      </c>
      <c r="L15" s="176">
        <f>IF(AND(AND(ISNUMBER(F15),ISNUMBER(I15),ISNUMBER(H15),ISNUMBER(K15)),F15&gt;0,I15&gt;0,H15&lt;&gt;0),ROUND(MIN(F15,I15)*(K15/I15-H15/F15),8),"")</f>
        <v/>
      </c>
      <c r="M15" s="177">
        <f>IF(AND(AND(ISNUMBER(F15),ISNUMBER(I15),ISNUMBER(H15),ISNUMBER(K15)),F15&gt;0,I15&gt;0,H15&lt;&gt;0),ROUND((K15/I15)/(H15/F15)*100-100,2),"")</f>
        <v/>
      </c>
    </row>
    <row r="16" ht="22" customHeight="1">
      <c r="B16" s="187" t="inlineStr">
        <is>
          <t>T-0012</t>
        </is>
      </c>
      <c r="C16" s="210" t="n">
        <v>46301</v>
      </c>
      <c r="D16" s="187" t="inlineStr">
        <is>
          <t>OKX</t>
        </is>
      </c>
      <c r="E16" s="181" t="inlineStr">
        <is>
          <t>SOL/USDT</t>
        </is>
      </c>
      <c r="F16" s="182" t="n">
        <v>25</v>
      </c>
      <c r="G16" s="183" t="n">
        <v>146</v>
      </c>
      <c r="H16" s="184" t="n">
        <v>3642.7</v>
      </c>
      <c r="I16" s="182" t="n"/>
      <c r="J16" s="183" t="n"/>
      <c r="K16" s="184" t="n"/>
      <c r="L16" s="182">
        <f>IF(AND(AND(ISNUMBER(F16),ISNUMBER(I16),ISNUMBER(H16),ISNUMBER(K16)),F16&gt;0,I16&gt;0,H16&lt;&gt;0),ROUND(MIN(F16,I16)*(K16/I16-H16/F16),8),"")</f>
        <v/>
      </c>
      <c r="M16" s="183">
        <f>IF(AND(AND(ISNUMBER(F16),ISNUMBER(I16),ISNUMBER(H16),ISNUMBER(K16)),F16&gt;0,I16&gt;0,H16&lt;&gt;0),ROUND((K16/I16)/(H16/F16)*100-100,2),"")</f>
        <v/>
      </c>
    </row>
  </sheetData>
  <mergeCells count="1">
    <mergeCell ref="B1:M2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tabColor rgb="00722F37"/>
    <outlinePr summaryBelow="1" summaryRight="1"/>
    <pageSetUpPr fitToPage="1"/>
  </sheetPr>
  <dimension ref="B1:M12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5" customWidth="1" min="1" max="1"/>
    <col width="14" customWidth="1" min="2" max="2"/>
    <col width="11" customWidth="1" min="3" max="3"/>
    <col width="13" customWidth="1" min="4" max="4"/>
    <col width="14" customWidth="1" min="5" max="5"/>
    <col width="11" customWidth="1" min="6" max="6"/>
    <col width="13" customWidth="1" min="7" max="7"/>
    <col width="14" customWidth="1" min="8" max="8"/>
    <col width="13" customWidth="1" min="9" max="9"/>
    <col width="13" customWidth="1" min="10" max="10"/>
    <col width="13" customWidth="1" min="11" max="11"/>
    <col width="12" customWidth="1" min="12" max="12"/>
    <col width="14" customWidth="1" min="13" max="13"/>
  </cols>
  <sheetData>
    <row r="1" ht="21" customHeight="1">
      <c r="B1" s="1" t="inlineStr">
        <is>
          <t>CRYPTO JOURNAL • ИТОГО ТОРГОВЛЯ</t>
        </is>
      </c>
    </row>
    <row r="2" ht="21" customHeight="1"/>
    <row r="3" ht="10" customHeight="1"/>
    <row r="4" ht="28" customHeight="1">
      <c r="B4" s="162" t="inlineStr">
        <is>
          <t>Пара</t>
        </is>
      </c>
      <c r="C4" s="163" t="inlineStr">
        <is>
          <t>Кол-во</t>
        </is>
      </c>
      <c r="D4" s="185" t="inlineStr">
        <is>
          <t>Курс</t>
        </is>
      </c>
      <c r="E4" s="165" t="inlineStr">
        <is>
          <t>Сумма</t>
        </is>
      </c>
      <c r="F4" s="166" t="inlineStr">
        <is>
          <t>Кол-во</t>
        </is>
      </c>
      <c r="G4" s="167" t="inlineStr">
        <is>
          <t>Курс</t>
        </is>
      </c>
      <c r="H4" s="168" t="inlineStr">
        <is>
          <t>Сумма</t>
        </is>
      </c>
      <c r="I4" s="169" t="inlineStr">
        <is>
          <t>Дельта 1</t>
        </is>
      </c>
      <c r="J4" s="170" t="inlineStr">
        <is>
          <t>Дельта 2</t>
        </is>
      </c>
      <c r="K4" s="171" t="inlineStr">
        <is>
          <t>P&amp;L</t>
        </is>
      </c>
      <c r="L4" s="172" t="inlineStr">
        <is>
          <t>P&amp;L%</t>
        </is>
      </c>
      <c r="M4" s="172" t="inlineStr">
        <is>
          <t>Break even</t>
        </is>
      </c>
    </row>
    <row r="5" ht="22" customHeight="1">
      <c r="B5" s="175" t="inlineStr">
        <is>
          <t>BNB/USDT</t>
        </is>
      </c>
      <c r="C5" s="176">
        <f>IF(SUMIFS(Торговля!$F$5:$F$200,Торговля!$E$5:$E$200,$B5)=0,"",SUMIFS(Торговля!$F$5:$F$200,Торговля!$E$5:$E$200,$B5))</f>
        <v/>
      </c>
      <c r="D5" s="177">
        <f>IF(C5="","",SUMPRODUCT((Торговля!$E$5:$E$200=$B5)*Торговля!$F$5:$F$200*Торговля!$G$5:$G$200)/C5)</f>
        <v/>
      </c>
      <c r="E5" s="178">
        <f>IF(C5="","",SUMIFS(Торговля!$H$5:$H$200,Торговля!$E$5:$E$200,$B5))</f>
        <v/>
      </c>
      <c r="F5" s="176">
        <f>IF(SUMIFS(Торговля!$I$5:$I$200,Торговля!$E$5:$E$200,$B5)=0,"",SUMIFS(Торговля!$I$5:$I$200,Торговля!$E$5:$E$200,$B5))</f>
        <v/>
      </c>
      <c r="G5" s="177">
        <f>IF(F5="","",SUMPRODUCT((Торговля!$E$5:$E$200=$B5)*Торговля!$I$5:$I$200*Торговля!$J$5:$J$200)/F5)</f>
        <v/>
      </c>
      <c r="H5" s="178">
        <f>IF(F5="","",SUMIFS(Торговля!$K$5:$K$200,Торговля!$E$5:$E$200,$B5))</f>
        <v/>
      </c>
      <c r="I5" s="176">
        <f>IF(AND(AND(ISNUMBER(C5),ISNUMBER(F5),ISNUMBER(E5),ISNUMBER(H5)),C5&gt;0,F5&gt;0,E5&lt;&gt;0),ROUND(MIN(C5,F5)*(H5/F5-E5/C5),8),"")</f>
        <v/>
      </c>
      <c r="J5" s="178">
        <f>IF(AND(AND(ISNUMBER(C5),ISNUMBER(F5),ISNUMBER(E5),ISNUMBER(H5)),C5&gt;0,F5&gt;0,E5&lt;&gt;0),ROUND((H5/F5)/(E5/C5)*100-100,2),"")</f>
        <v/>
      </c>
      <c r="K5" s="176" t="n"/>
      <c r="L5" s="177" t="n"/>
      <c r="M5" s="177" t="n"/>
    </row>
    <row r="6" ht="22" customHeight="1">
      <c r="B6" s="181" t="inlineStr">
        <is>
          <t>BTC/USDT</t>
        </is>
      </c>
      <c r="C6" s="182">
        <f>IF(SUMIFS(Торговля!$F$5:$F$200,Торговля!$E$5:$E$200,$B6)=0,"",SUMIFS(Торговля!$F$5:$F$200,Торговля!$E$5:$E$200,$B6))</f>
        <v/>
      </c>
      <c r="D6" s="183">
        <f>IF(C6="","",SUMPRODUCT((Торговля!$E$5:$E$200=$B6)*Торговля!$F$5:$F$200*Торговля!$G$5:$G$200)/C6)</f>
        <v/>
      </c>
      <c r="E6" s="184">
        <f>IF(C6="","",SUMIFS(Торговля!$H$5:$H$200,Торговля!$E$5:$E$200,$B6))</f>
        <v/>
      </c>
      <c r="F6" s="182">
        <f>IF(SUMIFS(Торговля!$I$5:$I$200,Торговля!$E$5:$E$200,$B6)=0,"",SUMIFS(Торговля!$I$5:$I$200,Торговля!$E$5:$E$200,$B6))</f>
        <v/>
      </c>
      <c r="G6" s="183">
        <f>IF(F6="","",SUMPRODUCT((Торговля!$E$5:$E$200=$B6)*Торговля!$I$5:$I$200*Торговля!$J$5:$J$200)/F6)</f>
        <v/>
      </c>
      <c r="H6" s="184">
        <f>IF(F6="","",SUMIFS(Торговля!$K$5:$K$200,Торговля!$E$5:$E$200,$B6))</f>
        <v/>
      </c>
      <c r="I6" s="182">
        <f>IF(AND(AND(ISNUMBER(C6),ISNUMBER(F6),ISNUMBER(E6),ISNUMBER(H6)),C6&gt;0,F6&gt;0,E6&lt;&gt;0),ROUND(MIN(C6,F6)*(H6/F6-E6/C6),8),"")</f>
        <v/>
      </c>
      <c r="J6" s="184">
        <f>IF(AND(AND(ISNUMBER(C6),ISNUMBER(F6),ISNUMBER(E6),ISNUMBER(H6)),C6&gt;0,F6&gt;0,E6&lt;&gt;0),ROUND((H6/F6)/(E6/C6)*100-100,2),"")</f>
        <v/>
      </c>
      <c r="K6" s="182" t="n"/>
      <c r="L6" s="183" t="n"/>
      <c r="M6" s="183" t="n"/>
    </row>
    <row r="7" ht="22" customHeight="1">
      <c r="B7" s="175" t="inlineStr">
        <is>
          <t>ETH/BTC</t>
        </is>
      </c>
      <c r="C7" s="176">
        <f>IF(SUMIFS(Торговля!$F$5:$F$200,Торговля!$E$5:$E$200,$B7)=0,"",SUMIFS(Торговля!$F$5:$F$200,Торговля!$E$5:$E$200,$B7))</f>
        <v/>
      </c>
      <c r="D7" s="177">
        <f>IF(C7="","",SUMPRODUCT((Торговля!$E$5:$E$200=$B7)*Торговля!$F$5:$F$200*Торговля!$G$5:$G$200)/C7)</f>
        <v/>
      </c>
      <c r="E7" s="178">
        <f>IF(C7="","",SUMIFS(Торговля!$H$5:$H$200,Торговля!$E$5:$E$200,$B7))</f>
        <v/>
      </c>
      <c r="F7" s="176">
        <f>IF(SUMIFS(Торговля!$I$5:$I$200,Торговля!$E$5:$E$200,$B7)=0,"",SUMIFS(Торговля!$I$5:$I$200,Торговля!$E$5:$E$200,$B7))</f>
        <v/>
      </c>
      <c r="G7" s="177">
        <f>IF(F7="","",SUMPRODUCT((Торговля!$E$5:$E$200=$B7)*Торговля!$I$5:$I$200*Торговля!$J$5:$J$200)/F7)</f>
        <v/>
      </c>
      <c r="H7" s="178">
        <f>IF(F7="","",SUMIFS(Торговля!$K$5:$K$200,Торговля!$E$5:$E$200,$B7))</f>
        <v/>
      </c>
      <c r="I7" s="176">
        <f>IF(AND(AND(ISNUMBER(C7),ISNUMBER(F7),ISNUMBER(E7),ISNUMBER(H7)),C7&gt;0,F7&gt;0,E7&lt;&gt;0),ROUND(MIN(C7,F7)*(H7/F7-E7/C7),8),"")</f>
        <v/>
      </c>
      <c r="J7" s="178">
        <f>IF(AND(AND(ISNUMBER(C7),ISNUMBER(F7),ISNUMBER(E7),ISNUMBER(H7)),C7&gt;0,F7&gt;0,E7&lt;&gt;0),ROUND((H7/F7)/(E7/C7)*100-100,2),"")</f>
        <v/>
      </c>
      <c r="K7" s="176" t="n"/>
      <c r="L7" s="177" t="n"/>
      <c r="M7" s="177" t="n"/>
    </row>
    <row r="8" ht="22" customHeight="1">
      <c r="B8" s="181" t="inlineStr">
        <is>
          <t>ETH/USDT</t>
        </is>
      </c>
      <c r="C8" s="182">
        <f>IF(SUMIFS(Торговля!$F$5:$F$200,Торговля!$E$5:$E$200,$B8)=0,"",SUMIFS(Торговля!$F$5:$F$200,Торговля!$E$5:$E$200,$B8))</f>
        <v/>
      </c>
      <c r="D8" s="183">
        <f>IF(C8="","",SUMPRODUCT((Торговля!$E$5:$E$200=$B8)*Торговля!$F$5:$F$200*Торговля!$G$5:$G$200)/C8)</f>
        <v/>
      </c>
      <c r="E8" s="184">
        <f>IF(C8="","",SUMIFS(Торговля!$H$5:$H$200,Торговля!$E$5:$E$200,$B8))</f>
        <v/>
      </c>
      <c r="F8" s="182">
        <f>IF(SUMIFS(Торговля!$I$5:$I$200,Торговля!$E$5:$E$200,$B8)=0,"",SUMIFS(Торговля!$I$5:$I$200,Торговля!$E$5:$E$200,$B8))</f>
        <v/>
      </c>
      <c r="G8" s="183">
        <f>IF(F8="","",SUMPRODUCT((Торговля!$E$5:$E$200=$B8)*Торговля!$I$5:$I$200*Торговля!$J$5:$J$200)/F8)</f>
        <v/>
      </c>
      <c r="H8" s="184">
        <f>IF(F8="","",SUMIFS(Торговля!$K$5:$K$200,Торговля!$E$5:$E$200,$B8))</f>
        <v/>
      </c>
      <c r="I8" s="182">
        <f>IF(AND(AND(ISNUMBER(C8),ISNUMBER(F8),ISNUMBER(E8),ISNUMBER(H8)),C8&gt;0,F8&gt;0,E8&lt;&gt;0),ROUND(MIN(C8,F8)*(H8/F8-E8/C8),8),"")</f>
        <v/>
      </c>
      <c r="J8" s="184">
        <f>IF(AND(AND(ISNUMBER(C8),ISNUMBER(F8),ISNUMBER(E8),ISNUMBER(H8)),C8&gt;0,F8&gt;0,E8&lt;&gt;0),ROUND((H8/F8)/(E8/C8)*100-100,2),"")</f>
        <v/>
      </c>
      <c r="K8" s="182" t="n"/>
      <c r="L8" s="183" t="n"/>
      <c r="M8" s="183" t="n"/>
    </row>
    <row r="9" ht="22" customHeight="1">
      <c r="B9" s="175" t="inlineStr">
        <is>
          <t>SOL/USDT</t>
        </is>
      </c>
      <c r="C9" s="176">
        <f>IF(SUMIFS(Торговля!$F$5:$F$200,Торговля!$E$5:$E$200,$B9)=0,"",SUMIFS(Торговля!$F$5:$F$200,Торговля!$E$5:$E$200,$B9))</f>
        <v/>
      </c>
      <c r="D9" s="177">
        <f>IF(C9="","",SUMPRODUCT((Торговля!$E$5:$E$200=$B9)*Торговля!$F$5:$F$200*Торговля!$G$5:$G$200)/C9)</f>
        <v/>
      </c>
      <c r="E9" s="178">
        <f>IF(C9="","",SUMIFS(Торговля!$H$5:$H$200,Торговля!$E$5:$E$200,$B9))</f>
        <v/>
      </c>
      <c r="F9" s="176">
        <f>IF(SUMIFS(Торговля!$I$5:$I$200,Торговля!$E$5:$E$200,$B9)=0,"",SUMIFS(Торговля!$I$5:$I$200,Торговля!$E$5:$E$200,$B9))</f>
        <v/>
      </c>
      <c r="G9" s="177">
        <f>IF(F9="","",SUMPRODUCT((Торговля!$E$5:$E$200=$B9)*Торговля!$I$5:$I$200*Торговля!$J$5:$J$200)/F9)</f>
        <v/>
      </c>
      <c r="H9" s="178">
        <f>IF(F9="","",SUMIFS(Торговля!$K$5:$K$200,Торговля!$E$5:$E$200,$B9))</f>
        <v/>
      </c>
      <c r="I9" s="176">
        <f>IF(AND(AND(ISNUMBER(C9),ISNUMBER(F9),ISNUMBER(E9),ISNUMBER(H9)),C9&gt;0,F9&gt;0,E9&lt;&gt;0),ROUND(MIN(C9,F9)*(H9/F9-E9/C9),8),"")</f>
        <v/>
      </c>
      <c r="J9" s="178">
        <f>IF(AND(AND(ISNUMBER(C9),ISNUMBER(F9),ISNUMBER(E9),ISNUMBER(H9)),C9&gt;0,F9&gt;0,E9&lt;&gt;0),ROUND((H9/F9)/(E9/C9)*100-100,2),"")</f>
        <v/>
      </c>
      <c r="K9" s="176" t="n"/>
      <c r="L9" s="177" t="n"/>
      <c r="M9" s="177" t="n"/>
    </row>
    <row r="10" ht="22" customHeight="1">
      <c r="B10" s="181" t="n"/>
      <c r="C10" s="182" t="n"/>
      <c r="D10" s="183" t="n"/>
      <c r="E10" s="184" t="n"/>
      <c r="F10" s="182" t="n"/>
      <c r="G10" s="183" t="n"/>
      <c r="H10" s="184" t="n"/>
      <c r="I10" s="182">
        <f>IF(AND(AND(ISNUMBER(C10),ISNUMBER(F10),ISNUMBER(E10),ISNUMBER(H10)),C10&gt;0,F10&gt;0,E10&lt;&gt;0),ROUND(MIN(C10,F10)*(H10/F10-E10/C10),8),"")</f>
        <v/>
      </c>
      <c r="J10" s="184">
        <f>IF(AND(AND(ISNUMBER(C10),ISNUMBER(F10),ISNUMBER(E10),ISNUMBER(H10)),C10&gt;0,F10&gt;0,E10&lt;&gt;0),ROUND((H10/F10)/(E10/C10)*100-100,2),"")</f>
        <v/>
      </c>
      <c r="K10" s="182" t="n"/>
      <c r="L10" s="183" t="n"/>
      <c r="M10" s="183" t="n"/>
    </row>
    <row r="11" ht="22" customHeight="1">
      <c r="B11" s="175" t="n"/>
      <c r="C11" s="176" t="n"/>
      <c r="D11" s="177" t="n"/>
      <c r="E11" s="178" t="n"/>
      <c r="F11" s="176" t="n"/>
      <c r="G11" s="177" t="n"/>
      <c r="H11" s="178" t="n"/>
      <c r="I11" s="176">
        <f>IF(AND(AND(ISNUMBER(C11),ISNUMBER(F11),ISNUMBER(E11),ISNUMBER(H11)),C11&gt;0,F11&gt;0,E11&lt;&gt;0),ROUND(MIN(C11,F11)*(H11/F11-E11/C11),8),"")</f>
        <v/>
      </c>
      <c r="J11" s="178">
        <f>IF(AND(AND(ISNUMBER(C11),ISNUMBER(F11),ISNUMBER(E11),ISNUMBER(H11)),C11&gt;0,F11&gt;0,E11&lt;&gt;0),ROUND((H11/F11)/(E11/C11)*100-100,2),"")</f>
        <v/>
      </c>
      <c r="K11" s="176" t="n"/>
      <c r="L11" s="177" t="n"/>
      <c r="M11" s="177" t="n"/>
    </row>
    <row r="12" ht="22" customHeight="1">
      <c r="B12" s="181" t="n"/>
      <c r="C12" s="182" t="n"/>
      <c r="D12" s="183" t="n"/>
      <c r="E12" s="184" t="n"/>
      <c r="F12" s="182" t="n"/>
      <c r="G12" s="183" t="n"/>
      <c r="H12" s="184" t="n"/>
      <c r="I12" s="182">
        <f>IF(AND(AND(ISNUMBER(C12),ISNUMBER(F12),ISNUMBER(E12),ISNUMBER(H12)),C12&gt;0,F12&gt;0,E12&lt;&gt;0),ROUND(MIN(C12,F12)*(H12/F12-E12/C12),8),"")</f>
        <v/>
      </c>
      <c r="J12" s="184">
        <f>IF(AND(AND(ISNUMBER(C12),ISNUMBER(F12),ISNUMBER(E12),ISNUMBER(H12)),C12&gt;0,F12&gt;0,E12&lt;&gt;0),ROUND((H12/F12)/(E12/C12)*100-100,2),"")</f>
        <v/>
      </c>
      <c r="K12" s="182" t="n"/>
      <c r="L12" s="183" t="n"/>
      <c r="M12" s="183" t="n"/>
    </row>
  </sheetData>
  <mergeCells count="1">
    <mergeCell ref="B1:M2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tabColor rgb="005E9E72"/>
    <outlinePr summaryBelow="1" summaryRight="1"/>
    <pageSetUpPr fitToPage="1"/>
  </sheetPr>
  <dimension ref="B1:M12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5" customWidth="1" min="1" max="1"/>
    <col width="8" customWidth="1" min="2" max="2"/>
    <col width="13" customWidth="1" min="3" max="3"/>
    <col width="14" customWidth="1" min="4" max="4"/>
    <col width="14" customWidth="1" min="5" max="5"/>
    <col width="11" customWidth="1" min="6" max="6"/>
    <col width="13" customWidth="1" min="7" max="7"/>
    <col width="14" customWidth="1" min="8" max="8"/>
    <col width="11" customWidth="1" min="9" max="9"/>
    <col width="13" customWidth="1" min="10" max="10"/>
    <col width="14" customWidth="1" min="11" max="11"/>
    <col width="13" customWidth="1" min="12" max="12"/>
    <col width="13" customWidth="1" min="13" max="13"/>
  </cols>
  <sheetData>
    <row r="1" ht="21" customHeight="1">
      <c r="B1" s="1" t="inlineStr">
        <is>
          <t>CRYPTO JOURNAL • ЛЭНДИНГ</t>
        </is>
      </c>
    </row>
    <row r="2" ht="21" customHeight="1"/>
    <row r="3" ht="10" customHeight="1"/>
    <row r="4" ht="28" customHeight="1">
      <c r="B4" s="161" t="inlineStr">
        <is>
          <t>ID</t>
        </is>
      </c>
      <c r="C4" s="161" t="inlineStr">
        <is>
          <t>Дата</t>
        </is>
      </c>
      <c r="D4" s="161" t="inlineStr">
        <is>
          <t>Протокол</t>
        </is>
      </c>
      <c r="E4" s="162" t="inlineStr">
        <is>
          <t>Пара</t>
        </is>
      </c>
      <c r="F4" s="163" t="inlineStr">
        <is>
          <t>Кол-во</t>
        </is>
      </c>
      <c r="G4" s="185" t="inlineStr">
        <is>
          <t>Курс</t>
        </is>
      </c>
      <c r="H4" s="165" t="inlineStr">
        <is>
          <t>Сумма</t>
        </is>
      </c>
      <c r="I4" s="166" t="inlineStr">
        <is>
          <t>Кол-во</t>
        </is>
      </c>
      <c r="J4" s="167" t="inlineStr">
        <is>
          <t>Курс</t>
        </is>
      </c>
      <c r="K4" s="168" t="inlineStr">
        <is>
          <t>Сумма</t>
        </is>
      </c>
      <c r="L4" s="169" t="inlineStr">
        <is>
          <t>Дельта 1</t>
        </is>
      </c>
      <c r="M4" s="107" t="inlineStr">
        <is>
          <t>Дельта 2</t>
        </is>
      </c>
    </row>
    <row r="5" ht="22" customHeight="1">
      <c r="B5" s="186" t="inlineStr">
        <is>
          <t>L-0005</t>
        </is>
      </c>
      <c r="C5" s="209" t="n">
        <v>46298</v>
      </c>
      <c r="D5" s="186" t="inlineStr">
        <is>
          <t>Bybit</t>
        </is>
      </c>
      <c r="E5" s="175" t="inlineStr">
        <is>
          <t>BNB/USDT</t>
        </is>
      </c>
      <c r="F5" s="176" t="n">
        <v>5</v>
      </c>
      <c r="G5" s="177" t="n">
        <v>590</v>
      </c>
      <c r="H5" s="178" t="n">
        <v>2950</v>
      </c>
      <c r="I5" s="176" t="n">
        <v>5</v>
      </c>
      <c r="J5" s="177" t="n">
        <v>575</v>
      </c>
      <c r="K5" s="178" t="n">
        <v>2875</v>
      </c>
      <c r="L5" s="176">
        <f>IF(AND(AND(ISNUMBER(F5),ISNUMBER(I5),ISNUMBER(H5),ISNUMBER(K5)),F5&gt;0,I5&gt;0,H5&lt;&gt;0),ROUND(MIN(F5,I5)*(K5/I5-H5/F5),8),"")</f>
        <v/>
      </c>
      <c r="M5" s="177">
        <f>IF(AND(AND(ISNUMBER(F5),ISNUMBER(I5),ISNUMBER(H5),ISNUMBER(K5)),F5&gt;0,I5&gt;0,H5&lt;&gt;0),ROUND((K5/I5)/(H5/F5)*100-100,2),"")</f>
        <v/>
      </c>
    </row>
    <row r="6" ht="22" customHeight="1">
      <c r="B6" s="187" t="inlineStr">
        <is>
          <t>L-0002</t>
        </is>
      </c>
      <c r="C6" s="210" t="n">
        <v>46296</v>
      </c>
      <c r="D6" s="187" t="inlineStr">
        <is>
          <t>Bybit</t>
        </is>
      </c>
      <c r="E6" s="181" t="inlineStr">
        <is>
          <t>BTC/USDT</t>
        </is>
      </c>
      <c r="F6" s="182" t="n">
        <v>0.25</v>
      </c>
      <c r="G6" s="183" t="n">
        <v>62000</v>
      </c>
      <c r="H6" s="184" t="n">
        <v>15500</v>
      </c>
      <c r="I6" s="182" t="n">
        <v>0.25</v>
      </c>
      <c r="J6" s="183" t="n">
        <v>64000</v>
      </c>
      <c r="K6" s="184" t="n">
        <v>16000</v>
      </c>
      <c r="L6" s="182">
        <f>IF(AND(AND(ISNUMBER(F6),ISNUMBER(I6),ISNUMBER(H6),ISNUMBER(K6)),F6&gt;0,I6&gt;0,H6&lt;&gt;0),ROUND(MIN(F6,I6)*(K6/I6-H6/F6),8),"")</f>
        <v/>
      </c>
      <c r="M6" s="183">
        <f>IF(AND(AND(ISNUMBER(F6),ISNUMBER(I6),ISNUMBER(H6),ISNUMBER(K6)),F6&gt;0,I6&gt;0,H6&lt;&gt;0),ROUND((K6/I6)/(H6/F6)*100-100,2),"")</f>
        <v/>
      </c>
    </row>
    <row r="7" ht="22" customHeight="1">
      <c r="B7" s="186" t="inlineStr">
        <is>
          <t>L-0006</t>
        </is>
      </c>
      <c r="C7" s="209" t="n">
        <v>46299</v>
      </c>
      <c r="D7" s="186" t="inlineStr">
        <is>
          <t>OKX</t>
        </is>
      </c>
      <c r="E7" s="175" t="inlineStr">
        <is>
          <t>BTC/USDT</t>
        </is>
      </c>
      <c r="F7" s="176" t="n">
        <v>0.1</v>
      </c>
      <c r="G7" s="177" t="n">
        <v>62500</v>
      </c>
      <c r="H7" s="178" t="n">
        <v>6250</v>
      </c>
      <c r="I7" s="176" t="n">
        <v>0.1</v>
      </c>
      <c r="J7" s="177" t="n">
        <v>63100</v>
      </c>
      <c r="K7" s="178" t="n">
        <v>6310</v>
      </c>
      <c r="L7" s="176">
        <f>IF(AND(AND(ISNUMBER(F7),ISNUMBER(I7),ISNUMBER(H7),ISNUMBER(K7)),F7&gt;0,I7&gt;0,H7&lt;&gt;0),ROUND(MIN(F7,I7)*(K7/I7-H7/F7),8),"")</f>
        <v/>
      </c>
      <c r="M7" s="177">
        <f>IF(AND(AND(ISNUMBER(F7),ISNUMBER(I7),ISNUMBER(H7),ISNUMBER(K7)),F7&gt;0,I7&gt;0,H7&lt;&gt;0),ROUND((K7/I7)/(H7/F7)*100-100,2),"")</f>
        <v/>
      </c>
    </row>
    <row r="8" ht="22" customHeight="1">
      <c r="B8" s="187" t="inlineStr">
        <is>
          <t>L-0001</t>
        </is>
      </c>
      <c r="C8" s="210" t="n">
        <v>46296</v>
      </c>
      <c r="D8" s="187" t="inlineStr">
        <is>
          <t>Binance</t>
        </is>
      </c>
      <c r="E8" s="181" t="inlineStr">
        <is>
          <t>ETH/BTC</t>
        </is>
      </c>
      <c r="F8" s="182" t="n">
        <v>0.5</v>
      </c>
      <c r="G8" s="183" t="n">
        <v>0.0521</v>
      </c>
      <c r="H8" s="184" t="n">
        <v>0.02605</v>
      </c>
      <c r="I8" s="182" t="n">
        <v>0.5</v>
      </c>
      <c r="J8" s="183" t="n">
        <v>0.0534</v>
      </c>
      <c r="K8" s="184" t="n">
        <v>0.0267</v>
      </c>
      <c r="L8" s="182">
        <f>IF(AND(AND(ISNUMBER(F8),ISNUMBER(I8),ISNUMBER(H8),ISNUMBER(K8)),F8&gt;0,I8&gt;0,H8&lt;&gt;0),ROUND(MIN(F8,I8)*(K8/I8-H8/F8),8),"")</f>
        <v/>
      </c>
      <c r="M8" s="183">
        <f>IF(AND(AND(ISNUMBER(F8),ISNUMBER(I8),ISNUMBER(H8),ISNUMBER(K8)),F8&gt;0,I8&gt;0,H8&lt;&gt;0),ROUND((K8/I8)/(H8/F8)*100-100,2),"")</f>
        <v/>
      </c>
    </row>
    <row r="9" ht="22" customHeight="1">
      <c r="B9" s="186" t="inlineStr">
        <is>
          <t>L-0007</t>
        </is>
      </c>
      <c r="C9" s="209" t="n">
        <v>46299</v>
      </c>
      <c r="D9" s="186" t="inlineStr">
        <is>
          <t>Binance</t>
        </is>
      </c>
      <c r="E9" s="175" t="inlineStr">
        <is>
          <t>ETH/BTC</t>
        </is>
      </c>
      <c r="F9" s="176" t="n">
        <v>0.8</v>
      </c>
      <c r="G9" s="177" t="n">
        <v>0.0518</v>
      </c>
      <c r="H9" s="178" t="n">
        <v>0.04144</v>
      </c>
      <c r="I9" s="176" t="n">
        <v>0.8</v>
      </c>
      <c r="J9" s="177" t="n">
        <v>0.053</v>
      </c>
      <c r="K9" s="178" t="n">
        <v>0.0424</v>
      </c>
      <c r="L9" s="176">
        <f>IF(AND(AND(ISNUMBER(F9),ISNUMBER(I9),ISNUMBER(H9),ISNUMBER(K9)),F9&gt;0,I9&gt;0,H9&lt;&gt;0),ROUND(MIN(F9,I9)*(K9/I9-H9/F9),8),"")</f>
        <v/>
      </c>
      <c r="M9" s="177">
        <f>IF(AND(AND(ISNUMBER(F9),ISNUMBER(I9),ISNUMBER(H9),ISNUMBER(K9)),F9&gt;0,I9&gt;0,H9&lt;&gt;0),ROUND((K9/I9)/(H9/F9)*100-100,2),"")</f>
        <v/>
      </c>
    </row>
    <row r="10" ht="22" customHeight="1">
      <c r="B10" s="187" t="inlineStr">
        <is>
          <t>L-0004</t>
        </is>
      </c>
      <c r="C10" s="210" t="n">
        <v>46298</v>
      </c>
      <c r="D10" s="187" t="inlineStr">
        <is>
          <t>Binance</t>
        </is>
      </c>
      <c r="E10" s="181" t="inlineStr">
        <is>
          <t>ETH/USDT</t>
        </is>
      </c>
      <c r="F10" s="182" t="n">
        <v>1.2</v>
      </c>
      <c r="G10" s="183" t="n">
        <v>3200</v>
      </c>
      <c r="H10" s="184" t="n">
        <v>3840</v>
      </c>
      <c r="I10" s="182" t="n">
        <v>1.2</v>
      </c>
      <c r="J10" s="183" t="n">
        <v>3350</v>
      </c>
      <c r="K10" s="184" t="n">
        <v>4020</v>
      </c>
      <c r="L10" s="182">
        <f>IF(AND(AND(ISNUMBER(F10),ISNUMBER(I10),ISNUMBER(H10),ISNUMBER(K10)),F10&gt;0,I10&gt;0,H10&lt;&gt;0),ROUND(MIN(F10,I10)*(K10/I10-H10/F10),8),"")</f>
        <v/>
      </c>
      <c r="M10" s="183">
        <f>IF(AND(AND(ISNUMBER(F10),ISNUMBER(I10),ISNUMBER(H10),ISNUMBER(K10)),F10&gt;0,I10&gt;0,H10&lt;&gt;0),ROUND((K10/I10)/(H10/F10)*100-100,2),"")</f>
        <v/>
      </c>
    </row>
    <row r="11" ht="22" customHeight="1">
      <c r="B11" s="186" t="inlineStr">
        <is>
          <t>L-0003</t>
        </is>
      </c>
      <c r="C11" s="209" t="n">
        <v>46297</v>
      </c>
      <c r="D11" s="186" t="inlineStr">
        <is>
          <t>OKX</t>
        </is>
      </c>
      <c r="E11" s="175" t="inlineStr">
        <is>
          <t>SOL/USDT</t>
        </is>
      </c>
      <c r="F11" s="176" t="n">
        <v>20</v>
      </c>
      <c r="G11" s="177" t="n">
        <v>145</v>
      </c>
      <c r="H11" s="178" t="n">
        <v>2900</v>
      </c>
      <c r="I11" s="176" t="n">
        <v>20</v>
      </c>
      <c r="J11" s="177" t="n">
        <v>139</v>
      </c>
      <c r="K11" s="178" t="n">
        <v>2780</v>
      </c>
      <c r="L11" s="176">
        <f>IF(AND(AND(ISNUMBER(F11),ISNUMBER(I11),ISNUMBER(H11),ISNUMBER(K11)),F11&gt;0,I11&gt;0,H11&lt;&gt;0),ROUND(MIN(F11,I11)*(K11/I11-H11/F11),8),"")</f>
        <v/>
      </c>
      <c r="M11" s="177">
        <f>IF(AND(AND(ISNUMBER(F11),ISNUMBER(I11),ISNUMBER(H11),ISNUMBER(K11)),F11&gt;0,I11&gt;0,H11&lt;&gt;0),ROUND((K11/I11)/(H11/F11)*100-100,2),"")</f>
        <v/>
      </c>
    </row>
    <row r="12" ht="22" customHeight="1">
      <c r="B12" s="187" t="inlineStr">
        <is>
          <t>L-0008</t>
        </is>
      </c>
      <c r="C12" s="210" t="n">
        <v>46299</v>
      </c>
      <c r="D12" s="187" t="inlineStr">
        <is>
          <t>Bybit</t>
        </is>
      </c>
      <c r="E12" s="181" t="inlineStr">
        <is>
          <t>SOL/USDT</t>
        </is>
      </c>
      <c r="F12" s="182" t="n">
        <v>15</v>
      </c>
      <c r="G12" s="183" t="n">
        <v>142</v>
      </c>
      <c r="H12" s="184" t="n">
        <v>2130</v>
      </c>
      <c r="I12" s="182" t="n">
        <v>15</v>
      </c>
      <c r="J12" s="183" t="n">
        <v>147</v>
      </c>
      <c r="K12" s="184" t="n">
        <v>2205</v>
      </c>
      <c r="L12" s="182">
        <f>IF(AND(AND(ISNUMBER(F12),ISNUMBER(I12),ISNUMBER(H12),ISNUMBER(K12)),F12&gt;0,I12&gt;0,H12&lt;&gt;0),ROUND(MIN(F12,I12)*(K12/I12-H12/F12),8),"")</f>
        <v/>
      </c>
      <c r="M12" s="183">
        <f>IF(AND(AND(ISNUMBER(F12),ISNUMBER(I12),ISNUMBER(H12),ISNUMBER(K12)),F12&gt;0,I12&gt;0,H12&lt;&gt;0),ROUND((K12/I12)/(H12/F12)*100-100,2),"")</f>
        <v/>
      </c>
    </row>
  </sheetData>
  <mergeCells count="1">
    <mergeCell ref="B1:M2"/>
  </mergeCells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tabColor rgb="00722F37"/>
    <outlinePr summaryBelow="1" summaryRight="1"/>
    <pageSetUpPr fitToPage="1"/>
  </sheetPr>
  <dimension ref="B1:M12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5" customWidth="1" min="1" max="1"/>
    <col width="14" customWidth="1" min="2" max="2"/>
    <col width="11" customWidth="1" min="3" max="3"/>
    <col width="13" customWidth="1" min="4" max="4"/>
    <col width="14" customWidth="1" min="5" max="5"/>
    <col width="11" customWidth="1" min="6" max="6"/>
    <col width="13" customWidth="1" min="7" max="7"/>
    <col width="14" customWidth="1" min="8" max="8"/>
    <col width="13" customWidth="1" min="9" max="9"/>
    <col width="13" customWidth="1" min="10" max="10"/>
    <col width="13" customWidth="1" min="11" max="11"/>
    <col width="12" customWidth="1" min="12" max="12"/>
    <col width="14" customWidth="1" min="13" max="13"/>
  </cols>
  <sheetData>
    <row r="1" ht="21" customHeight="1">
      <c r="B1" s="1" t="inlineStr">
        <is>
          <t>CRYPTO JOURNAL • ИТОГО ЛЭНДИНГ</t>
        </is>
      </c>
    </row>
    <row r="2" ht="21" customHeight="1"/>
    <row r="3" ht="10" customHeight="1"/>
    <row r="4" ht="28" customHeight="1">
      <c r="B4" s="162" t="inlineStr">
        <is>
          <t>Пара</t>
        </is>
      </c>
      <c r="C4" s="163" t="inlineStr">
        <is>
          <t>Кол-во</t>
        </is>
      </c>
      <c r="D4" s="185" t="inlineStr">
        <is>
          <t>Курс</t>
        </is>
      </c>
      <c r="E4" s="165" t="inlineStr">
        <is>
          <t>Сумма</t>
        </is>
      </c>
      <c r="F4" s="166" t="inlineStr">
        <is>
          <t>Кол-во</t>
        </is>
      </c>
      <c r="G4" s="167" t="inlineStr">
        <is>
          <t>Курс</t>
        </is>
      </c>
      <c r="H4" s="168" t="inlineStr">
        <is>
          <t>Сумма</t>
        </is>
      </c>
      <c r="I4" s="169" t="inlineStr">
        <is>
          <t>Дельта 1</t>
        </is>
      </c>
      <c r="J4" s="170" t="inlineStr">
        <is>
          <t>Дельта 2</t>
        </is>
      </c>
      <c r="K4" s="171" t="inlineStr">
        <is>
          <t>P&amp;L</t>
        </is>
      </c>
      <c r="L4" s="172" t="inlineStr">
        <is>
          <t>P&amp;L%</t>
        </is>
      </c>
      <c r="M4" s="172" t="inlineStr">
        <is>
          <t>Break even</t>
        </is>
      </c>
    </row>
    <row r="5" ht="22" customHeight="1">
      <c r="B5" s="175" t="inlineStr">
        <is>
          <t>ETH/BTC</t>
        </is>
      </c>
      <c r="C5" s="176" t="n">
        <v>0.5</v>
      </c>
      <c r="D5" s="177" t="n">
        <v>0.0521</v>
      </c>
      <c r="E5" s="178" t="n">
        <v>0.02605</v>
      </c>
      <c r="F5" s="176" t="n">
        <v>0.5</v>
      </c>
      <c r="G5" s="177" t="n">
        <v>0.0534</v>
      </c>
      <c r="H5" s="178" t="n">
        <v>0.0267</v>
      </c>
      <c r="I5" s="176">
        <f>IF(AND(AND(ISNUMBER(C5),ISNUMBER(F5),ISNUMBER(E5),ISNUMBER(H5)),C5&gt;0,F5&gt;0,E5&lt;&gt;0),ROUND(MIN(C5,F5)*(H5/F5-E5/C5),8),"")</f>
        <v/>
      </c>
      <c r="J5" s="178">
        <f>IF(AND(AND(ISNUMBER(C5),ISNUMBER(F5),ISNUMBER(E5),ISNUMBER(H5)),C5&gt;0,F5&gt;0,E5&lt;&gt;0),ROUND((H5/F5)/(E5/C5)*100-100,2),"")</f>
        <v/>
      </c>
      <c r="K5" s="176" t="n">
        <v>0.00063</v>
      </c>
      <c r="L5" s="177" t="n">
        <v>2.42</v>
      </c>
      <c r="M5" s="177" t="n">
        <v>0.0522</v>
      </c>
    </row>
    <row r="6" ht="22" customHeight="1">
      <c r="B6" s="181" t="inlineStr">
        <is>
          <t>BTC/USDT</t>
        </is>
      </c>
      <c r="C6" s="182" t="n">
        <v>0.25</v>
      </c>
      <c r="D6" s="183" t="n">
        <v>62000</v>
      </c>
      <c r="E6" s="184" t="n">
        <v>15500</v>
      </c>
      <c r="F6" s="182" t="n">
        <v>0.25</v>
      </c>
      <c r="G6" s="183" t="n">
        <v>64000</v>
      </c>
      <c r="H6" s="184" t="n">
        <v>16000</v>
      </c>
      <c r="I6" s="182">
        <f>IF(AND(AND(ISNUMBER(C6),ISNUMBER(F6),ISNUMBER(E6),ISNUMBER(H6)),C6&gt;0,F6&gt;0,E6&lt;&gt;0),ROUND(MIN(C6,F6)*(H6/F6-E6/C6),8),"")</f>
        <v/>
      </c>
      <c r="J6" s="184">
        <f>IF(AND(AND(ISNUMBER(C6),ISNUMBER(F6),ISNUMBER(E6),ISNUMBER(H6)),C6&gt;0,F6&gt;0,E6&lt;&gt;0),ROUND((H6/F6)/(E6/C6)*100-100,2),"")</f>
        <v/>
      </c>
      <c r="K6" s="182" t="n">
        <v>485</v>
      </c>
      <c r="L6" s="183" t="n">
        <v>3.13</v>
      </c>
      <c r="M6" s="183" t="n">
        <v>62155</v>
      </c>
    </row>
    <row r="7" ht="22" customHeight="1">
      <c r="B7" s="175" t="inlineStr">
        <is>
          <t>SOL/USDT</t>
        </is>
      </c>
      <c r="C7" s="176" t="n">
        <v>20</v>
      </c>
      <c r="D7" s="177" t="n">
        <v>145</v>
      </c>
      <c r="E7" s="178" t="n">
        <v>2900</v>
      </c>
      <c r="F7" s="176" t="n">
        <v>20</v>
      </c>
      <c r="G7" s="177" t="n">
        <v>139</v>
      </c>
      <c r="H7" s="178" t="n">
        <v>2780</v>
      </c>
      <c r="I7" s="176">
        <f>IF(AND(AND(ISNUMBER(C7),ISNUMBER(F7),ISNUMBER(E7),ISNUMBER(H7)),C7&gt;0,F7&gt;0,E7&lt;&gt;0),ROUND(MIN(C7,F7)*(H7/F7-E7/C7),8),"")</f>
        <v/>
      </c>
      <c r="J7" s="178">
        <f>IF(AND(AND(ISNUMBER(C7),ISNUMBER(F7),ISNUMBER(E7),ISNUMBER(H7)),C7&gt;0,F7&gt;0,E7&lt;&gt;0),ROUND((H7/F7)/(E7/C7)*100-100,2),"")</f>
        <v/>
      </c>
      <c r="K7" s="176" t="n">
        <v>-125</v>
      </c>
      <c r="L7" s="177" t="n">
        <v>-4.31</v>
      </c>
      <c r="M7" s="177" t="n">
        <v>145.3</v>
      </c>
    </row>
    <row r="8" ht="22" customHeight="1">
      <c r="B8" s="181" t="inlineStr">
        <is>
          <t>ETH/USDT</t>
        </is>
      </c>
      <c r="C8" s="182" t="n">
        <v>1.2</v>
      </c>
      <c r="D8" s="183" t="n">
        <v>3200</v>
      </c>
      <c r="E8" s="184" t="n">
        <v>3840</v>
      </c>
      <c r="F8" s="182" t="n">
        <v>1.2</v>
      </c>
      <c r="G8" s="183" t="n">
        <v>3350</v>
      </c>
      <c r="H8" s="184" t="n">
        <v>4020</v>
      </c>
      <c r="I8" s="182">
        <f>IF(AND(AND(ISNUMBER(C8),ISNUMBER(F8),ISNUMBER(E8),ISNUMBER(H8)),C8&gt;0,F8&gt;0,E8&lt;&gt;0),ROUND(MIN(C8,F8)*(H8/F8-E8/C8),8),"")</f>
        <v/>
      </c>
      <c r="J8" s="184">
        <f>IF(AND(AND(ISNUMBER(C8),ISNUMBER(F8),ISNUMBER(E8),ISNUMBER(H8)),C8&gt;0,F8&gt;0,E8&lt;&gt;0),ROUND((H8/F8)/(E8/C8)*100-100,2),"")</f>
        <v/>
      </c>
      <c r="K8" s="182" t="n">
        <v>175</v>
      </c>
      <c r="L8" s="183" t="n">
        <v>4.56</v>
      </c>
      <c r="M8" s="183" t="n">
        <v>3203.84</v>
      </c>
    </row>
    <row r="9" ht="22" customHeight="1">
      <c r="B9" s="175" t="inlineStr">
        <is>
          <t>BNB/USDT</t>
        </is>
      </c>
      <c r="C9" s="176" t="n">
        <v>5</v>
      </c>
      <c r="D9" s="177" t="n">
        <v>590</v>
      </c>
      <c r="E9" s="178" t="n">
        <v>2950</v>
      </c>
      <c r="F9" s="176" t="n">
        <v>5</v>
      </c>
      <c r="G9" s="177" t="n">
        <v>575</v>
      </c>
      <c r="H9" s="178" t="n">
        <v>2875</v>
      </c>
      <c r="I9" s="176">
        <f>IF(AND(AND(ISNUMBER(C9),ISNUMBER(F9),ISNUMBER(E9),ISNUMBER(H9)),C9&gt;0,F9&gt;0,E9&lt;&gt;0),ROUND(MIN(C9,F9)*(H9/F9-E9/C9),8),"")</f>
        <v/>
      </c>
      <c r="J9" s="178">
        <f>IF(AND(AND(ISNUMBER(C9),ISNUMBER(F9),ISNUMBER(E9),ISNUMBER(H9)),C9&gt;0,F9&gt;0,E9&lt;&gt;0),ROUND((H9/F9)/(E9/C9)*100-100,2),"")</f>
        <v/>
      </c>
      <c r="K9" s="176" t="n">
        <v>-80</v>
      </c>
      <c r="L9" s="177" t="n">
        <v>-2.71</v>
      </c>
      <c r="M9" s="177" t="n">
        <v>590.6</v>
      </c>
    </row>
    <row r="10" ht="22" customHeight="1">
      <c r="B10" s="181" t="inlineStr">
        <is>
          <t>BTC/USDT</t>
        </is>
      </c>
      <c r="C10" s="182" t="n">
        <v>0.1</v>
      </c>
      <c r="D10" s="183" t="n">
        <v>62500</v>
      </c>
      <c r="E10" s="184" t="n">
        <v>6250</v>
      </c>
      <c r="F10" s="182" t="n">
        <v>0.1</v>
      </c>
      <c r="G10" s="183" t="n">
        <v>63100</v>
      </c>
      <c r="H10" s="184" t="n">
        <v>6310</v>
      </c>
      <c r="I10" s="182">
        <f>IF(AND(AND(ISNUMBER(C10),ISNUMBER(F10),ISNUMBER(E10),ISNUMBER(H10)),C10&gt;0,F10&gt;0,E10&lt;&gt;0),ROUND(MIN(C10,F10)*(H10/F10-E10/C10),8),"")</f>
        <v/>
      </c>
      <c r="J10" s="184">
        <f>IF(AND(AND(ISNUMBER(C10),ISNUMBER(F10),ISNUMBER(E10),ISNUMBER(H10)),C10&gt;0,F10&gt;0,E10&lt;&gt;0),ROUND((H10/F10)/(E10/C10)*100-100,2),"")</f>
        <v/>
      </c>
      <c r="K10" s="182" t="n">
        <v>55</v>
      </c>
      <c r="L10" s="183" t="n">
        <v>0.88</v>
      </c>
      <c r="M10" s="183" t="n">
        <v>62512.5</v>
      </c>
    </row>
    <row r="11" ht="22" customHeight="1">
      <c r="B11" s="175" t="inlineStr">
        <is>
          <t>ETH/BTC</t>
        </is>
      </c>
      <c r="C11" s="176" t="n">
        <v>0.8</v>
      </c>
      <c r="D11" s="177" t="n">
        <v>0.0518</v>
      </c>
      <c r="E11" s="178" t="n">
        <v>0.04144</v>
      </c>
      <c r="F11" s="176" t="n">
        <v>0.8</v>
      </c>
      <c r="G11" s="177" t="n">
        <v>0.053</v>
      </c>
      <c r="H11" s="178" t="n">
        <v>0.0424</v>
      </c>
      <c r="I11" s="176">
        <f>IF(AND(AND(ISNUMBER(C11),ISNUMBER(F11),ISNUMBER(E11),ISNUMBER(H11)),C11&gt;0,F11&gt;0,E11&lt;&gt;0),ROUND(MIN(C11,F11)*(H11/F11-E11/C11),8),"")</f>
        <v/>
      </c>
      <c r="J11" s="178">
        <f>IF(AND(AND(ISNUMBER(C11),ISNUMBER(F11),ISNUMBER(E11),ISNUMBER(H11)),C11&gt;0,F11&gt;0,E11&lt;&gt;0),ROUND((H11/F11)/(E11/C11)*100-100,2),"")</f>
        <v/>
      </c>
      <c r="K11" s="176" t="n">
        <v>0.00092</v>
      </c>
      <c r="L11" s="177" t="n">
        <v>2.22</v>
      </c>
      <c r="M11" s="177" t="n">
        <v>0.05185</v>
      </c>
    </row>
    <row r="12" ht="22" customHeight="1">
      <c r="B12" s="181" t="inlineStr">
        <is>
          <t>SOL/USDT</t>
        </is>
      </c>
      <c r="C12" s="182" t="n">
        <v>15</v>
      </c>
      <c r="D12" s="183" t="n">
        <v>142</v>
      </c>
      <c r="E12" s="184" t="n">
        <v>2130</v>
      </c>
      <c r="F12" s="182" t="n">
        <v>15</v>
      </c>
      <c r="G12" s="183" t="n">
        <v>147</v>
      </c>
      <c r="H12" s="184" t="n">
        <v>2205</v>
      </c>
      <c r="I12" s="182">
        <f>IF(AND(AND(ISNUMBER(C12),ISNUMBER(F12),ISNUMBER(E12),ISNUMBER(H12)),C12&gt;0,F12&gt;0,E12&lt;&gt;0),ROUND(MIN(C12,F12)*(H12/F12-E12/C12),8),"")</f>
        <v/>
      </c>
      <c r="J12" s="184">
        <f>IF(AND(AND(ISNUMBER(C12),ISNUMBER(F12),ISNUMBER(E12),ISNUMBER(H12)),C12&gt;0,F12&gt;0,E12&lt;&gt;0),ROUND((H12/F12)/(E12/C12)*100-100,2),"")</f>
        <v/>
      </c>
      <c r="K12" s="182" t="n">
        <v>70</v>
      </c>
      <c r="L12" s="183" t="n">
        <v>3.29</v>
      </c>
      <c r="M12" s="183" t="n">
        <v>142.28</v>
      </c>
    </row>
  </sheetData>
  <mergeCells count="1">
    <mergeCell ref="B1:M2"/>
  </mergeCells>
  <pageMargins left="0.75" right="0.75" top="1" bottom="1" header="0.5" footer="0.5"/>
  <pageSetup orientation="landscape" fitToWidth="1"/>
</worksheet>
</file>

<file path=xl/worksheets/sheet6.xml><?xml version="1.0" encoding="utf-8"?>
<worksheet xmlns="http://schemas.openxmlformats.org/spreadsheetml/2006/main">
  <sheetPr>
    <tabColor rgb="008064A2"/>
    <outlinePr summaryBelow="1" summaryRight="1"/>
    <pageSetUpPr fitToPage="1"/>
  </sheetPr>
  <dimension ref="B1:I12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5" customWidth="1" min="1" max="1"/>
    <col width="8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1" customHeight="1">
      <c r="B1" s="1" t="inlineStr">
        <is>
          <t>CRYPTO JOURNAL • ПУЛ</t>
        </is>
      </c>
    </row>
    <row r="2" ht="21" customHeight="1"/>
    <row r="3" ht="10" customHeight="1"/>
    <row r="4" ht="28" customHeight="1">
      <c r="B4" s="161" t="inlineStr">
        <is>
          <t>ID</t>
        </is>
      </c>
      <c r="C4" s="161" t="inlineStr">
        <is>
          <t>Дата</t>
        </is>
      </c>
      <c r="D4" s="161" t="inlineStr">
        <is>
          <t>Протокол</t>
        </is>
      </c>
      <c r="E4" s="162" t="inlineStr">
        <is>
          <t>Пара</t>
        </is>
      </c>
      <c r="F4" s="169" t="inlineStr">
        <is>
          <t>Актив 1</t>
        </is>
      </c>
      <c r="G4" s="170" t="inlineStr">
        <is>
          <t>Актив 2</t>
        </is>
      </c>
      <c r="H4" s="226" t="inlineStr">
        <is>
          <t>Актив 1</t>
        </is>
      </c>
      <c r="I4" s="227" t="inlineStr">
        <is>
          <t>Актив 2</t>
        </is>
      </c>
    </row>
    <row r="5" ht="22" customHeight="1">
      <c r="B5" s="186" t="inlineStr">
        <is>
          <t>P-0003</t>
        </is>
      </c>
      <c r="C5" s="209" t="n">
        <v>46297</v>
      </c>
      <c r="D5" s="186" t="inlineStr">
        <is>
          <t>PancakeSwap</t>
        </is>
      </c>
      <c r="E5" s="175" t="inlineStr">
        <is>
          <t>BNB/USDT</t>
        </is>
      </c>
      <c r="F5" s="176" t="n">
        <v>4</v>
      </c>
      <c r="G5" s="178" t="n">
        <v>2360</v>
      </c>
      <c r="H5" s="228" t="n"/>
      <c r="I5" s="229" t="n"/>
    </row>
    <row r="6" ht="22" customHeight="1">
      <c r="B6" s="187" t="inlineStr">
        <is>
          <t>P-0006</t>
        </is>
      </c>
      <c r="C6" s="210" t="n">
        <v>46299</v>
      </c>
      <c r="D6" s="187" t="inlineStr">
        <is>
          <t>Uniswap</t>
        </is>
      </c>
      <c r="E6" s="181" t="inlineStr">
        <is>
          <t>BTC/USDT</t>
        </is>
      </c>
      <c r="F6" s="182" t="n">
        <v>0.05</v>
      </c>
      <c r="G6" s="184" t="n">
        <v>3125</v>
      </c>
      <c r="H6" s="230" t="n"/>
      <c r="I6" s="231" t="n"/>
    </row>
    <row r="7" ht="22" customHeight="1">
      <c r="B7" s="186" t="inlineStr">
        <is>
          <t>P-0001</t>
        </is>
      </c>
      <c r="C7" s="209" t="n">
        <v>46296</v>
      </c>
      <c r="D7" s="186" t="inlineStr">
        <is>
          <t>Uniswap</t>
        </is>
      </c>
      <c r="E7" s="175" t="inlineStr">
        <is>
          <t>ETH/BTC</t>
        </is>
      </c>
      <c r="F7" s="176" t="n">
        <v>2</v>
      </c>
      <c r="G7" s="178" t="n">
        <v>0.104</v>
      </c>
      <c r="H7" s="228" t="n"/>
      <c r="I7" s="229" t="n"/>
    </row>
    <row r="8" ht="22" customHeight="1">
      <c r="B8" s="187" t="inlineStr">
        <is>
          <t>P-0007</t>
        </is>
      </c>
      <c r="C8" s="210" t="n">
        <v>46299</v>
      </c>
      <c r="D8" s="187" t="inlineStr">
        <is>
          <t>PancakeSwap</t>
        </is>
      </c>
      <c r="E8" s="181" t="inlineStr">
        <is>
          <t>ETH/BTC</t>
        </is>
      </c>
      <c r="F8" s="182" t="n">
        <v>1.2</v>
      </c>
      <c r="G8" s="184" t="n">
        <v>0.0624</v>
      </c>
      <c r="H8" s="230" t="n"/>
      <c r="I8" s="231" t="n"/>
    </row>
    <row r="9" ht="22" customHeight="1">
      <c r="B9" s="186" t="inlineStr">
        <is>
          <t>P-0004</t>
        </is>
      </c>
      <c r="C9" s="209" t="n">
        <v>46298</v>
      </c>
      <c r="D9" s="186" t="inlineStr">
        <is>
          <t>Uniswap</t>
        </is>
      </c>
      <c r="E9" s="175" t="inlineStr">
        <is>
          <t>ETH/USDT</t>
        </is>
      </c>
      <c r="F9" s="176" t="n">
        <v>1.5</v>
      </c>
      <c r="G9" s="178" t="n">
        <v>4800</v>
      </c>
      <c r="H9" s="228" t="n">
        <v>0.5</v>
      </c>
      <c r="I9" s="229" t="n">
        <v>1600</v>
      </c>
    </row>
    <row r="10" ht="22" customHeight="1">
      <c r="B10" s="187" t="inlineStr">
        <is>
          <t>P-0002</t>
        </is>
      </c>
      <c r="C10" s="210" t="n">
        <v>46296</v>
      </c>
      <c r="D10" s="187" t="inlineStr">
        <is>
          <t>Raydium</t>
        </is>
      </c>
      <c r="E10" s="181" t="inlineStr">
        <is>
          <t>SOL/USDT</t>
        </is>
      </c>
      <c r="F10" s="182" t="n">
        <v>30</v>
      </c>
      <c r="G10" s="184" t="n">
        <v>4350</v>
      </c>
      <c r="H10" s="230" t="n"/>
      <c r="I10" s="231" t="n"/>
    </row>
    <row r="11" ht="22" customHeight="1">
      <c r="B11" s="186" t="inlineStr">
        <is>
          <t>P-0005</t>
        </is>
      </c>
      <c r="C11" s="209" t="n">
        <v>46298</v>
      </c>
      <c r="D11" s="186" t="inlineStr">
        <is>
          <t>Orca</t>
        </is>
      </c>
      <c r="E11" s="175" t="inlineStr">
        <is>
          <t>SOL/USDT</t>
        </is>
      </c>
      <c r="F11" s="176" t="n">
        <v>12</v>
      </c>
      <c r="G11" s="178" t="n">
        <v>1740</v>
      </c>
      <c r="H11" s="228" t="n"/>
      <c r="I11" s="229" t="n"/>
    </row>
    <row r="12" ht="22" customHeight="1">
      <c r="B12" s="187" t="inlineStr">
        <is>
          <t>P-0008</t>
        </is>
      </c>
      <c r="C12" s="210" t="n">
        <v>46299</v>
      </c>
      <c r="D12" s="187" t="inlineStr">
        <is>
          <t>Raydium</t>
        </is>
      </c>
      <c r="E12" s="181" t="inlineStr">
        <is>
          <t>SOL/USDT</t>
        </is>
      </c>
      <c r="F12" s="182" t="n">
        <v>25</v>
      </c>
      <c r="G12" s="184" t="n">
        <v>3625</v>
      </c>
      <c r="H12" s="230" t="n">
        <v>5</v>
      </c>
      <c r="I12" s="231" t="n">
        <v>725</v>
      </c>
    </row>
  </sheetData>
  <mergeCells count="1">
    <mergeCell ref="B1:I2"/>
  </mergeCells>
  <pageMargins left="0.75" right="0.75" top="1" bottom="1" header="0.5" footer="0.5"/>
  <pageSetup orientation="landscape" fitToWidth="1"/>
</worksheet>
</file>

<file path=xl/worksheets/sheet7.xml><?xml version="1.0" encoding="utf-8"?>
<worksheet xmlns="http://schemas.openxmlformats.org/spreadsheetml/2006/main">
  <sheetPr>
    <tabColor rgb="006D568F"/>
    <outlinePr summaryBelow="1" summaryRight="1"/>
    <pageSetUpPr fitToPage="1"/>
  </sheetPr>
  <dimension ref="B1:N12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5" customWidth="1" min="1" max="1"/>
    <col width="8" customWidth="1" min="2" max="2"/>
    <col width="17" customWidth="1" min="3" max="3"/>
    <col width="17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3" customWidth="1" min="11" max="11"/>
    <col width="13" customWidth="1" min="12" max="12"/>
    <col width="12" customWidth="1" min="13" max="13"/>
    <col width="13" customWidth="1" min="14" max="14"/>
  </cols>
  <sheetData>
    <row r="1" ht="21" customHeight="1">
      <c r="B1" s="232" t="inlineStr">
        <is>
          <t>CRYPTO JOURNAL • ПУЛ ЗАКРЫТЫЕ</t>
        </is>
      </c>
    </row>
    <row r="2" ht="21" customHeight="1"/>
    <row r="3" ht="10" customHeight="1"/>
    <row r="4" ht="28" customHeight="1">
      <c r="B4" s="233" t="inlineStr">
        <is>
          <t>ID</t>
        </is>
      </c>
      <c r="C4" s="233" t="inlineStr">
        <is>
          <t>Дата открытия</t>
        </is>
      </c>
      <c r="D4" s="233" t="inlineStr">
        <is>
          <t>Дата закрытия</t>
        </is>
      </c>
      <c r="E4" s="233" t="inlineStr">
        <is>
          <t>Протокол</t>
        </is>
      </c>
      <c r="F4" s="234" t="inlineStr">
        <is>
          <t>Пара</t>
        </is>
      </c>
      <c r="G4" s="235" t="inlineStr">
        <is>
          <t>Актив 1</t>
        </is>
      </c>
      <c r="H4" s="236" t="inlineStr">
        <is>
          <t>Актив 2</t>
        </is>
      </c>
      <c r="I4" s="226" t="inlineStr">
        <is>
          <t>Актив 1</t>
        </is>
      </c>
      <c r="J4" s="237" t="inlineStr">
        <is>
          <t>Актив 2</t>
        </is>
      </c>
      <c r="K4" s="238" t="inlineStr">
        <is>
          <t>Дельта 1</t>
        </is>
      </c>
      <c r="L4" s="239" t="inlineStr">
        <is>
          <t>Дельта 2</t>
        </is>
      </c>
      <c r="M4" s="239" t="inlineStr">
        <is>
          <t>Действие</t>
        </is>
      </c>
      <c r="N4" s="239" t="inlineStr">
        <is>
          <t>Курс</t>
        </is>
      </c>
    </row>
    <row r="5" ht="22" customHeight="1">
      <c r="B5" s="206" t="inlineStr">
        <is>
          <t>P-0003</t>
        </is>
      </c>
      <c r="C5" s="240" t="n">
        <v>46297</v>
      </c>
      <c r="D5" s="240" t="n">
        <v>46300</v>
      </c>
      <c r="E5" s="206" t="inlineStr">
        <is>
          <t>PancakeSwap</t>
        </is>
      </c>
      <c r="F5" s="241" t="inlineStr">
        <is>
          <t>BNB/USDT</t>
        </is>
      </c>
      <c r="G5" s="228" t="n">
        <v>4</v>
      </c>
      <c r="H5" s="242" t="n">
        <v>2360</v>
      </c>
      <c r="I5" s="228" t="n">
        <v>4.2</v>
      </c>
      <c r="J5" s="229" t="n">
        <v>2236</v>
      </c>
      <c r="K5" s="228">
        <f>IF(AND(ISNUMBER(G5),ISNUMBER(I5)),ROUND(I5-G5,8),"")</f>
        <v/>
      </c>
      <c r="L5" s="229">
        <f>IF(AND(ISNUMBER(H5),ISNUMBER(J5)),ROUND(J5-H5,8),"")</f>
        <v/>
      </c>
      <c r="M5" s="206">
        <f>IF(AND(ISNUMBER(K5),ISNUMBER(L5)),IF(AND(K5&gt;0,L5&lt;0),"Buy",IF(AND(K5&lt;0,L5&gt;0),"Sell","")),"")</f>
        <v/>
      </c>
      <c r="N5" s="229">
        <f>IF(M5="","",ROUND(ABS(L5/K5),8))</f>
        <v/>
      </c>
    </row>
    <row r="6" ht="22" customHeight="1">
      <c r="B6" s="243" t="inlineStr">
        <is>
          <t>P-0006</t>
        </is>
      </c>
      <c r="C6" s="244" t="n">
        <v>46299</v>
      </c>
      <c r="D6" s="244" t="n">
        <v>46300</v>
      </c>
      <c r="E6" s="243" t="inlineStr">
        <is>
          <t>Uniswap</t>
        </is>
      </c>
      <c r="F6" s="245" t="inlineStr">
        <is>
          <t>BTC/USDT</t>
        </is>
      </c>
      <c r="G6" s="230" t="n">
        <v>0.05</v>
      </c>
      <c r="H6" s="246" t="n">
        <v>3125</v>
      </c>
      <c r="I6" s="230" t="n">
        <v>0.048</v>
      </c>
      <c r="J6" s="231" t="n">
        <v>3250</v>
      </c>
      <c r="K6" s="230">
        <f>IF(AND(ISNUMBER(G6),ISNUMBER(I6)),ROUND(I6-G6,8),"")</f>
        <v/>
      </c>
      <c r="L6" s="231">
        <f>IF(AND(ISNUMBER(H6),ISNUMBER(J6)),ROUND(J6-H6,8),"")</f>
        <v/>
      </c>
      <c r="M6" s="243">
        <f>IF(AND(ISNUMBER(K6),ISNUMBER(L6)),IF(AND(K6&gt;0,L6&lt;0),"Buy",IF(AND(K6&lt;0,L6&gt;0),"Sell","")),"")</f>
        <v/>
      </c>
      <c r="N6" s="231">
        <f>IF(M6="","",ROUND(ABS(L6/K6),8))</f>
        <v/>
      </c>
    </row>
    <row r="7" ht="22" customHeight="1">
      <c r="B7" s="206" t="inlineStr">
        <is>
          <t>P-0001</t>
        </is>
      </c>
      <c r="C7" s="240" t="n">
        <v>46296</v>
      </c>
      <c r="D7" s="240" t="n">
        <v>46300</v>
      </c>
      <c r="E7" s="206" t="inlineStr">
        <is>
          <t>Uniswap</t>
        </is>
      </c>
      <c r="F7" s="241" t="inlineStr">
        <is>
          <t>ETH/BTC</t>
        </is>
      </c>
      <c r="G7" s="228" t="n">
        <v>2</v>
      </c>
      <c r="H7" s="242" t="n">
        <v>0.104</v>
      </c>
      <c r="I7" s="228" t="n">
        <v>1.96</v>
      </c>
      <c r="J7" s="229" t="n">
        <v>0.10608</v>
      </c>
      <c r="K7" s="228">
        <f>IF(AND(ISNUMBER(G7),ISNUMBER(I7)),ROUND(I7-G7,8),"")</f>
        <v/>
      </c>
      <c r="L7" s="229">
        <f>IF(AND(ISNUMBER(H7),ISNUMBER(J7)),ROUND(J7-H7,8),"")</f>
        <v/>
      </c>
      <c r="M7" s="206">
        <f>IF(AND(ISNUMBER(K7),ISNUMBER(L7)),IF(AND(K7&gt;0,L7&lt;0),"Buy",IF(AND(K7&lt;0,L7&gt;0),"Sell","")),"")</f>
        <v/>
      </c>
      <c r="N7" s="229">
        <f>IF(M7="","",ROUND(ABS(L7/K7),8))</f>
        <v/>
      </c>
    </row>
    <row r="8" ht="22" customHeight="1">
      <c r="B8" s="243" t="inlineStr">
        <is>
          <t>P-0007</t>
        </is>
      </c>
      <c r="C8" s="244" t="n">
        <v>46299</v>
      </c>
      <c r="D8" s="244" t="n">
        <v>46301</v>
      </c>
      <c r="E8" s="243" t="inlineStr">
        <is>
          <t>PancakeSwap</t>
        </is>
      </c>
      <c r="F8" s="245" t="inlineStr">
        <is>
          <t>ETH/BTC</t>
        </is>
      </c>
      <c r="G8" s="230" t="n">
        <v>1.2</v>
      </c>
      <c r="H8" s="246" t="n">
        <v>0.0624</v>
      </c>
      <c r="I8" s="230" t="n">
        <v>1.25</v>
      </c>
      <c r="J8" s="231" t="n">
        <v>0.0598</v>
      </c>
      <c r="K8" s="230">
        <f>IF(AND(ISNUMBER(G8),ISNUMBER(I8)),ROUND(I8-G8,8),"")</f>
        <v/>
      </c>
      <c r="L8" s="231">
        <f>IF(AND(ISNUMBER(H8),ISNUMBER(J8)),ROUND(J8-H8,8),"")</f>
        <v/>
      </c>
      <c r="M8" s="243">
        <f>IF(AND(ISNUMBER(K8),ISNUMBER(L8)),IF(AND(K8&gt;0,L8&lt;0),"Buy",IF(AND(K8&lt;0,L8&gt;0),"Sell","")),"")</f>
        <v/>
      </c>
      <c r="N8" s="231">
        <f>IF(M8="","",ROUND(ABS(L8/K8),8))</f>
        <v/>
      </c>
    </row>
    <row r="9" ht="22" customHeight="1">
      <c r="B9" s="206" t="inlineStr">
        <is>
          <t>P-0002</t>
        </is>
      </c>
      <c r="C9" s="240" t="n">
        <v>46296</v>
      </c>
      <c r="D9" s="240" t="n">
        <v>46300</v>
      </c>
      <c r="E9" s="206" t="inlineStr">
        <is>
          <t>Raydium</t>
        </is>
      </c>
      <c r="F9" s="241" t="inlineStr">
        <is>
          <t>SOL/USDT</t>
        </is>
      </c>
      <c r="G9" s="228" t="n">
        <v>30</v>
      </c>
      <c r="H9" s="242" t="n">
        <v>4350</v>
      </c>
      <c r="I9" s="228" t="n">
        <v>28.5</v>
      </c>
      <c r="J9" s="229" t="n">
        <v>4567.5</v>
      </c>
      <c r="K9" s="228">
        <f>IF(AND(ISNUMBER(G9),ISNUMBER(I9)),ROUND(I9-G9,8),"")</f>
        <v/>
      </c>
      <c r="L9" s="229">
        <f>IF(AND(ISNUMBER(H9),ISNUMBER(J9)),ROUND(J9-H9,8),"")</f>
        <v/>
      </c>
      <c r="M9" s="206">
        <f>IF(AND(ISNUMBER(K9),ISNUMBER(L9)),IF(AND(K9&gt;0,L9&lt;0),"Buy",IF(AND(K9&lt;0,L9&gt;0),"Sell","")),"")</f>
        <v/>
      </c>
      <c r="N9" s="229">
        <f>IF(M9="","",ROUND(ABS(L9/K9),8))</f>
        <v/>
      </c>
    </row>
    <row r="10" ht="22" customHeight="1">
      <c r="B10" s="243" t="inlineStr">
        <is>
          <t>P-0005</t>
        </is>
      </c>
      <c r="C10" s="244" t="n">
        <v>46298</v>
      </c>
      <c r="D10" s="244" t="n">
        <v>46301</v>
      </c>
      <c r="E10" s="243" t="inlineStr">
        <is>
          <t>Orca</t>
        </is>
      </c>
      <c r="F10" s="245" t="inlineStr">
        <is>
          <t>SOL/USDT</t>
        </is>
      </c>
      <c r="G10" s="230" t="n">
        <v>12</v>
      </c>
      <c r="H10" s="246" t="n">
        <v>1740</v>
      </c>
      <c r="I10" s="230" t="n">
        <v>12.6</v>
      </c>
      <c r="J10" s="231" t="n">
        <v>1653</v>
      </c>
      <c r="K10" s="230">
        <f>IF(AND(ISNUMBER(G10),ISNUMBER(I10)),ROUND(I10-G10,8),"")</f>
        <v/>
      </c>
      <c r="L10" s="231">
        <f>IF(AND(ISNUMBER(H10),ISNUMBER(J10)),ROUND(J10-H10,8),"")</f>
        <v/>
      </c>
      <c r="M10" s="243">
        <f>IF(AND(ISNUMBER(K10),ISNUMBER(L10)),IF(AND(K10&gt;0,L10&lt;0),"Buy",IF(AND(K10&lt;0,L10&gt;0),"Sell","")),"")</f>
        <v/>
      </c>
      <c r="N10" s="231">
        <f>IF(M10="","",ROUND(ABS(L10/K10),8))</f>
        <v/>
      </c>
    </row>
    <row r="11" ht="22" customHeight="1">
      <c r="B11" s="206" t="n"/>
      <c r="C11" s="240" t="n"/>
      <c r="D11" s="240" t="n"/>
      <c r="E11" s="206" t="n"/>
      <c r="F11" s="241" t="n"/>
      <c r="G11" s="228" t="n"/>
      <c r="H11" s="242" t="n"/>
      <c r="I11" s="228" t="n"/>
      <c r="J11" s="229" t="n"/>
      <c r="K11" s="228">
        <f>IF(AND(ISNUMBER(G11),ISNUMBER(I11)),ROUND(I11-G11,8),"")</f>
        <v/>
      </c>
      <c r="L11" s="229">
        <f>IF(AND(ISNUMBER(H11),ISNUMBER(J11)),ROUND(J11-H11,8),"")</f>
        <v/>
      </c>
      <c r="M11" s="206">
        <f>IF(AND(ISNUMBER(K11),ISNUMBER(L11)),IF(AND(K11&gt;0,L11&lt;0),"Buy",IF(AND(K11&lt;0,L11&gt;0),"Sell","")),"")</f>
        <v/>
      </c>
      <c r="N11" s="229">
        <f>IF(M11="","",ROUND(ABS(L11/K11),8))</f>
        <v/>
      </c>
    </row>
    <row r="12" ht="22" customHeight="1">
      <c r="B12" s="243" t="n"/>
      <c r="C12" s="244" t="n"/>
      <c r="D12" s="244" t="n"/>
      <c r="E12" s="243" t="n"/>
      <c r="F12" s="245" t="n"/>
      <c r="G12" s="230" t="n"/>
      <c r="H12" s="246" t="n"/>
      <c r="I12" s="230" t="n"/>
      <c r="J12" s="231" t="n"/>
      <c r="K12" s="230">
        <f>IF(AND(ISNUMBER(G12),ISNUMBER(I12)),ROUND(I12-G12,8),"")</f>
        <v/>
      </c>
      <c r="L12" s="231">
        <f>IF(AND(ISNUMBER(H12),ISNUMBER(J12)),ROUND(J12-H12,8),"")</f>
        <v/>
      </c>
      <c r="M12" s="243">
        <f>IF(AND(ISNUMBER(K12),ISNUMBER(L12)),IF(AND(K12&gt;0,L12&lt;0),"Buy",IF(AND(K12&lt;0,L12&gt;0),"Sell","")),"")</f>
        <v/>
      </c>
      <c r="N12" s="231">
        <f>IF(M12="","",ROUND(ABS(L12/K12),8))</f>
        <v/>
      </c>
    </row>
  </sheetData>
  <mergeCells count="1">
    <mergeCell ref="B1:N2"/>
  </mergeCells>
  <pageMargins left="0.75" right="0.75" top="1" bottom="1" header="0.5" footer="0.5"/>
  <pageSetup orientation="landscape" fitToWidth="1"/>
</worksheet>
</file>

<file path=xl/worksheets/sheet8.xml><?xml version="1.0" encoding="utf-8"?>
<worksheet xmlns="http://schemas.openxmlformats.org/spreadsheetml/2006/main">
  <sheetPr>
    <tabColor rgb="00722F37"/>
    <outlinePr summaryBelow="1" summaryRight="1"/>
    <pageSetUpPr fitToPage="1"/>
  </sheetPr>
  <dimension ref="B1:L12"/>
  <sheetViews>
    <sheetView showGridLines="0" workbookViewId="0">
      <pane ySplit="4" topLeftCell="A5" activePane="bottomLeft" state="frozen"/>
      <selection pane="bottomLeft" activeCell="A1" sqref="A1"/>
      <selection pane="bottomLeft" activeCell="A1" sqref="A1"/>
      <selection pane="bottomRight" activeCell="A1" sqref="A1"/>
    </sheetView>
  </sheetViews>
  <sheetFormatPr baseColWidth="8" defaultRowHeight="15"/>
  <cols>
    <col width="2.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3" customWidth="1" min="7" max="7"/>
    <col width="13" customWidth="1" min="8" max="8"/>
    <col width="11" customWidth="1" min="9" max="9"/>
    <col width="13" customWidth="1" min="10" max="10"/>
    <col width="14" customWidth="1" min="11" max="11"/>
  </cols>
  <sheetData>
    <row r="1" ht="21" customHeight="1">
      <c r="B1" s="1" t="inlineStr">
        <is>
          <t>CRYPTO JOURNAL • ИТОГО ПУЛ</t>
        </is>
      </c>
    </row>
    <row r="2" ht="21" customHeight="1"/>
    <row r="3" ht="10" customHeight="1"/>
    <row r="4" ht="28" customHeight="1">
      <c r="B4" s="162" t="inlineStr">
        <is>
          <t>Пара</t>
        </is>
      </c>
      <c r="C4" s="169" t="inlineStr">
        <is>
          <t>Актив 1</t>
        </is>
      </c>
      <c r="D4" s="170" t="inlineStr">
        <is>
          <t>Актив 2</t>
        </is>
      </c>
      <c r="E4" s="121" t="inlineStr">
        <is>
          <t>Актив 1</t>
        </is>
      </c>
      <c r="F4" s="122" t="inlineStr">
        <is>
          <t>Актив 2</t>
        </is>
      </c>
      <c r="G4" s="163" t="inlineStr">
        <is>
          <t>Дельта 1</t>
        </is>
      </c>
      <c r="H4" s="165" t="inlineStr">
        <is>
          <t>Дельта 2</t>
        </is>
      </c>
      <c r="I4" s="166" t="inlineStr">
        <is>
          <t>Кол-во</t>
        </is>
      </c>
      <c r="J4" s="167" t="inlineStr">
        <is>
          <t>Курс</t>
        </is>
      </c>
      <c r="K4" s="167" t="inlineStr">
        <is>
          <t>Сумма</t>
        </is>
      </c>
      <c r="L4" s="207" t="n"/>
    </row>
    <row r="5" ht="22" customHeight="1">
      <c r="B5" s="175" t="inlineStr">
        <is>
          <t>BNB/USDT</t>
        </is>
      </c>
      <c r="C5" s="247">
        <f>IF($B5="","",SUMIFS(Пул!$F$5:$F$200,Пул!$E$5:$E$200,$B5)+SUMIFS('Пул Закрытые'!$G$5:$G$200,'Пул Закрытые'!$F$5:$F$200,$B5))</f>
        <v/>
      </c>
      <c r="D5" s="248">
        <f>IF($B5="","",SUMIFS(Пул!$G$5:$G$200,Пул!$E$5:$E$200,$B5)+SUMIFS('Пул Закрытые'!$H$5:$H$200,'Пул Закрытые'!$F$5:$F$200,$B5))</f>
        <v/>
      </c>
      <c r="E5" s="247">
        <f>IF($B5="","",SUMIFS(Пул!$H$5:$H$200,Пул!$E$5:$E$200,$B5)+SUMIFS('Пул Закрытые'!$I$5:$I$200,'Пул Закрытые'!$F$5:$F$200,$B5))</f>
        <v/>
      </c>
      <c r="F5" s="248">
        <f>IF($B5="","",SUMIFS(Пул!$I$5:$I$200,Пул!$E$5:$E$200,$B5)+SUMIFS('Пул Закрытые'!$J$5:$J$200,'Пул Закрытые'!$F$5:$F$200,$B5))</f>
        <v/>
      </c>
      <c r="G5" s="176">
        <f>IF($B5="","",ROUND(E5-C5,8))</f>
        <v/>
      </c>
      <c r="H5" s="178">
        <f>IF($B5="","",ROUND(F5-D5,8))</f>
        <v/>
      </c>
      <c r="I5" s="176" t="n"/>
      <c r="J5" s="177" t="n"/>
      <c r="K5" s="177" t="n"/>
      <c r="L5" s="207" t="n"/>
    </row>
    <row r="6" ht="22" customHeight="1">
      <c r="B6" s="181" t="inlineStr">
        <is>
          <t>BTC/USDT</t>
        </is>
      </c>
      <c r="C6" s="249">
        <f>IF($B6="","",SUMIFS(Пул!$F$5:$F$200,Пул!$E$5:$E$200,$B6)+SUMIFS('Пул Закрытые'!$G$5:$G$200,'Пул Закрытые'!$F$5:$F$200,$B6))</f>
        <v/>
      </c>
      <c r="D6" s="250">
        <f>IF($B6="","",SUMIFS(Пул!$G$5:$G$200,Пул!$E$5:$E$200,$B6)+SUMIFS('Пул Закрытые'!$H$5:$H$200,'Пул Закрытые'!$F$5:$F$200,$B6))</f>
        <v/>
      </c>
      <c r="E6" s="249">
        <f>IF($B6="","",SUMIFS(Пул!$H$5:$H$200,Пул!$E$5:$E$200,$B6)+SUMIFS('Пул Закрытые'!$I$5:$I$200,'Пул Закрытые'!$F$5:$F$200,$B6))</f>
        <v/>
      </c>
      <c r="F6" s="250">
        <f>IF($B6="","",SUMIFS(Пул!$I$5:$I$200,Пул!$E$5:$E$200,$B6)+SUMIFS('Пул Закрытые'!$J$5:$J$200,'Пул Закрытые'!$F$5:$F$200,$B6))</f>
        <v/>
      </c>
      <c r="G6" s="182">
        <f>IF($B6="","",ROUND(E6-C6,8))</f>
        <v/>
      </c>
      <c r="H6" s="184">
        <f>IF($B6="","",ROUND(F6-D6,8))</f>
        <v/>
      </c>
      <c r="I6" s="182" t="n"/>
      <c r="J6" s="183" t="n"/>
      <c r="K6" s="183" t="n"/>
      <c r="L6" s="207" t="n"/>
    </row>
    <row r="7" ht="22" customHeight="1">
      <c r="B7" s="175" t="inlineStr">
        <is>
          <t>ETH/BTC</t>
        </is>
      </c>
      <c r="C7" s="247">
        <f>IF($B7="","",SUMIFS(Пул!$F$5:$F$200,Пул!$E$5:$E$200,$B7)+SUMIFS('Пул Закрытые'!$G$5:$G$200,'Пул Закрытые'!$F$5:$F$200,$B7))</f>
        <v/>
      </c>
      <c r="D7" s="248">
        <f>IF($B7="","",SUMIFS(Пул!$G$5:$G$200,Пул!$E$5:$E$200,$B7)+SUMIFS('Пул Закрытые'!$H$5:$H$200,'Пул Закрытые'!$F$5:$F$200,$B7))</f>
        <v/>
      </c>
      <c r="E7" s="247">
        <f>IF($B7="","",SUMIFS(Пул!$H$5:$H$200,Пул!$E$5:$E$200,$B7)+SUMIFS('Пул Закрытые'!$I$5:$I$200,'Пул Закрытые'!$F$5:$F$200,$B7))</f>
        <v/>
      </c>
      <c r="F7" s="248">
        <f>IF($B7="","",SUMIFS(Пул!$I$5:$I$200,Пул!$E$5:$E$200,$B7)+SUMIFS('Пул Закрытые'!$J$5:$J$200,'Пул Закрытые'!$F$5:$F$200,$B7))</f>
        <v/>
      </c>
      <c r="G7" s="176">
        <f>IF($B7="","",ROUND(E7-C7,8))</f>
        <v/>
      </c>
      <c r="H7" s="178">
        <f>IF($B7="","",ROUND(F7-D7,8))</f>
        <v/>
      </c>
      <c r="I7" s="176" t="n"/>
      <c r="J7" s="177" t="n"/>
      <c r="K7" s="177" t="n"/>
      <c r="L7" s="207" t="n"/>
    </row>
    <row r="8" ht="22" customHeight="1">
      <c r="B8" s="181" t="inlineStr">
        <is>
          <t>ETH/USDT</t>
        </is>
      </c>
      <c r="C8" s="249">
        <f>IF($B8="","",SUMIFS(Пул!$F$5:$F$200,Пул!$E$5:$E$200,$B8)+SUMIFS('Пул Закрытые'!$G$5:$G$200,'Пул Закрытые'!$F$5:$F$200,$B8))</f>
        <v/>
      </c>
      <c r="D8" s="250">
        <f>IF($B8="","",SUMIFS(Пул!$G$5:$G$200,Пул!$E$5:$E$200,$B8)+SUMIFS('Пул Закрытые'!$H$5:$H$200,'Пул Закрытые'!$F$5:$F$200,$B8))</f>
        <v/>
      </c>
      <c r="E8" s="249">
        <f>IF($B8="","",SUMIFS(Пул!$H$5:$H$200,Пул!$E$5:$E$200,$B8)+SUMIFS('Пул Закрытые'!$I$5:$I$200,'Пул Закрытые'!$F$5:$F$200,$B8))</f>
        <v/>
      </c>
      <c r="F8" s="250">
        <f>IF($B8="","",SUMIFS(Пул!$I$5:$I$200,Пул!$E$5:$E$200,$B8)+SUMIFS('Пул Закрытые'!$J$5:$J$200,'Пул Закрытые'!$F$5:$F$200,$B8))</f>
        <v/>
      </c>
      <c r="G8" s="182">
        <f>IF($B8="","",ROUND(E8-C8,8))</f>
        <v/>
      </c>
      <c r="H8" s="184">
        <f>IF($B8="","",ROUND(F8-D8,8))</f>
        <v/>
      </c>
      <c r="I8" s="182" t="n"/>
      <c r="J8" s="183" t="n"/>
      <c r="K8" s="183" t="n"/>
      <c r="L8" s="207" t="n"/>
    </row>
    <row r="9" ht="22" customHeight="1">
      <c r="B9" s="175" t="inlineStr">
        <is>
          <t>SOL/USDT</t>
        </is>
      </c>
      <c r="C9" s="247">
        <f>IF($B9="","",SUMIFS(Пул!$F$5:$F$200,Пул!$E$5:$E$200,$B9)+SUMIFS('Пул Закрытые'!$G$5:$G$200,'Пул Закрытые'!$F$5:$F$200,$B9))</f>
        <v/>
      </c>
      <c r="D9" s="248">
        <f>IF($B9="","",SUMIFS(Пул!$G$5:$G$200,Пул!$E$5:$E$200,$B9)+SUMIFS('Пул Закрытые'!$H$5:$H$200,'Пул Закрытые'!$F$5:$F$200,$B9))</f>
        <v/>
      </c>
      <c r="E9" s="247">
        <f>IF($B9="","",SUMIFS(Пул!$H$5:$H$200,Пул!$E$5:$E$200,$B9)+SUMIFS('Пул Закрытые'!$I$5:$I$200,'Пул Закрытые'!$F$5:$F$200,$B9))</f>
        <v/>
      </c>
      <c r="F9" s="248">
        <f>IF($B9="","",SUMIFS(Пул!$I$5:$I$200,Пул!$E$5:$E$200,$B9)+SUMIFS('Пул Закрытые'!$J$5:$J$200,'Пул Закрытые'!$F$5:$F$200,$B9))</f>
        <v/>
      </c>
      <c r="G9" s="176">
        <f>IF($B9="","",ROUND(E9-C9,8))</f>
        <v/>
      </c>
      <c r="H9" s="178">
        <f>IF($B9="","",ROUND(F9-D9,8))</f>
        <v/>
      </c>
      <c r="I9" s="176" t="n"/>
      <c r="J9" s="177" t="n"/>
      <c r="K9" s="177" t="n"/>
      <c r="L9" s="207" t="n"/>
    </row>
    <row r="10" ht="22" customHeight="1">
      <c r="B10" s="181" t="n"/>
      <c r="C10" s="249">
        <f>IF($B10="","",SUMIFS(Пул!$F$5:$F$200,Пул!$E$5:$E$200,$B10)+SUMIFS('Пул Закрытые'!$G$5:$G$200,'Пул Закрытые'!$F$5:$F$200,$B10))</f>
        <v/>
      </c>
      <c r="D10" s="250">
        <f>IF($B10="","",SUMIFS(Пул!$G$5:$G$200,Пул!$E$5:$E$200,$B10)+SUMIFS('Пул Закрытые'!$H$5:$H$200,'Пул Закрытые'!$F$5:$F$200,$B10))</f>
        <v/>
      </c>
      <c r="E10" s="249">
        <f>IF($B10="","",SUMIFS(Пул!$H$5:$H$200,Пул!$E$5:$E$200,$B10)+SUMIFS('Пул Закрытые'!$I$5:$I$200,'Пул Закрытые'!$F$5:$F$200,$B10))</f>
        <v/>
      </c>
      <c r="F10" s="250">
        <f>IF($B10="","",SUMIFS(Пул!$I$5:$I$200,Пул!$E$5:$E$200,$B10)+SUMIFS('Пул Закрытые'!$J$5:$J$200,'Пул Закрытые'!$F$5:$F$200,$B10))</f>
        <v/>
      </c>
      <c r="G10" s="182">
        <f>IF($B10="","",ROUND(E10-C10,8))</f>
        <v/>
      </c>
      <c r="H10" s="184">
        <f>IF($B10="","",ROUND(F10-D10,8))</f>
        <v/>
      </c>
      <c r="I10" s="182" t="n"/>
      <c r="J10" s="183" t="n"/>
      <c r="K10" s="183" t="n"/>
      <c r="L10" s="207" t="n"/>
    </row>
    <row r="11" ht="22" customHeight="1">
      <c r="B11" s="175" t="n"/>
      <c r="C11" s="247">
        <f>IF($B11="","",SUMIFS(Пул!$F$5:$F$200,Пул!$E$5:$E$200,$B11)+SUMIFS('Пул Закрытые'!$G$5:$G$200,'Пул Закрытые'!$F$5:$F$200,$B11))</f>
        <v/>
      </c>
      <c r="D11" s="248">
        <f>IF($B11="","",SUMIFS(Пул!$G$5:$G$200,Пул!$E$5:$E$200,$B11)+SUMIFS('Пул Закрытые'!$H$5:$H$200,'Пул Закрытые'!$F$5:$F$200,$B11))</f>
        <v/>
      </c>
      <c r="E11" s="247">
        <f>IF($B11="","",SUMIFS(Пул!$H$5:$H$200,Пул!$E$5:$E$200,$B11)+SUMIFS('Пул Закрытые'!$I$5:$I$200,'Пул Закрытые'!$F$5:$F$200,$B11))</f>
        <v/>
      </c>
      <c r="F11" s="248">
        <f>IF($B11="","",SUMIFS(Пул!$I$5:$I$200,Пул!$E$5:$E$200,$B11)+SUMIFS('Пул Закрытые'!$J$5:$J$200,'Пул Закрытые'!$F$5:$F$200,$B11))</f>
        <v/>
      </c>
      <c r="G11" s="176">
        <f>IF($B11="","",ROUND(E11-C11,8))</f>
        <v/>
      </c>
      <c r="H11" s="178">
        <f>IF($B11="","",ROUND(F11-D11,8))</f>
        <v/>
      </c>
      <c r="I11" s="176" t="n"/>
      <c r="J11" s="177" t="n"/>
      <c r="K11" s="177" t="n"/>
      <c r="L11" s="207" t="n"/>
    </row>
    <row r="12" ht="22" customHeight="1">
      <c r="B12" s="181" t="n"/>
      <c r="C12" s="249">
        <f>IF($B12="","",SUMIFS(Пул!$F$5:$F$200,Пул!$E$5:$E$200,$B12)+SUMIFS('Пул Закрытые'!$G$5:$G$200,'Пул Закрытые'!$F$5:$F$200,$B12))</f>
        <v/>
      </c>
      <c r="D12" s="250">
        <f>IF($B12="","",SUMIFS(Пул!$G$5:$G$200,Пул!$E$5:$E$200,$B12)+SUMIFS('Пул Закрытые'!$H$5:$H$200,'Пул Закрытые'!$F$5:$F$200,$B12))</f>
        <v/>
      </c>
      <c r="E12" s="249">
        <f>IF($B12="","",SUMIFS(Пул!$H$5:$H$200,Пул!$E$5:$E$200,$B12)+SUMIFS('Пул Закрытые'!$I$5:$I$200,'Пул Закрытые'!$F$5:$F$200,$B12))</f>
        <v/>
      </c>
      <c r="F12" s="250">
        <f>IF($B12="","",SUMIFS(Пул!$I$5:$I$200,Пул!$E$5:$E$200,$B12)+SUMIFS('Пул Закрытые'!$J$5:$J$200,'Пул Закрытые'!$F$5:$F$200,$B12))</f>
        <v/>
      </c>
      <c r="G12" s="182">
        <f>IF($B12="","",ROUND(E12-C12,8))</f>
        <v/>
      </c>
      <c r="H12" s="184">
        <f>IF($B12="","",ROUND(F12-D12,8))</f>
        <v/>
      </c>
      <c r="I12" s="182" t="n"/>
      <c r="J12" s="183" t="n"/>
      <c r="K12" s="183" t="n"/>
      <c r="L12" s="207" t="n"/>
    </row>
  </sheetData>
  <mergeCells count="1">
    <mergeCell ref="B1:K2"/>
  </mergeCells>
  <pageMargins left="0.75" right="0.75" top="1" bottom="1" header="0.5" footer="0.5"/>
  <pageSetup orientation="landscape" fitToWidth="1"/>
</worksheet>
</file>

<file path=xl/worksheets/sheet9.xml><?xml version="1.0" encoding="utf-8"?>
<worksheet xmlns="http://schemas.openxmlformats.org/spreadsheetml/2006/main">
  <sheetPr>
    <tabColor rgb="00244E62"/>
    <outlinePr summaryBelow="1" summaryRight="1"/>
    <pageSetUpPr fitToPage="1"/>
  </sheetPr>
  <dimension ref="B1:Q12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5" customWidth="1" min="1" max="1"/>
    <col width="8" customWidth="1" min="2" max="2"/>
    <col width="18" customWidth="1" min="3" max="3"/>
    <col width="18" customWidth="1" min="4" max="4"/>
    <col width="14" customWidth="1" min="5" max="5"/>
    <col width="14" customWidth="1" min="6" max="6"/>
    <col width="11" customWidth="1" min="7" max="7"/>
    <col width="13" customWidth="1" min="8" max="8"/>
    <col width="14" customWidth="1" min="9" max="9"/>
    <col width="11" customWidth="1" min="10" max="10"/>
    <col width="13" customWidth="1" min="11" max="11"/>
    <col width="14" customWidth="1" min="12" max="12"/>
    <col width="13" customWidth="1" min="13" max="13"/>
    <col width="13" customWidth="1" min="14" max="14"/>
    <col width="13" customWidth="1" min="15" max="15"/>
    <col width="12" customWidth="1" min="16" max="16"/>
    <col width="14" customWidth="1" min="17" max="17"/>
  </cols>
  <sheetData>
    <row r="1" ht="21" customHeight="1">
      <c r="B1" s="1" t="inlineStr">
        <is>
          <t>CRYPTO JOURNAL • ЗАКРЫТЫЕ</t>
        </is>
      </c>
    </row>
    <row r="2" ht="21" customHeight="1"/>
    <row r="3" ht="10" customHeight="1"/>
    <row r="4" ht="28" customHeight="1">
      <c r="B4" s="161" t="inlineStr">
        <is>
          <t>ID</t>
        </is>
      </c>
      <c r="C4" s="161" t="inlineStr">
        <is>
          <t>Дата открытия</t>
        </is>
      </c>
      <c r="D4" s="161" t="inlineStr">
        <is>
          <t>Дата закрытия</t>
        </is>
      </c>
      <c r="E4" s="161" t="inlineStr">
        <is>
          <t>Протокол</t>
        </is>
      </c>
      <c r="F4" s="162" t="inlineStr">
        <is>
          <t>Пара</t>
        </is>
      </c>
      <c r="G4" s="163" t="inlineStr">
        <is>
          <t>Кол-во</t>
        </is>
      </c>
      <c r="H4" s="185" t="inlineStr">
        <is>
          <t>Курс</t>
        </is>
      </c>
      <c r="I4" s="165" t="inlineStr">
        <is>
          <t>Сумма</t>
        </is>
      </c>
      <c r="J4" s="166" t="inlineStr">
        <is>
          <t>Кол-во</t>
        </is>
      </c>
      <c r="K4" s="167" t="inlineStr">
        <is>
          <t>Курс</t>
        </is>
      </c>
      <c r="L4" s="168" t="inlineStr">
        <is>
          <t>Сумма</t>
        </is>
      </c>
      <c r="M4" s="169" t="inlineStr">
        <is>
          <t>Дельта 1</t>
        </is>
      </c>
      <c r="N4" s="170" t="inlineStr">
        <is>
          <t>Дельта 2</t>
        </is>
      </c>
      <c r="O4" s="171" t="inlineStr">
        <is>
          <t>P&amp;L</t>
        </is>
      </c>
      <c r="P4" s="172" t="inlineStr">
        <is>
          <t>P&amp;L%</t>
        </is>
      </c>
      <c r="Q4" s="172" t="inlineStr">
        <is>
          <t>Break even</t>
        </is>
      </c>
    </row>
    <row r="5" ht="22" customHeight="1">
      <c r="B5" s="186" t="inlineStr">
        <is>
          <t>T-0006</t>
        </is>
      </c>
      <c r="C5" s="209" t="n">
        <v>46299</v>
      </c>
      <c r="D5" s="209" t="n">
        <v>46300</v>
      </c>
      <c r="E5" s="186" t="inlineStr">
        <is>
          <t>OKX</t>
        </is>
      </c>
      <c r="F5" s="175" t="inlineStr">
        <is>
          <t>BTC/USDT</t>
        </is>
      </c>
      <c r="G5" s="176" t="n">
        <v>0.05</v>
      </c>
      <c r="H5" s="177" t="n">
        <v>62200</v>
      </c>
      <c r="I5" s="178" t="n">
        <v>3103.78</v>
      </c>
      <c r="J5" s="176" t="n">
        <v>0.05</v>
      </c>
      <c r="K5" s="177" t="n">
        <v>63000</v>
      </c>
      <c r="L5" s="178" t="n">
        <v>3143.7</v>
      </c>
      <c r="M5" s="176">
        <f>IF(AND(AND(ISNUMBER(G5),ISNUMBER(J5),ISNUMBER(I5),ISNUMBER(L5)),G5&gt;0,J5&gt;0,I5&lt;&gt;0),ROUND(MIN(G5,J5)*(L5/J5-I5/G5),8),"")</f>
        <v/>
      </c>
      <c r="N5" s="178">
        <f>IF(AND(AND(ISNUMBER(G5),ISNUMBER(J5),ISNUMBER(I5),ISNUMBER(L5)),G5&gt;0,J5&gt;0,I5&lt;&gt;0),ROUND((L5/J5)/(I5/G5)*100-100,2),"")</f>
        <v/>
      </c>
      <c r="O5" s="176" t="n"/>
      <c r="P5" s="177" t="n"/>
      <c r="Q5" s="177" t="n"/>
    </row>
    <row r="6" ht="22" customHeight="1">
      <c r="B6" s="187" t="inlineStr">
        <is>
          <t>T-0003</t>
        </is>
      </c>
      <c r="C6" s="210" t="n">
        <v>46298</v>
      </c>
      <c r="D6" s="210" t="n">
        <v>46300</v>
      </c>
      <c r="E6" s="187" t="inlineStr">
        <is>
          <t>OKX</t>
        </is>
      </c>
      <c r="F6" s="181" t="inlineStr">
        <is>
          <t>SOL/USDT</t>
        </is>
      </c>
      <c r="G6" s="182" t="n">
        <v>20</v>
      </c>
      <c r="H6" s="183" t="n">
        <v>145</v>
      </c>
      <c r="I6" s="184" t="n">
        <v>2894.2</v>
      </c>
      <c r="J6" s="182" t="n">
        <v>20</v>
      </c>
      <c r="K6" s="183" t="n">
        <v>152</v>
      </c>
      <c r="L6" s="184" t="n">
        <v>3033.92</v>
      </c>
      <c r="M6" s="182">
        <f>IF(AND(AND(ISNUMBER(G6),ISNUMBER(J6),ISNUMBER(I6),ISNUMBER(L6)),G6&gt;0,J6&gt;0,I6&lt;&gt;0),ROUND(MIN(G6,J6)*(L6/J6-I6/G6),8),"")</f>
        <v/>
      </c>
      <c r="N6" s="184">
        <f>IF(AND(AND(ISNUMBER(G6),ISNUMBER(J6),ISNUMBER(I6),ISNUMBER(L6)),G6&gt;0,J6&gt;0,I6&lt;&gt;0),ROUND((L6/J6)/(I6/G6)*100-100,2),"")</f>
        <v/>
      </c>
      <c r="O6" s="182" t="n"/>
      <c r="P6" s="183" t="n"/>
      <c r="Q6" s="183" t="n"/>
    </row>
    <row r="7" ht="22" customHeight="1">
      <c r="B7" s="186" t="n"/>
      <c r="C7" s="209" t="n"/>
      <c r="D7" s="209" t="n"/>
      <c r="E7" s="186" t="n"/>
      <c r="F7" s="175" t="n"/>
      <c r="G7" s="176" t="n"/>
      <c r="H7" s="177" t="n"/>
      <c r="I7" s="178" t="n"/>
      <c r="J7" s="176" t="n"/>
      <c r="K7" s="177" t="n"/>
      <c r="L7" s="178" t="n"/>
      <c r="M7" s="176">
        <f>IF(AND(AND(ISNUMBER(G7),ISNUMBER(J7),ISNUMBER(I7),ISNUMBER(L7)),G7&gt;0,J7&gt;0,I7&lt;&gt;0),ROUND(MIN(G7,J7)*(L7/J7-I7/G7),8),"")</f>
        <v/>
      </c>
      <c r="N7" s="178">
        <f>IF(AND(AND(ISNUMBER(G7),ISNUMBER(J7),ISNUMBER(I7),ISNUMBER(L7)),G7&gt;0,J7&gt;0,I7&lt;&gt;0),ROUND((L7/J7)/(I7/G7)*100-100,2),"")</f>
        <v/>
      </c>
      <c r="O7" s="176" t="n"/>
      <c r="P7" s="177" t="n"/>
      <c r="Q7" s="177" t="n"/>
    </row>
    <row r="8" ht="22" customHeight="1">
      <c r="B8" s="187" t="n"/>
      <c r="C8" s="210" t="n"/>
      <c r="D8" s="210" t="n"/>
      <c r="E8" s="187" t="n"/>
      <c r="F8" s="181" t="n"/>
      <c r="G8" s="182" t="n"/>
      <c r="H8" s="183" t="n"/>
      <c r="I8" s="184" t="n"/>
      <c r="J8" s="182" t="n"/>
      <c r="K8" s="183" t="n"/>
      <c r="L8" s="184" t="n"/>
      <c r="M8" s="182">
        <f>IF(AND(AND(ISNUMBER(G8),ISNUMBER(J8),ISNUMBER(I8),ISNUMBER(L8)),G8&gt;0,J8&gt;0,I8&lt;&gt;0),ROUND(MIN(G8,J8)*(L8/J8-I8/G8),8),"")</f>
        <v/>
      </c>
      <c r="N8" s="184">
        <f>IF(AND(AND(ISNUMBER(G8),ISNUMBER(J8),ISNUMBER(I8),ISNUMBER(L8)),G8&gt;0,J8&gt;0,I8&lt;&gt;0),ROUND((L8/J8)/(I8/G8)*100-100,2),"")</f>
        <v/>
      </c>
      <c r="O8" s="182" t="n"/>
      <c r="P8" s="183" t="n"/>
      <c r="Q8" s="183" t="n"/>
    </row>
    <row r="9" ht="22" customHeight="1">
      <c r="B9" s="186" t="n"/>
      <c r="C9" s="209" t="n"/>
      <c r="D9" s="209" t="n"/>
      <c r="E9" s="186" t="n"/>
      <c r="F9" s="175" t="n"/>
      <c r="G9" s="176" t="n"/>
      <c r="H9" s="177" t="n"/>
      <c r="I9" s="178" t="n"/>
      <c r="J9" s="176" t="n"/>
      <c r="K9" s="177" t="n"/>
      <c r="L9" s="178" t="n"/>
      <c r="M9" s="176">
        <f>IF(AND(AND(ISNUMBER(G9),ISNUMBER(J9),ISNUMBER(I9),ISNUMBER(L9)),G9&gt;0,J9&gt;0,I9&lt;&gt;0),ROUND(MIN(G9,J9)*(L9/J9-I9/G9),8),"")</f>
        <v/>
      </c>
      <c r="N9" s="178">
        <f>IF(AND(AND(ISNUMBER(G9),ISNUMBER(J9),ISNUMBER(I9),ISNUMBER(L9)),G9&gt;0,J9&gt;0,I9&lt;&gt;0),ROUND((L9/J9)/(I9/G9)*100-100,2),"")</f>
        <v/>
      </c>
      <c r="O9" s="176" t="n"/>
      <c r="P9" s="177" t="n"/>
      <c r="Q9" s="177" t="n"/>
    </row>
    <row r="10" ht="22" customHeight="1">
      <c r="B10" s="187" t="n"/>
      <c r="C10" s="210" t="n"/>
      <c r="D10" s="210" t="n"/>
      <c r="E10" s="187" t="n"/>
      <c r="F10" s="181" t="n"/>
      <c r="G10" s="182" t="n"/>
      <c r="H10" s="183" t="n"/>
      <c r="I10" s="184" t="n"/>
      <c r="J10" s="182" t="n"/>
      <c r="K10" s="183" t="n"/>
      <c r="L10" s="184" t="n"/>
      <c r="M10" s="182">
        <f>IF(AND(AND(ISNUMBER(G10),ISNUMBER(J10),ISNUMBER(I10),ISNUMBER(L10)),G10&gt;0,J10&gt;0,I10&lt;&gt;0),ROUND(MIN(G10,J10)*(L10/J10-I10/G10),8),"")</f>
        <v/>
      </c>
      <c r="N10" s="184">
        <f>IF(AND(AND(ISNUMBER(G10),ISNUMBER(J10),ISNUMBER(I10),ISNUMBER(L10)),G10&gt;0,J10&gt;0,I10&lt;&gt;0),ROUND((L10/J10)/(I10/G10)*100-100,2),"")</f>
        <v/>
      </c>
      <c r="O10" s="182" t="n"/>
      <c r="P10" s="183" t="n"/>
      <c r="Q10" s="183" t="n"/>
    </row>
    <row r="11" ht="22" customHeight="1">
      <c r="B11" s="186" t="n"/>
      <c r="C11" s="209" t="n"/>
      <c r="D11" s="209" t="n"/>
      <c r="E11" s="186" t="n"/>
      <c r="F11" s="175" t="n"/>
      <c r="G11" s="176" t="n"/>
      <c r="H11" s="177" t="n"/>
      <c r="I11" s="178" t="n"/>
      <c r="J11" s="176" t="n"/>
      <c r="K11" s="177" t="n"/>
      <c r="L11" s="178" t="n"/>
      <c r="M11" s="176">
        <f>IF(AND(AND(ISNUMBER(G11),ISNUMBER(J11),ISNUMBER(I11),ISNUMBER(L11)),G11&gt;0,J11&gt;0,I11&lt;&gt;0),ROUND(MIN(G11,J11)*(L11/J11-I11/G11),8),"")</f>
        <v/>
      </c>
      <c r="N11" s="178">
        <f>IF(AND(AND(ISNUMBER(G11),ISNUMBER(J11),ISNUMBER(I11),ISNUMBER(L11)),G11&gt;0,J11&gt;0,I11&lt;&gt;0),ROUND((L11/J11)/(I11/G11)*100-100,2),"")</f>
        <v/>
      </c>
      <c r="O11" s="176" t="n"/>
      <c r="P11" s="177" t="n"/>
      <c r="Q11" s="177" t="n"/>
    </row>
    <row r="12" ht="22" customHeight="1">
      <c r="B12" s="187" t="n"/>
      <c r="C12" s="210" t="n"/>
      <c r="D12" s="210" t="n"/>
      <c r="E12" s="187" t="n"/>
      <c r="F12" s="181" t="n"/>
      <c r="G12" s="182" t="n"/>
      <c r="H12" s="183" t="n"/>
      <c r="I12" s="184" t="n"/>
      <c r="J12" s="182" t="n"/>
      <c r="K12" s="183" t="n"/>
      <c r="L12" s="184" t="n"/>
      <c r="M12" s="182">
        <f>IF(AND(AND(ISNUMBER(G12),ISNUMBER(J12),ISNUMBER(I12),ISNUMBER(L12)),G12&gt;0,J12&gt;0,I12&lt;&gt;0),ROUND(MIN(G12,J12)*(L12/J12-I12/G12),8),"")</f>
        <v/>
      </c>
      <c r="N12" s="184">
        <f>IF(AND(AND(ISNUMBER(G12),ISNUMBER(J12),ISNUMBER(I12),ISNUMBER(L12)),G12&gt;0,J12&gt;0,I12&lt;&gt;0),ROUND((L12/J12)/(I12/G12)*100-100,2),"")</f>
        <v/>
      </c>
      <c r="O12" s="182" t="n"/>
      <c r="P12" s="183" t="n"/>
      <c r="Q12" s="183" t="n"/>
    </row>
  </sheetData>
  <mergeCells count="1">
    <mergeCell ref="B1:Q2"/>
  </mergeCells>
  <pageMargins left="0.75" right="0.75" top="1" bottom="1" header="0.5" footer="0.5"/>
  <pageSetup orientation="landscape" fitToWidth="1"/>
</worksheet>
</file>

<file path=xl/worksheets/sheet10.xml><?xml version="1.0" encoding="utf-8"?>
<worksheet xmlns="http://schemas.openxmlformats.org/spreadsheetml/2006/main">
  <sheetPr>
    <tabColor rgb="00722F37"/>
    <outlinePr summaryBelow="1" summaryRight="1"/>
    <pageSetUpPr fitToPage="1"/>
  </sheetPr>
  <dimension ref="B1:M12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5" customWidth="1" min="1" max="1"/>
    <col width="14" customWidth="1" min="2" max="2"/>
    <col width="11" customWidth="1" min="3" max="3"/>
    <col width="13" customWidth="1" min="4" max="4"/>
    <col width="14" customWidth="1" min="5" max="5"/>
    <col width="11" customWidth="1" min="6" max="6"/>
    <col width="13" customWidth="1" min="7" max="7"/>
    <col width="14" customWidth="1" min="8" max="8"/>
    <col width="13" customWidth="1" min="9" max="9"/>
    <col width="13" customWidth="1" min="10" max="10"/>
    <col width="13" customWidth="1" min="11" max="11"/>
    <col width="12" customWidth="1" min="12" max="12"/>
    <col width="14" customWidth="1" min="13" max="13"/>
  </cols>
  <sheetData>
    <row r="1" ht="21" customHeight="1">
      <c r="B1" s="1" t="inlineStr">
        <is>
          <t>CRYPTO JOURNAL • ИТОГО</t>
        </is>
      </c>
    </row>
    <row r="2" ht="21" customHeight="1"/>
    <row r="3" ht="10" customHeight="1"/>
    <row r="4" ht="28" customHeight="1">
      <c r="B4" s="162" t="inlineStr">
        <is>
          <t>Пара</t>
        </is>
      </c>
      <c r="C4" s="163" t="inlineStr">
        <is>
          <t>Кол-во</t>
        </is>
      </c>
      <c r="D4" s="185" t="inlineStr">
        <is>
          <t>Курс</t>
        </is>
      </c>
      <c r="E4" s="165" t="inlineStr">
        <is>
          <t>Сумма</t>
        </is>
      </c>
      <c r="F4" s="166" t="inlineStr">
        <is>
          <t>Кол-во</t>
        </is>
      </c>
      <c r="G4" s="167" t="inlineStr">
        <is>
          <t>Курс</t>
        </is>
      </c>
      <c r="H4" s="168" t="inlineStr">
        <is>
          <t>Сумма</t>
        </is>
      </c>
      <c r="I4" s="169" t="inlineStr">
        <is>
          <t>Дельта 1</t>
        </is>
      </c>
      <c r="J4" s="170" t="inlineStr">
        <is>
          <t>Дельта 2</t>
        </is>
      </c>
      <c r="K4" s="171" t="inlineStr">
        <is>
          <t>P&amp;L</t>
        </is>
      </c>
      <c r="L4" s="172" t="inlineStr">
        <is>
          <t>P&amp;L%</t>
        </is>
      </c>
      <c r="M4" s="172" t="inlineStr">
        <is>
          <t>Break even</t>
        </is>
      </c>
    </row>
    <row r="5" ht="22" customHeight="1">
      <c r="B5" s="175" t="inlineStr">
        <is>
          <t>ETH/BTC</t>
        </is>
      </c>
      <c r="C5" s="176" t="n">
        <v>0.5</v>
      </c>
      <c r="D5" s="177" t="n">
        <v>0.0521</v>
      </c>
      <c r="E5" s="178" t="n">
        <v>0.02605</v>
      </c>
      <c r="F5" s="176" t="n">
        <v>0.5</v>
      </c>
      <c r="G5" s="177" t="n">
        <v>0.0534</v>
      </c>
      <c r="H5" s="178" t="n">
        <v>0.0267</v>
      </c>
      <c r="I5" s="176">
        <f>IF(AND(AND(ISNUMBER(C5),ISNUMBER(F5),ISNUMBER(E5),ISNUMBER(H5)),C5&gt;0,F5&gt;0,E5&lt;&gt;0),ROUND(MIN(C5,F5)*(H5/F5-E5/C5),8),"")</f>
        <v/>
      </c>
      <c r="J5" s="178">
        <f>IF(AND(AND(ISNUMBER(C5),ISNUMBER(F5),ISNUMBER(E5),ISNUMBER(H5)),C5&gt;0,F5&gt;0,E5&lt;&gt;0),ROUND((H5/F5)/(E5/C5)*100-100,2),"")</f>
        <v/>
      </c>
      <c r="K5" s="176" t="n">
        <v>0.00063</v>
      </c>
      <c r="L5" s="177" t="n">
        <v>2.42</v>
      </c>
      <c r="M5" s="177" t="n">
        <v>0.0522</v>
      </c>
    </row>
    <row r="6" ht="22" customHeight="1">
      <c r="B6" s="181" t="inlineStr">
        <is>
          <t>BTC/USDT</t>
        </is>
      </c>
      <c r="C6" s="182" t="n">
        <v>0.25</v>
      </c>
      <c r="D6" s="183" t="n">
        <v>62000</v>
      </c>
      <c r="E6" s="184" t="n">
        <v>15500</v>
      </c>
      <c r="F6" s="182" t="n">
        <v>0.25</v>
      </c>
      <c r="G6" s="183" t="n">
        <v>64000</v>
      </c>
      <c r="H6" s="184" t="n">
        <v>16000</v>
      </c>
      <c r="I6" s="182">
        <f>IF(AND(AND(ISNUMBER(C6),ISNUMBER(F6),ISNUMBER(E6),ISNUMBER(H6)),C6&gt;0,F6&gt;0,E6&lt;&gt;0),ROUND(MIN(C6,F6)*(H6/F6-E6/C6),8),"")</f>
        <v/>
      </c>
      <c r="J6" s="184">
        <f>IF(AND(AND(ISNUMBER(C6),ISNUMBER(F6),ISNUMBER(E6),ISNUMBER(H6)),C6&gt;0,F6&gt;0,E6&lt;&gt;0),ROUND((H6/F6)/(E6/C6)*100-100,2),"")</f>
        <v/>
      </c>
      <c r="K6" s="182" t="n">
        <v>485</v>
      </c>
      <c r="L6" s="183" t="n">
        <v>3.13</v>
      </c>
      <c r="M6" s="183" t="n">
        <v>62155</v>
      </c>
    </row>
    <row r="7" ht="22" customHeight="1">
      <c r="B7" s="175" t="inlineStr">
        <is>
          <t>SOL/USDT</t>
        </is>
      </c>
      <c r="C7" s="176" t="n">
        <v>20</v>
      </c>
      <c r="D7" s="177" t="n">
        <v>145</v>
      </c>
      <c r="E7" s="178" t="n">
        <v>2900</v>
      </c>
      <c r="F7" s="176" t="n">
        <v>20</v>
      </c>
      <c r="G7" s="177" t="n">
        <v>139</v>
      </c>
      <c r="H7" s="178" t="n">
        <v>2780</v>
      </c>
      <c r="I7" s="176">
        <f>IF(AND(AND(ISNUMBER(C7),ISNUMBER(F7),ISNUMBER(E7),ISNUMBER(H7)),C7&gt;0,F7&gt;0,E7&lt;&gt;0),ROUND(MIN(C7,F7)*(H7/F7-E7/C7),8),"")</f>
        <v/>
      </c>
      <c r="J7" s="178">
        <f>IF(AND(AND(ISNUMBER(C7),ISNUMBER(F7),ISNUMBER(E7),ISNUMBER(H7)),C7&gt;0,F7&gt;0,E7&lt;&gt;0),ROUND((H7/F7)/(E7/C7)*100-100,2),"")</f>
        <v/>
      </c>
      <c r="K7" s="176" t="n">
        <v>-125</v>
      </c>
      <c r="L7" s="177" t="n">
        <v>-4.31</v>
      </c>
      <c r="M7" s="177" t="n">
        <v>145.3</v>
      </c>
    </row>
    <row r="8" ht="22" customHeight="1">
      <c r="B8" s="181" t="inlineStr">
        <is>
          <t>ETH/USDT</t>
        </is>
      </c>
      <c r="C8" s="182" t="n">
        <v>1.2</v>
      </c>
      <c r="D8" s="183" t="n">
        <v>3200</v>
      </c>
      <c r="E8" s="184" t="n">
        <v>3840</v>
      </c>
      <c r="F8" s="182" t="n">
        <v>1.2</v>
      </c>
      <c r="G8" s="183" t="n">
        <v>3350</v>
      </c>
      <c r="H8" s="184" t="n">
        <v>4020</v>
      </c>
      <c r="I8" s="182">
        <f>IF(AND(AND(ISNUMBER(C8),ISNUMBER(F8),ISNUMBER(E8),ISNUMBER(H8)),C8&gt;0,F8&gt;0,E8&lt;&gt;0),ROUND(MIN(C8,F8)*(H8/F8-E8/C8),8),"")</f>
        <v/>
      </c>
      <c r="J8" s="184">
        <f>IF(AND(AND(ISNUMBER(C8),ISNUMBER(F8),ISNUMBER(E8),ISNUMBER(H8)),C8&gt;0,F8&gt;0,E8&lt;&gt;0),ROUND((H8/F8)/(E8/C8)*100-100,2),"")</f>
        <v/>
      </c>
      <c r="K8" s="182" t="n">
        <v>175</v>
      </c>
      <c r="L8" s="183" t="n">
        <v>4.56</v>
      </c>
      <c r="M8" s="183" t="n">
        <v>3203.84</v>
      </c>
    </row>
    <row r="9" ht="22" customHeight="1">
      <c r="B9" s="175" t="inlineStr">
        <is>
          <t>BNB/USDT</t>
        </is>
      </c>
      <c r="C9" s="176" t="n">
        <v>5</v>
      </c>
      <c r="D9" s="177" t="n">
        <v>590</v>
      </c>
      <c r="E9" s="178" t="n">
        <v>2950</v>
      </c>
      <c r="F9" s="176" t="n">
        <v>5</v>
      </c>
      <c r="G9" s="177" t="n">
        <v>575</v>
      </c>
      <c r="H9" s="178" t="n">
        <v>2875</v>
      </c>
      <c r="I9" s="176">
        <f>IF(AND(AND(ISNUMBER(C9),ISNUMBER(F9),ISNUMBER(E9),ISNUMBER(H9)),C9&gt;0,F9&gt;0,E9&lt;&gt;0),ROUND(MIN(C9,F9)*(H9/F9-E9/C9),8),"")</f>
        <v/>
      </c>
      <c r="J9" s="178">
        <f>IF(AND(AND(ISNUMBER(C9),ISNUMBER(F9),ISNUMBER(E9),ISNUMBER(H9)),C9&gt;0,F9&gt;0,E9&lt;&gt;0),ROUND((H9/F9)/(E9/C9)*100-100,2),"")</f>
        <v/>
      </c>
      <c r="K9" s="176" t="n">
        <v>-80</v>
      </c>
      <c r="L9" s="177" t="n">
        <v>-2.71</v>
      </c>
      <c r="M9" s="177" t="n">
        <v>590.6</v>
      </c>
    </row>
    <row r="10" ht="22" customHeight="1">
      <c r="B10" s="181" t="inlineStr">
        <is>
          <t>BTC/USDT</t>
        </is>
      </c>
      <c r="C10" s="182" t="n">
        <v>0.1</v>
      </c>
      <c r="D10" s="183" t="n">
        <v>62500</v>
      </c>
      <c r="E10" s="184" t="n">
        <v>6250</v>
      </c>
      <c r="F10" s="182" t="n">
        <v>0.1</v>
      </c>
      <c r="G10" s="183" t="n">
        <v>63100</v>
      </c>
      <c r="H10" s="184" t="n">
        <v>6310</v>
      </c>
      <c r="I10" s="182">
        <f>IF(AND(AND(ISNUMBER(C10),ISNUMBER(F10),ISNUMBER(E10),ISNUMBER(H10)),C10&gt;0,F10&gt;0,E10&lt;&gt;0),ROUND(MIN(C10,F10)*(H10/F10-E10/C10),8),"")</f>
        <v/>
      </c>
      <c r="J10" s="184">
        <f>IF(AND(AND(ISNUMBER(C10),ISNUMBER(F10),ISNUMBER(E10),ISNUMBER(H10)),C10&gt;0,F10&gt;0,E10&lt;&gt;0),ROUND((H10/F10)/(E10/C10)*100-100,2),"")</f>
        <v/>
      </c>
      <c r="K10" s="182" t="n">
        <v>55</v>
      </c>
      <c r="L10" s="183" t="n">
        <v>0.88</v>
      </c>
      <c r="M10" s="183" t="n">
        <v>62512.5</v>
      </c>
    </row>
    <row r="11" ht="22" customHeight="1">
      <c r="B11" s="175" t="inlineStr">
        <is>
          <t>ETH/BTC</t>
        </is>
      </c>
      <c r="C11" s="176" t="n">
        <v>0.8</v>
      </c>
      <c r="D11" s="177" t="n">
        <v>0.0518</v>
      </c>
      <c r="E11" s="178" t="n">
        <v>0.04144</v>
      </c>
      <c r="F11" s="176" t="n">
        <v>0.8</v>
      </c>
      <c r="G11" s="177" t="n">
        <v>0.053</v>
      </c>
      <c r="H11" s="178" t="n">
        <v>0.0424</v>
      </c>
      <c r="I11" s="176">
        <f>IF(AND(AND(ISNUMBER(C11),ISNUMBER(F11),ISNUMBER(E11),ISNUMBER(H11)),C11&gt;0,F11&gt;0,E11&lt;&gt;0),ROUND(MIN(C11,F11)*(H11/F11-E11/C11),8),"")</f>
        <v/>
      </c>
      <c r="J11" s="178">
        <f>IF(AND(AND(ISNUMBER(C11),ISNUMBER(F11),ISNUMBER(E11),ISNUMBER(H11)),C11&gt;0,F11&gt;0,E11&lt;&gt;0),ROUND((H11/F11)/(E11/C11)*100-100,2),"")</f>
        <v/>
      </c>
      <c r="K11" s="176" t="n">
        <v>0.00092</v>
      </c>
      <c r="L11" s="177" t="n">
        <v>2.22</v>
      </c>
      <c r="M11" s="177" t="n">
        <v>0.05185</v>
      </c>
    </row>
    <row r="12" ht="22" customHeight="1">
      <c r="B12" s="181" t="inlineStr">
        <is>
          <t>SOL/USDT</t>
        </is>
      </c>
      <c r="C12" s="182" t="n">
        <v>15</v>
      </c>
      <c r="D12" s="183" t="n">
        <v>142</v>
      </c>
      <c r="E12" s="184" t="n">
        <v>2130</v>
      </c>
      <c r="F12" s="182" t="n">
        <v>15</v>
      </c>
      <c r="G12" s="183" t="n">
        <v>147</v>
      </c>
      <c r="H12" s="184" t="n">
        <v>2205</v>
      </c>
      <c r="I12" s="182">
        <f>IF(AND(AND(ISNUMBER(C12),ISNUMBER(F12),ISNUMBER(E12),ISNUMBER(H12)),C12&gt;0,F12&gt;0,E12&lt;&gt;0),ROUND(MIN(C12,F12)*(H12/F12-E12/C12),8),"")</f>
        <v/>
      </c>
      <c r="J12" s="184">
        <f>IF(AND(AND(ISNUMBER(C12),ISNUMBER(F12),ISNUMBER(E12),ISNUMBER(H12)),C12&gt;0,F12&gt;0,E12&lt;&gt;0),ROUND((H12/F12)/(E12/C12)*100-100,2),"")</f>
        <v/>
      </c>
      <c r="K12" s="182" t="n">
        <v>70</v>
      </c>
      <c r="L12" s="183" t="n">
        <v>3.29</v>
      </c>
      <c r="M12" s="183" t="n">
        <v>142.28</v>
      </c>
    </row>
  </sheetData>
  <mergeCells count="1">
    <mergeCell ref="B1:M2"/>
  </mergeCells>
  <pageMargins left="0.75" right="0.75" top="1" bottom="1" header="0.5" footer="0.5"/>
  <pageSetup orientation="landscape" fitToWidth="1"/>
</worksheet>
</file>

<file path=xl/worksheets/sheet11.xml><?xml version="1.0" encoding="utf-8"?>
<worksheet xmlns="http://schemas.openxmlformats.org/spreadsheetml/2006/main">
  <sheetPr>
    <tabColor rgb="006F9EB3"/>
    <outlinePr summaryBelow="1" summaryRight="1"/>
    <pageSetUpPr fitToPage="1"/>
  </sheetPr>
  <dimension ref="B1:H11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18" customWidth="1" min="2" max="2"/>
    <col width="22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1" customHeight="1">
      <c r="B1" s="1" t="inlineStr">
        <is>
          <t>CRYPTO JOURNAL • СПРАВОЧНИКИ</t>
        </is>
      </c>
    </row>
    <row r="2" ht="21" customHeight="1"/>
    <row r="4" ht="22" customHeight="1">
      <c r="B4" s="205" t="inlineStr">
        <is>
          <t>Протокол</t>
        </is>
      </c>
      <c r="C4" s="205" t="inlineStr">
        <is>
          <t>Действие (Торговля)</t>
        </is>
      </c>
    </row>
    <row r="5" ht="22" customHeight="1">
      <c r="B5" s="206" t="inlineStr">
        <is>
          <t>Binance</t>
        </is>
      </c>
      <c r="C5" s="206" t="inlineStr">
        <is>
          <t>Buy</t>
        </is>
      </c>
    </row>
    <row r="6" ht="22" customHeight="1">
      <c r="B6" s="206" t="inlineStr">
        <is>
          <t>Bybit</t>
        </is>
      </c>
      <c r="C6" s="206" t="inlineStr">
        <is>
          <t>Sell</t>
        </is>
      </c>
    </row>
    <row r="7" ht="22" customHeight="1">
      <c r="B7" s="206" t="inlineStr">
        <is>
          <t>OKX</t>
        </is>
      </c>
      <c r="C7" s="207" t="n"/>
    </row>
    <row r="8" ht="22" customHeight="1">
      <c r="B8" s="206" t="inlineStr">
        <is>
          <t>Uniswap</t>
        </is>
      </c>
      <c r="C8" s="207" t="n"/>
    </row>
    <row r="9" ht="22" customHeight="1">
      <c r="B9" s="206" t="inlineStr">
        <is>
          <t>AAVE</t>
        </is>
      </c>
      <c r="C9" s="207" t="n"/>
    </row>
    <row r="10" ht="22" customHeight="1">
      <c r="B10" s="206" t="inlineStr">
        <is>
          <t>Raydium</t>
        </is>
      </c>
      <c r="C10" s="207" t="n"/>
    </row>
    <row r="11">
      <c r="B11" s="207" t="n"/>
      <c r="C11" s="207" t="n"/>
    </row>
  </sheetData>
  <mergeCells count="1">
    <mergeCell ref="B1:H2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2026-10-04T12:04:20Z</dcterms:created>
  <dcterms:modified xmlns:dcterms="http://purl.org/dc/terms/" xmlns:xsi="http://www.w3.org/2001/XMLSchema-instance" xsi:type="dcterms:W3CDTF">2026-10-04T21:14:15Z</dcterms:modified>
</cp:coreProperties>
</file>