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'Ввод'!$A$1:$H$20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</fills>
  <borders count="6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</borders>
  <cellStyleXfs count="1">
    <xf numFmtId="0" fontId="0" fillId="0" borderId="0"/>
  </cellStyleXfs>
  <cellXfs count="30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19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281" t="inlineStr">
        <is>
          <t>Готово</t>
        </is>
      </c>
    </row>
    <row r="6" ht="14" customHeight="1"/>
    <row r="7" ht="22" customHeight="1">
      <c r="B7" s="282" t="inlineStr">
        <is>
          <t>ТОРГОВЛЯ</t>
        </is>
      </c>
      <c r="C7" s="297" t="n"/>
      <c r="D7" s="283" t="inlineStr">
        <is>
          <t>ЛЭНДИНГ</t>
        </is>
      </c>
      <c r="E7" s="297" t="n"/>
      <c r="F7" s="284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Кол-во закрыть</t>
        </is>
      </c>
      <c r="C13" s="286" t="n">
        <v>0.1</v>
      </c>
      <c r="D13" s="277" t="inlineStr">
        <is>
          <t>Кол-во закрыть</t>
        </is>
      </c>
      <c r="E13" s="286" t="n"/>
      <c r="F13" s="277" t="inlineStr">
        <is>
          <t>Max</t>
        </is>
      </c>
      <c r="G13" s="286" t="n"/>
    </row>
    <row r="14" ht="14" customHeight="1"/>
    <row r="15" ht="22" customHeight="1">
      <c r="B15" s="289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292" t="inlineStr">
        <is>
          <t>ЗАПИСАТЬ</t>
        </is>
      </c>
      <c r="G16" s="293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22" customHeight="1">
      <c r="B19" s="296" t="inlineStr">
        <is>
          <t>Прототип m2: Комиссия — 4-я ячейка «Обратного расчёта» (E17). Макросов и рабочих кнопок нет.</t>
        </is>
      </c>
    </row>
    <row r="20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B3:G3"/>
    <mergeCell ref="B1:G2"/>
    <mergeCell ref="D7:E7"/>
    <mergeCell ref="B7:C7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G8" showDropDown="0" showInputMessage="0" showErrorMessage="0" allowBlank="1" type="list">
      <formula1>"Добавить,Снять,Закрыть"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AND(AND(ISNUMBER(C13),C13&gt;0),COUNTA($E$9,$E$10,$E$12,$E$13,$G$9,$G$10,$G$11,$G$12,$G$13)=0)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AND(AND(ISNUMBER(E13),E13&gt;0),COUNTA($C$9,$C$10,$C$12,$C$13,$G$9,$G$10,$G$11,$G$12,$G$13)=0)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238" t="inlineStr">
        <is>
          <t>T-0013</t>
        </is>
      </c>
      <c r="C15" s="237" t="n">
        <v>46302</v>
      </c>
      <c r="D15" s="238" t="inlineStr">
        <is>
          <t>Binance</t>
        </is>
      </c>
      <c r="E15" s="239" t="inlineStr">
        <is>
          <t>AAVE/ETH</t>
        </is>
      </c>
      <c r="F15" s="240" t="n">
        <v>20</v>
      </c>
      <c r="G15" s="177" t="n">
        <v>0.062625</v>
      </c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244" t="inlineStr">
        <is>
          <t>T-0014</t>
        </is>
      </c>
      <c r="C16" s="243" t="n">
        <v>46302</v>
      </c>
      <c r="D16" s="244" t="inlineStr">
        <is>
          <t>Bybit</t>
        </is>
      </c>
      <c r="E16" s="245" t="inlineStr">
        <is>
          <t>DOGE/BTC</t>
        </is>
      </c>
      <c r="F16" s="246" t="n"/>
      <c r="G16" s="183" t="n"/>
      <c r="H16" s="271">
        <f>IF(AND(ISNUMBER(F16),ISNUMBER(G16)),F16*G16,"")</f>
        <v/>
      </c>
      <c r="I16" s="246" t="n">
        <v>100000</v>
      </c>
      <c r="J16" s="183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238" t="inlineStr">
        <is>
          <t>T-0015</t>
        </is>
      </c>
      <c r="C17" s="237" t="n">
        <v>46302</v>
      </c>
      <c r="D17" s="238" t="inlineStr">
        <is>
          <t>OKX</t>
        </is>
      </c>
      <c r="E17" s="239" t="inlineStr">
        <is>
          <t>LTC/BCH</t>
        </is>
      </c>
      <c r="F17" s="240" t="n">
        <v>50</v>
      </c>
      <c r="G17" s="177" t="n">
        <v>0.2004</v>
      </c>
      <c r="H17" s="271">
        <f>IF(AND(ISNUMBER(F17),ISNUMBER(G17)),F17*G17,"")</f>
        <v/>
      </c>
      <c r="I17" s="240" t="n"/>
      <c r="J17" s="17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244" t="inlineStr">
        <is>
          <t>T-0016</t>
        </is>
      </c>
      <c r="C18" s="243" t="n">
        <v>46302</v>
      </c>
      <c r="D18" s="244" t="inlineStr">
        <is>
          <t>Binance</t>
        </is>
      </c>
      <c r="E18" s="245" t="inlineStr">
        <is>
          <t>XRP/TRX</t>
        </is>
      </c>
      <c r="F18" s="246" t="n"/>
      <c r="G18" s="183" t="n"/>
      <c r="H18" s="271">
        <f>IF(AND(ISNUMBER(F18),ISNUMBER(G18)),F18*G18,"")</f>
        <v/>
      </c>
      <c r="I18" s="246" t="n">
        <v>3000</v>
      </c>
      <c r="J18" s="183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238" t="inlineStr">
        <is>
          <t>T-0017</t>
        </is>
      </c>
      <c r="C19" s="237" t="n">
        <v>46302</v>
      </c>
      <c r="D19" s="238" t="inlineStr">
        <is>
          <t>Bybit</t>
        </is>
      </c>
      <c r="E19" s="239" t="inlineStr">
        <is>
          <t>SOL/USDT</t>
        </is>
      </c>
      <c r="F19" s="240" t="n">
        <v>40</v>
      </c>
      <c r="G19" s="177" t="n">
        <v>150.3</v>
      </c>
      <c r="H19" s="271">
        <f>IF(AND(ISNUMBER(F19),ISNUMBER(G19)),F19*G19,"")</f>
        <v/>
      </c>
      <c r="I19" s="240" t="n"/>
      <c r="J19" s="17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244" t="inlineStr">
        <is>
          <t>T-0023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>
        <v>6</v>
      </c>
      <c r="G20" s="183" t="n">
        <v>0.187875</v>
      </c>
      <c r="H20" s="271">
        <f>IF(AND(ISNUMBER(F20),ISNUMBER(G20)),F20*G20,"")</f>
        <v/>
      </c>
      <c r="I20" s="246" t="n"/>
      <c r="J20" s="183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238" t="inlineStr">
        <is>
          <t>T-0024</t>
        </is>
      </c>
      <c r="C21" s="237" t="n">
        <v>46303</v>
      </c>
      <c r="D21" s="238" t="inlineStr">
        <is>
          <t>Bybit</t>
        </is>
      </c>
      <c r="E21" s="239" t="inlineStr">
        <is>
          <t>BNB/BTC</t>
        </is>
      </c>
      <c r="F21" s="240" t="n"/>
      <c r="G21" s="177" t="n"/>
      <c r="H21" s="271">
        <f>IF(AND(ISNUMBER(F21),ISNUMBER(G21)),F21*G21,"")</f>
        <v/>
      </c>
      <c r="I21" s="240" t="n">
        <v>5</v>
      </c>
      <c r="J21" s="17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244" t="inlineStr">
        <is>
          <t>T-0025</t>
        </is>
      </c>
      <c r="C22" s="243" t="n">
        <v>46303</v>
      </c>
      <c r="D22" s="244" t="inlineStr">
        <is>
          <t>OKX</t>
        </is>
      </c>
      <c r="E22" s="245" t="inlineStr">
        <is>
          <t>CAKE/ETH</t>
        </is>
      </c>
      <c r="F22" s="246" t="n">
        <v>350</v>
      </c>
      <c r="G22" s="183" t="n">
        <v>0.0007515</v>
      </c>
      <c r="H22" s="271">
        <f>IF(AND(ISNUMBER(F22),ISNUMBER(G22)),F22*G22,"")</f>
        <v/>
      </c>
      <c r="I22" s="246" t="n"/>
      <c r="J22" s="183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238" t="inlineStr">
        <is>
          <t>T-0026</t>
        </is>
      </c>
      <c r="C23" s="237" t="n">
        <v>46303</v>
      </c>
      <c r="D23" s="238" t="inlineStr">
        <is>
          <t>Binance</t>
        </is>
      </c>
      <c r="E23" s="239" t="inlineStr">
        <is>
          <t>DASH/BTC</t>
        </is>
      </c>
      <c r="F23" s="240" t="n">
        <v>18</v>
      </c>
      <c r="G23" s="177" t="n">
        <v>0.00061423</v>
      </c>
      <c r="H23" s="271">
        <f>IF(AND(ISNUMBER(F23),ISNUMBER(G23)),F23*G23,"")</f>
        <v/>
      </c>
      <c r="I23" s="240" t="n"/>
      <c r="J23" s="17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244" t="inlineStr">
        <is>
          <t>T-0027</t>
        </is>
      </c>
      <c r="C24" s="243" t="n">
        <v>46304</v>
      </c>
      <c r="D24" s="244" t="inlineStr">
        <is>
          <t>Bybit</t>
        </is>
      </c>
      <c r="E24" s="245" t="inlineStr">
        <is>
          <t>DASH/LTC</t>
        </is>
      </c>
      <c r="F24" s="246" t="n"/>
      <c r="G24" s="183" t="n"/>
      <c r="H24" s="271">
        <f>IF(AND(ISNUMBER(F24),ISNUMBER(G24)),F24*G24,"")</f>
        <v/>
      </c>
      <c r="I24" s="246" t="n">
        <v>30</v>
      </c>
      <c r="J24" s="183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238" t="inlineStr">
        <is>
          <t>T-0029</t>
        </is>
      </c>
      <c r="C25" s="237" t="n">
        <v>46303</v>
      </c>
      <c r="D25" s="238" t="inlineStr">
        <is>
          <t>Bybit</t>
        </is>
      </c>
      <c r="E25" s="239" t="inlineStr">
        <is>
          <t>SOL/USDT</t>
        </is>
      </c>
      <c r="F25" s="240" t="n">
        <v>12</v>
      </c>
      <c r="G25" s="177" t="n">
        <v>150.3</v>
      </c>
      <c r="H25" s="271">
        <f>IF(AND(ISNUMBER(F25),ISNUMBER(G25)),F25*G25,"")</f>
        <v/>
      </c>
      <c r="I25" s="240" t="n"/>
      <c r="J25" s="17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>
        <f>IF(AND(ISNUMBER(F26),ISNUMBER(G26)),F26*G26,"")</f>
        <v/>
      </c>
      <c r="I26" s="246" t="n"/>
      <c r="J26" s="183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>
        <f>IF(AND(ISNUMBER(F27),ISNUMBER(G27)),F27*G27,"")</f>
        <v/>
      </c>
      <c r="I27" s="240" t="n"/>
      <c r="J27" s="17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>
        <f>IF(AND(ISNUMBER(F28),ISNUMBER(G28)),F28*G28,"")</f>
        <v/>
      </c>
      <c r="I28" s="246" t="n"/>
      <c r="J28" s="183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>
        <f>IF(AND(ISNUMBER(F29),ISNUMBER(G29)),F29*G29,"")</f>
        <v/>
      </c>
      <c r="I29" s="240" t="n"/>
      <c r="J29" s="17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>
        <f>IF(AND(ISNUMBER(F30),ISNUMBER(G30)),F30*G30,"")</f>
        <v/>
      </c>
      <c r="I30" s="246" t="n"/>
      <c r="J30" s="183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>
        <f>IF(AND(ISNUMBER(F31),ISNUMBER(G31)),F31*G31,"")</f>
        <v/>
      </c>
      <c r="I31" s="240" t="n"/>
      <c r="J31" s="17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>
        <f>IF(AND(ISNUMBER(F32),ISNUMBER(G32)),F32*G32,"")</f>
        <v/>
      </c>
      <c r="I32" s="246" t="n"/>
      <c r="J32" s="183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>
        <f>IF(AND(ISNUMBER(F33),ISNUMBER(G33)),F33*G33,"")</f>
        <v/>
      </c>
      <c r="I33" s="240" t="n"/>
      <c r="J33" s="17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>
        <f>IF(AND(ISNUMBER(F34),ISNUMBER(G34)),F34*G34,"")</f>
        <v/>
      </c>
      <c r="I34" s="246" t="n"/>
      <c r="J34" s="183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>
        <f>IF(AND(ISNUMBER(F35),ISNUMBER(G35)),F35*G35,"")</f>
        <v/>
      </c>
      <c r="I35" s="240" t="n"/>
      <c r="J35" s="17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238" t="inlineStr">
        <is>
          <t>L-0016</t>
        </is>
      </c>
      <c r="C15" s="237" t="n">
        <v>46302</v>
      </c>
      <c r="D15" s="238" t="inlineStr">
        <is>
          <t>Binance</t>
        </is>
      </c>
      <c r="E15" s="239" t="inlineStr">
        <is>
          <t>BNB/ETH</t>
        </is>
      </c>
      <c r="F15" s="240" t="n">
        <v>15</v>
      </c>
      <c r="G15" s="177" t="n">
        <v>0.188376</v>
      </c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244" t="inlineStr">
        <is>
          <t>L-0017</t>
        </is>
      </c>
      <c r="C16" s="243" t="n">
        <v>46302</v>
      </c>
      <c r="D16" s="244" t="inlineStr">
        <is>
          <t>Bybit</t>
        </is>
      </c>
      <c r="E16" s="245" t="inlineStr">
        <is>
          <t>BNB/BTC</t>
        </is>
      </c>
      <c r="F16" s="246" t="n"/>
      <c r="G16" s="183" t="n"/>
      <c r="H16" s="271">
        <f>IF(AND(ISNUMBER(F16),ISNUMBER(G16)),F16*G16,"")</f>
        <v/>
      </c>
      <c r="I16" s="246" t="n">
        <v>10</v>
      </c>
      <c r="J16" s="183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238" t="inlineStr">
        <is>
          <t>L-0018</t>
        </is>
      </c>
      <c r="C17" s="237" t="n">
        <v>46302</v>
      </c>
      <c r="D17" s="238" t="inlineStr">
        <is>
          <t>OKX</t>
        </is>
      </c>
      <c r="E17" s="239" t="inlineStr">
        <is>
          <t>CAKE/ETH</t>
        </is>
      </c>
      <c r="F17" s="240" t="n">
        <v>800</v>
      </c>
      <c r="G17" s="177" t="n">
        <v>0.0007515</v>
      </c>
      <c r="H17" s="271">
        <f>IF(AND(ISNUMBER(F17),ISNUMBER(G17)),F17*G17,"")</f>
        <v/>
      </c>
      <c r="I17" s="240" t="n"/>
      <c r="J17" s="17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244" t="inlineStr">
        <is>
          <t>L-0019</t>
        </is>
      </c>
      <c r="C18" s="243" t="n">
        <v>46303</v>
      </c>
      <c r="D18" s="244" t="inlineStr">
        <is>
          <t>AAVE</t>
        </is>
      </c>
      <c r="E18" s="245" t="inlineStr">
        <is>
          <t>ETH/BTC</t>
        </is>
      </c>
      <c r="F18" s="246" t="n">
        <v>3</v>
      </c>
      <c r="G18" s="183" t="n">
        <v>0.0517032</v>
      </c>
      <c r="H18" s="271">
        <f>IF(AND(ISNUMBER(F18),ISNUMBER(G18)),F18*G18,"")</f>
        <v/>
      </c>
      <c r="I18" s="246" t="n"/>
      <c r="J18" s="183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238" t="inlineStr">
        <is>
          <t>L-0020</t>
        </is>
      </c>
      <c r="C19" s="237" t="n">
        <v>46303</v>
      </c>
      <c r="D19" s="238" t="inlineStr">
        <is>
          <t>Binance</t>
        </is>
      </c>
      <c r="E19" s="239" t="inlineStr">
        <is>
          <t>ETH/USDT</t>
        </is>
      </c>
      <c r="F19" s="240" t="n"/>
      <c r="G19" s="177" t="n"/>
      <c r="H19" s="271">
        <f>IF(AND(ISNUMBER(F19),ISNUMBER(G19)),F19*G19,"")</f>
        <v/>
      </c>
      <c r="I19" s="240" t="n">
        <v>2</v>
      </c>
      <c r="J19" s="17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244" t="inlineStr">
        <is>
          <t>L-0026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/>
      <c r="G20" s="183" t="n"/>
      <c r="H20" s="271">
        <f>IF(AND(ISNUMBER(F20),ISNUMBER(G20)),F20*G20,"")</f>
        <v/>
      </c>
      <c r="I20" s="246" t="n">
        <v>7</v>
      </c>
      <c r="J20" s="183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238" t="inlineStr">
        <is>
          <t>L-0027</t>
        </is>
      </c>
      <c r="C21" s="237" t="n">
        <v>46303</v>
      </c>
      <c r="D21" s="238" t="inlineStr">
        <is>
          <t>Bybit</t>
        </is>
      </c>
      <c r="E21" s="239" t="inlineStr">
        <is>
          <t>CAKE/BTC</t>
        </is>
      </c>
      <c r="F21" s="240" t="n">
        <v>400</v>
      </c>
      <c r="G21" s="177" t="n">
        <v>3.858e-05</v>
      </c>
      <c r="H21" s="271">
        <f>IF(AND(ISNUMBER(F21),ISNUMBER(G21)),F21*G21,"")</f>
        <v/>
      </c>
      <c r="I21" s="240" t="n"/>
      <c r="J21" s="17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244" t="inlineStr">
        <is>
          <t>L-0028</t>
        </is>
      </c>
      <c r="C22" s="243" t="n">
        <v>46303</v>
      </c>
      <c r="D22" s="244" t="inlineStr">
        <is>
          <t>AAVE</t>
        </is>
      </c>
      <c r="E22" s="245" t="inlineStr">
        <is>
          <t>ETH/BTC</t>
        </is>
      </c>
      <c r="F22" s="246" t="n"/>
      <c r="G22" s="183" t="n"/>
      <c r="H22" s="271">
        <f>IF(AND(ISNUMBER(F22),ISNUMBER(G22)),F22*G22,"")</f>
        <v/>
      </c>
      <c r="I22" s="246" t="n">
        <v>2.5</v>
      </c>
      <c r="J22" s="183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238" t="inlineStr">
        <is>
          <t>L-0029</t>
        </is>
      </c>
      <c r="C23" s="237" t="n">
        <v>46304</v>
      </c>
      <c r="D23" s="238" t="inlineStr">
        <is>
          <t>OKX</t>
        </is>
      </c>
      <c r="E23" s="239" t="inlineStr">
        <is>
          <t>BNB/ETH</t>
        </is>
      </c>
      <c r="F23" s="240" t="n">
        <v>5</v>
      </c>
      <c r="G23" s="177" t="n">
        <v>0.187374</v>
      </c>
      <c r="H23" s="271">
        <f>IF(AND(ISNUMBER(F23),ISNUMBER(G23)),F23*G23,"")</f>
        <v/>
      </c>
      <c r="I23" s="240" t="n"/>
      <c r="J23" s="17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244" t="inlineStr">
        <is>
          <t>L-0030</t>
        </is>
      </c>
      <c r="C24" s="243" t="n">
        <v>46304</v>
      </c>
      <c r="D24" s="244" t="inlineStr">
        <is>
          <t>Binance</t>
        </is>
      </c>
      <c r="E24" s="245" t="inlineStr">
        <is>
          <t>BTC/USDT</t>
        </is>
      </c>
      <c r="F24" s="246" t="n">
        <v>0.09</v>
      </c>
      <c r="G24" s="183" t="n">
        <v>62023.8</v>
      </c>
      <c r="H24" s="271">
        <f>IF(AND(ISNUMBER(F24),ISNUMBER(G24)),F24*G24,"")</f>
        <v/>
      </c>
      <c r="I24" s="246" t="n"/>
      <c r="J24" s="183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>
        <f>IF(AND(ISNUMBER(F25),ISNUMBER(G25)),F25*G25,"")</f>
        <v/>
      </c>
      <c r="I25" s="240" t="n"/>
      <c r="J25" s="17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>
        <f>IF(AND(ISNUMBER(F26),ISNUMBER(G26)),F26*G26,"")</f>
        <v/>
      </c>
      <c r="I26" s="246" t="n"/>
      <c r="J26" s="183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>
        <f>IF(AND(ISNUMBER(F27),ISNUMBER(G27)),F27*G27,"")</f>
        <v/>
      </c>
      <c r="I27" s="240" t="n"/>
      <c r="J27" s="17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>
        <f>IF(AND(ISNUMBER(F28),ISNUMBER(G28)),F28*G28,"")</f>
        <v/>
      </c>
      <c r="I28" s="246" t="n"/>
      <c r="J28" s="183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>
        <f>IF(AND(ISNUMBER(F29),ISNUMBER(G29)),F29*G29,"")</f>
        <v/>
      </c>
      <c r="I29" s="240" t="n"/>
      <c r="J29" s="17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>
        <f>IF(AND(ISNUMBER(F30),ISNUMBER(G30)),F30*G30,"")</f>
        <v/>
      </c>
      <c r="I30" s="246" t="n"/>
      <c r="J30" s="183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>
        <f>IF(AND(ISNUMBER(F31),ISNUMBER(G31)),F31*G31,"")</f>
        <v/>
      </c>
      <c r="I31" s="240" t="n"/>
      <c r="J31" s="17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>
        <f>IF(AND(ISNUMBER(F32),ISNUMBER(G32)),F32*G32,"")</f>
        <v/>
      </c>
      <c r="I32" s="246" t="n"/>
      <c r="J32" s="183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>
        <f>IF(AND(ISNUMBER(F33),ISNUMBER(G33)),F33*G33,"")</f>
        <v/>
      </c>
      <c r="I33" s="240" t="n"/>
      <c r="J33" s="17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>
        <f>IF(AND(ISNUMBER(F34),ISNUMBER(G34)),F34*G34,"")</f>
        <v/>
      </c>
      <c r="I34" s="246" t="n"/>
      <c r="J34" s="183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>
        <f>IF(AND(ISNUMBER(F35),ISNUMBER(G35)),F35*G35,"")</f>
        <v/>
      </c>
      <c r="I35" s="240" t="n"/>
      <c r="J35" s="17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01" t="inlineStr">
        <is>
          <t>Min</t>
        </is>
      </c>
      <c r="N4" s="302" t="inlineStr">
        <is>
          <t>Max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03" t="inlineStr">
        <is>
          <t>Закрыт</t>
        </is>
      </c>
      <c r="M5" s="240" t="n"/>
      <c r="N5" s="241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04" t="inlineStr">
        <is>
          <t>Открыт</t>
        </is>
      </c>
      <c r="M6" s="246" t="n"/>
      <c r="N6" s="247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03" t="inlineStr">
        <is>
          <t>Закрыт</t>
        </is>
      </c>
      <c r="M7" s="240" t="n"/>
      <c r="N7" s="241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04" t="inlineStr">
        <is>
          <t>Открыт</t>
        </is>
      </c>
      <c r="M8" s="246" t="n"/>
      <c r="N8" s="247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03" t="inlineStr">
        <is>
          <t>Открыт</t>
        </is>
      </c>
      <c r="M9" s="240" t="n"/>
      <c r="N9" s="241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04" t="inlineStr">
        <is>
          <t>Закрыт</t>
        </is>
      </c>
      <c r="M10" s="246" t="n"/>
      <c r="N10" s="247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03" t="inlineStr">
        <is>
          <t>Закрыт</t>
        </is>
      </c>
      <c r="M11" s="240" t="n"/>
      <c r="N11" s="241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>
        <v>10</v>
      </c>
      <c r="I12" s="24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04" t="inlineStr">
        <is>
          <t>Открыт</t>
        </is>
      </c>
      <c r="M12" s="246" t="n"/>
      <c r="N12" s="247" t="n"/>
    </row>
    <row r="13" ht="22" customHeight="1">
      <c r="B13" s="236" t="inlineStr">
        <is>
          <t>P-0009</t>
        </is>
      </c>
      <c r="C13" s="237" t="n">
        <v>46302</v>
      </c>
      <c r="D13" s="238" t="inlineStr">
        <is>
          <t>Raydium</t>
        </is>
      </c>
      <c r="E13" s="239" t="inlineStr">
        <is>
          <t>SOL/USDT</t>
        </is>
      </c>
      <c r="F13" s="240" t="n">
        <v>20</v>
      </c>
      <c r="G13" s="241" t="n">
        <v>3000</v>
      </c>
      <c r="H13" s="240" t="n"/>
      <c r="I13" s="241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03" t="inlineStr">
        <is>
          <t>Открыт</t>
        </is>
      </c>
      <c r="M13" s="240" t="n"/>
      <c r="N13" s="241" t="n"/>
    </row>
    <row r="14" ht="22" customHeight="1">
      <c r="B14" s="242" t="inlineStr">
        <is>
          <t>P-0010</t>
        </is>
      </c>
      <c r="C14" s="243" t="n">
        <v>46302</v>
      </c>
      <c r="D14" s="244" t="inlineStr">
        <is>
          <t>Raydium</t>
        </is>
      </c>
      <c r="E14" s="245" t="inlineStr">
        <is>
          <t>ELIZAOS/SOL</t>
        </is>
      </c>
      <c r="F14" s="246" t="n">
        <v>10000</v>
      </c>
      <c r="G14" s="247" t="n">
        <v>23.5</v>
      </c>
      <c r="H14" s="246" t="n"/>
      <c r="I14" s="24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04" t="inlineStr">
        <is>
          <t>Открыт</t>
        </is>
      </c>
      <c r="M14" s="246" t="n"/>
      <c r="N14" s="247" t="n"/>
    </row>
    <row r="15" ht="22" customHeight="1">
      <c r="B15" s="236" t="inlineStr">
        <is>
          <t>P-0011</t>
        </is>
      </c>
      <c r="C15" s="237" t="n">
        <v>46302</v>
      </c>
      <c r="D15" s="238" t="inlineStr">
        <is>
          <t>Orca</t>
        </is>
      </c>
      <c r="E15" s="239" t="inlineStr">
        <is>
          <t>SOL/USDT</t>
        </is>
      </c>
      <c r="F15" s="240" t="n">
        <v>15</v>
      </c>
      <c r="G15" s="241" t="n">
        <v>2250</v>
      </c>
      <c r="H15" s="240" t="n"/>
      <c r="I15" s="241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03" t="inlineStr">
        <is>
          <t>Открыт</t>
        </is>
      </c>
      <c r="M15" s="240" t="n"/>
      <c r="N15" s="241" t="n"/>
    </row>
    <row r="16" ht="22" customHeight="1">
      <c r="B16" s="242" t="inlineStr">
        <is>
          <t>P-0012</t>
        </is>
      </c>
      <c r="C16" s="243" t="n">
        <v>46302</v>
      </c>
      <c r="D16" s="244" t="inlineStr">
        <is>
          <t>Uniswap</t>
        </is>
      </c>
      <c r="E16" s="245" t="inlineStr">
        <is>
          <t>ETH/BTC</t>
        </is>
      </c>
      <c r="F16" s="246" t="n">
        <v>2.5</v>
      </c>
      <c r="G16" s="247" t="n">
        <v>0.129</v>
      </c>
      <c r="H16" s="246" t="n"/>
      <c r="I16" s="24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04" t="inlineStr">
        <is>
          <t>Открыт</t>
        </is>
      </c>
      <c r="M16" s="246" t="n"/>
      <c r="N16" s="247" t="n"/>
    </row>
    <row r="17" ht="22" customHeight="1">
      <c r="B17" s="236" t="inlineStr">
        <is>
          <t>P-0013</t>
        </is>
      </c>
      <c r="C17" s="237" t="n">
        <v>46303</v>
      </c>
      <c r="D17" s="238" t="inlineStr">
        <is>
          <t>PancakeSwap</t>
        </is>
      </c>
      <c r="E17" s="239" t="inlineStr">
        <is>
          <t>BNB/ETH</t>
        </is>
      </c>
      <c r="F17" s="240" t="n">
        <v>6</v>
      </c>
      <c r="G17" s="241" t="n">
        <v>1.125</v>
      </c>
      <c r="H17" s="240" t="n"/>
      <c r="I17" s="241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03" t="inlineStr">
        <is>
          <t>Открыт</t>
        </is>
      </c>
      <c r="M17" s="240" t="n"/>
      <c r="N17" s="241" t="n"/>
    </row>
    <row r="18" ht="22" customHeight="1">
      <c r="B18" s="242" t="inlineStr">
        <is>
          <t>P-0014</t>
        </is>
      </c>
      <c r="C18" s="243" t="n">
        <v>46302</v>
      </c>
      <c r="D18" s="244" t="inlineStr">
        <is>
          <t>Uniswap</t>
        </is>
      </c>
      <c r="E18" s="245" t="inlineStr">
        <is>
          <t>ETH/USDT</t>
        </is>
      </c>
      <c r="F18" s="246" t="n">
        <v>1.5</v>
      </c>
      <c r="G18" s="247" t="n">
        <v>4800</v>
      </c>
      <c r="H18" s="246" t="n">
        <v>1.46</v>
      </c>
      <c r="I18" s="24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04" t="inlineStr">
        <is>
          <t>Закрыт</t>
        </is>
      </c>
      <c r="M18" s="246" t="n"/>
      <c r="N18" s="247" t="n"/>
    </row>
    <row r="19" ht="22" customHeight="1">
      <c r="B19" s="236" t="inlineStr">
        <is>
          <t>P-0015</t>
        </is>
      </c>
      <c r="C19" s="237" t="n">
        <v>46302</v>
      </c>
      <c r="D19" s="238" t="inlineStr">
        <is>
          <t>Uniswap</t>
        </is>
      </c>
      <c r="E19" s="239" t="inlineStr">
        <is>
          <t>ARB/ETH</t>
        </is>
      </c>
      <c r="F19" s="240" t="n">
        <v>8000</v>
      </c>
      <c r="G19" s="241" t="n">
        <v>1.375</v>
      </c>
      <c r="H19" s="240" t="n">
        <v>8350</v>
      </c>
      <c r="I19" s="241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03" t="inlineStr">
        <is>
          <t>Закрыт</t>
        </is>
      </c>
      <c r="M19" s="240" t="n"/>
      <c r="N19" s="241" t="n"/>
    </row>
    <row r="20" ht="22" customHeight="1">
      <c r="B20" s="242" t="inlineStr">
        <is>
          <t>P-0016</t>
        </is>
      </c>
      <c r="C20" s="243" t="n">
        <v>46303</v>
      </c>
      <c r="D20" s="244" t="inlineStr">
        <is>
          <t>Orca</t>
        </is>
      </c>
      <c r="E20" s="245" t="inlineStr">
        <is>
          <t>SOL/ETH</t>
        </is>
      </c>
      <c r="F20" s="246" t="n">
        <v>30</v>
      </c>
      <c r="G20" s="247" t="n">
        <v>1.4063</v>
      </c>
      <c r="H20" s="246" t="n">
        <v>28.8</v>
      </c>
      <c r="I20" s="24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04" t="inlineStr">
        <is>
          <t>Закрыт</t>
        </is>
      </c>
      <c r="M20" s="246" t="n"/>
      <c r="N20" s="247" t="n"/>
    </row>
    <row r="21" ht="22" customHeight="1">
      <c r="B21" s="236" t="inlineStr">
        <is>
          <t>P-0017</t>
        </is>
      </c>
      <c r="C21" s="237" t="n">
        <v>46303</v>
      </c>
      <c r="D21" s="238" t="inlineStr">
        <is>
          <t>PancakeSwap</t>
        </is>
      </c>
      <c r="E21" s="239" t="inlineStr">
        <is>
          <t>BNB/USDT</t>
        </is>
      </c>
      <c r="F21" s="240" t="n">
        <v>5</v>
      </c>
      <c r="G21" s="241" t="n">
        <v>3000</v>
      </c>
      <c r="H21" s="240" t="n">
        <v>5.2</v>
      </c>
      <c r="I21" s="241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03" t="inlineStr">
        <is>
          <t>Закрыт</t>
        </is>
      </c>
      <c r="M21" s="240" t="n"/>
      <c r="N21" s="241" t="n"/>
    </row>
    <row r="22" ht="22" customHeight="1">
      <c r="B22" s="242" t="inlineStr">
        <is>
          <t>P-0018</t>
        </is>
      </c>
      <c r="C22" s="243" t="n">
        <v>46303</v>
      </c>
      <c r="D22" s="244" t="inlineStr">
        <is>
          <t>PancakeSwap</t>
        </is>
      </c>
      <c r="E22" s="245" t="inlineStr">
        <is>
          <t>CAKE/USDT</t>
        </is>
      </c>
      <c r="F22" s="246" t="n">
        <v>1000</v>
      </c>
      <c r="G22" s="247" t="n">
        <v>2400</v>
      </c>
      <c r="H22" s="246" t="n">
        <v>940</v>
      </c>
      <c r="I22" s="24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04" t="inlineStr">
        <is>
          <t>Закрыт</t>
        </is>
      </c>
      <c r="M22" s="246" t="n"/>
      <c r="N22" s="247" t="n"/>
    </row>
    <row r="23" ht="22" customHeight="1">
      <c r="B23" s="236" t="inlineStr">
        <is>
          <t>P-0019</t>
        </is>
      </c>
      <c r="C23" s="237" t="n">
        <v>46303</v>
      </c>
      <c r="D23" s="238" t="inlineStr">
        <is>
          <t>Uniswap</t>
        </is>
      </c>
      <c r="E23" s="239" t="inlineStr">
        <is>
          <t>BTC/USDT</t>
        </is>
      </c>
      <c r="F23" s="240" t="n">
        <v>0.1</v>
      </c>
      <c r="G23" s="241" t="n">
        <v>6200</v>
      </c>
      <c r="H23" s="240" t="n">
        <v>0.04</v>
      </c>
      <c r="I23" s="241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03" t="inlineStr">
        <is>
          <t>Открыт</t>
        </is>
      </c>
      <c r="M23" s="240" t="n"/>
      <c r="N23" s="241" t="n"/>
    </row>
    <row r="24" ht="22" customHeight="1">
      <c r="B24" s="242" t="inlineStr">
        <is>
          <t>P-0020</t>
        </is>
      </c>
      <c r="C24" s="243" t="n">
        <v>46303</v>
      </c>
      <c r="D24" s="244" t="inlineStr">
        <is>
          <t>Raydium</t>
        </is>
      </c>
      <c r="E24" s="245" t="inlineStr">
        <is>
          <t>BTC/USDT</t>
        </is>
      </c>
      <c r="F24" s="246" t="n">
        <v>0.08</v>
      </c>
      <c r="G24" s="247" t="n">
        <v>4960</v>
      </c>
      <c r="H24" s="246" t="n">
        <v>0.03</v>
      </c>
      <c r="I24" s="24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04" t="inlineStr">
        <is>
          <t>Открыт</t>
        </is>
      </c>
      <c r="M24" s="246" t="n"/>
      <c r="N24" s="247" t="n"/>
    </row>
    <row r="25" ht="22" customHeight="1">
      <c r="B25" s="236" t="inlineStr">
        <is>
          <t>P-0021</t>
        </is>
      </c>
      <c r="C25" s="237" t="n">
        <v>46304</v>
      </c>
      <c r="D25" s="238" t="inlineStr">
        <is>
          <t>PancakeSwap</t>
        </is>
      </c>
      <c r="E25" s="239" t="inlineStr">
        <is>
          <t>BNB/ETH</t>
        </is>
      </c>
      <c r="F25" s="240" t="n">
        <v>4</v>
      </c>
      <c r="G25" s="241" t="n">
        <v>0.75</v>
      </c>
      <c r="H25" s="240" t="n">
        <v>1.5</v>
      </c>
      <c r="I25" s="241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03" t="inlineStr">
        <is>
          <t>Открыт</t>
        </is>
      </c>
      <c r="M25" s="240" t="n"/>
      <c r="N25" s="241" t="n"/>
    </row>
    <row r="26" ht="22" customHeight="1">
      <c r="B26" s="242" t="inlineStr">
        <is>
          <t>P-0022</t>
        </is>
      </c>
      <c r="C26" s="243" t="n">
        <v>46304</v>
      </c>
      <c r="D26" s="244" t="inlineStr">
        <is>
          <t>PancakeSwap</t>
        </is>
      </c>
      <c r="E26" s="245" t="inlineStr">
        <is>
          <t>CAKE/BNB</t>
        </is>
      </c>
      <c r="F26" s="246" t="n">
        <v>1500</v>
      </c>
      <c r="G26" s="247" t="n">
        <v>6</v>
      </c>
      <c r="H26" s="246" t="n">
        <v>500</v>
      </c>
      <c r="I26" s="24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04" t="inlineStr">
        <is>
          <t>Открыт</t>
        </is>
      </c>
      <c r="M26" s="246" t="n"/>
      <c r="N26" s="247" t="n"/>
    </row>
    <row r="27" ht="22" customHeight="1">
      <c r="B27" s="236" t="inlineStr">
        <is>
          <t>P-0023</t>
        </is>
      </c>
      <c r="C27" s="237" t="n">
        <v>46304</v>
      </c>
      <c r="D27" s="238" t="inlineStr">
        <is>
          <t>Uniswap</t>
        </is>
      </c>
      <c r="E27" s="239" t="inlineStr">
        <is>
          <t>ARB/BTC</t>
        </is>
      </c>
      <c r="F27" s="240" t="n">
        <v>12000</v>
      </c>
      <c r="G27" s="241" t="n">
        <v>0.1064</v>
      </c>
      <c r="H27" s="240" t="n">
        <v>5000</v>
      </c>
      <c r="I27" s="241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03" t="inlineStr">
        <is>
          <t>Открыт</t>
        </is>
      </c>
      <c r="M27" s="240" t="n"/>
      <c r="N27" s="241" t="n"/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04" t="n"/>
      <c r="M28" s="246" t="n"/>
      <c r="N28" s="247" t="n"/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03" t="n"/>
      <c r="M29" s="240" t="n"/>
      <c r="N29" s="241" t="n"/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04" t="n"/>
      <c r="M30" s="246" t="n"/>
      <c r="N30" s="247" t="n"/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03" t="n"/>
      <c r="M31" s="240" t="n"/>
      <c r="N31" s="241" t="n"/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04" t="n"/>
      <c r="M32" s="246" t="n"/>
      <c r="N32" s="247" t="n"/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03" t="n"/>
      <c r="M33" s="240" t="n"/>
      <c r="N33" s="241" t="n"/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04" t="n"/>
      <c r="M34" s="246" t="n"/>
      <c r="N34" s="247" t="n"/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03" t="n"/>
      <c r="M35" s="240" t="n"/>
      <c r="N35" s="241" t="n"/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04" t="n"/>
      <c r="M36" s="246" t="n"/>
      <c r="N36" s="247" t="n"/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03" t="n"/>
      <c r="M37" s="240" t="n"/>
      <c r="N37" s="241" t="n"/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04" t="n"/>
      <c r="M38" s="246" t="n"/>
      <c r="N38" s="247" t="n"/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03" t="n"/>
      <c r="M39" s="240" t="n"/>
      <c r="N39" s="241" t="n"/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04" t="n"/>
      <c r="M40" s="246" t="n"/>
      <c r="N40" s="247" t="n"/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03" t="n"/>
      <c r="M41" s="240" t="n"/>
      <c r="N41" s="241" t="n"/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04" t="n"/>
      <c r="M42" s="246" t="n"/>
      <c r="N42" s="247" t="n"/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03" t="n"/>
      <c r="M43" s="240" t="n"/>
      <c r="N43" s="241" t="n"/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04" t="n"/>
      <c r="M44" s="246" t="n"/>
      <c r="N44" s="247" t="n"/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03" t="n"/>
      <c r="M45" s="240" t="n"/>
      <c r="N45" s="241" t="n"/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04" t="n"/>
      <c r="M46" s="246" t="n"/>
      <c r="N46" s="247" t="n"/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03" t="n"/>
      <c r="M47" s="240" t="n"/>
      <c r="N47" s="241" t="n"/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04" t="n"/>
      <c r="M48" s="246" t="n"/>
      <c r="N48" s="247" t="n"/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03" t="n"/>
      <c r="M49" s="240" t="n"/>
      <c r="N49" s="241" t="n"/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04" t="n"/>
      <c r="M50" s="246" t="n"/>
      <c r="N50" s="247" t="n"/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03" t="n"/>
      <c r="M51" s="240" t="n"/>
      <c r="N51" s="241" t="n"/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04" t="n"/>
      <c r="M52" s="246" t="n"/>
      <c r="N52" s="247" t="n"/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03" t="n"/>
      <c r="M53" s="240" t="n"/>
      <c r="N53" s="241" t="n"/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04" t="n"/>
      <c r="M54" s="246" t="n"/>
      <c r="N54" s="247" t="n"/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03" t="n"/>
      <c r="M55" s="240" t="n"/>
      <c r="N55" s="241" t="n"/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04" t="n"/>
      <c r="M56" s="246" t="n"/>
      <c r="N56" s="247" t="n"/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03" t="n"/>
      <c r="M57" s="240" t="n"/>
      <c r="N57" s="241" t="n"/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04" t="n"/>
      <c r="M58" s="246" t="n"/>
      <c r="N58" s="247" t="n"/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03" t="n"/>
      <c r="M59" s="240" t="n"/>
      <c r="N59" s="241" t="n"/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04" t="n"/>
      <c r="M60" s="246" t="n"/>
      <c r="N60" s="247" t="n"/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03" t="n"/>
      <c r="M61" s="240" t="n"/>
      <c r="N61" s="241" t="n"/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04" t="n"/>
      <c r="M62" s="246" t="n"/>
      <c r="N62" s="247" t="n"/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03" t="n"/>
      <c r="M63" s="240" t="n"/>
      <c r="N63" s="241" t="n"/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04" t="n"/>
      <c r="M64" s="246" t="n"/>
      <c r="N64" s="247" t="n"/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03" t="n"/>
      <c r="M65" s="240" t="n"/>
      <c r="N65" s="241" t="n"/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04" t="n"/>
      <c r="M66" s="246" t="n"/>
      <c r="N66" s="247" t="n"/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03" t="n"/>
      <c r="M67" s="240" t="n"/>
      <c r="N67" s="241" t="n"/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04" t="n"/>
      <c r="M68" s="246" t="n"/>
      <c r="N68" s="247" t="n"/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03" t="n"/>
      <c r="M69" s="240" t="n"/>
      <c r="N69" s="241" t="n"/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04" t="n"/>
      <c r="M70" s="246" t="n"/>
      <c r="N70" s="247" t="n"/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03" t="n"/>
      <c r="M71" s="240" t="n"/>
      <c r="N71" s="241" t="n"/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04" t="n"/>
      <c r="M72" s="246" t="n"/>
      <c r="N72" s="247" t="n"/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03" t="n"/>
      <c r="M73" s="240" t="n"/>
      <c r="N73" s="241" t="n"/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04" t="n"/>
      <c r="M74" s="246" t="n"/>
      <c r="N74" s="247" t="n"/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03" t="n"/>
      <c r="M75" s="240" t="n"/>
      <c r="N75" s="241" t="n"/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04" t="n"/>
      <c r="M76" s="246" t="n"/>
      <c r="N76" s="247" t="n"/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03" t="n"/>
      <c r="M77" s="240" t="n"/>
      <c r="N77" s="241" t="n"/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04" t="n"/>
      <c r="M78" s="246" t="n"/>
      <c r="N78" s="247" t="n"/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03" t="n"/>
      <c r="M79" s="240" t="n"/>
      <c r="N79" s="241" t="n"/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04" t="n"/>
      <c r="M80" s="246" t="n"/>
      <c r="N80" s="247" t="n"/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03" t="n"/>
      <c r="M81" s="240" t="n"/>
      <c r="N81" s="241" t="n"/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04" t="n"/>
      <c r="M82" s="246" t="n"/>
      <c r="N82" s="247" t="n"/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03" t="n"/>
      <c r="M83" s="240" t="n"/>
      <c r="N83" s="241" t="n"/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04" t="n"/>
      <c r="M84" s="246" t="n"/>
      <c r="N84" s="247" t="n"/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03" t="n"/>
      <c r="M85" s="240" t="n"/>
      <c r="N85" s="241" t="n"/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04" t="n"/>
      <c r="M86" s="246" t="n"/>
      <c r="N86" s="247" t="n"/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03" t="n"/>
      <c r="M87" s="240" t="n"/>
      <c r="N87" s="241" t="n"/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04" t="n"/>
      <c r="M88" s="246" t="n"/>
      <c r="N88" s="247" t="n"/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03" t="n"/>
      <c r="M89" s="240" t="n"/>
      <c r="N89" s="241" t="n"/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04" t="n"/>
      <c r="M90" s="246" t="n"/>
      <c r="N90" s="247" t="n"/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03" t="n"/>
      <c r="M91" s="240" t="n"/>
      <c r="N91" s="241" t="n"/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04" t="n"/>
      <c r="M92" s="246" t="n"/>
      <c r="N92" s="247" t="n"/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03" t="n"/>
      <c r="M93" s="240" t="n"/>
      <c r="N93" s="241" t="n"/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04" t="n"/>
      <c r="M94" s="246" t="n"/>
      <c r="N94" s="247" t="n"/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03" t="n"/>
      <c r="M95" s="240" t="n"/>
      <c r="N95" s="241" t="n"/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04" t="n"/>
      <c r="M96" s="246" t="n"/>
      <c r="N96" s="247" t="n"/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03" t="n"/>
      <c r="M97" s="240" t="n"/>
      <c r="N97" s="241" t="n"/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04" t="n"/>
      <c r="M98" s="246" t="n"/>
      <c r="N98" s="247" t="n"/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03" t="n"/>
      <c r="M99" s="240" t="n"/>
      <c r="N99" s="241" t="n"/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04" t="n"/>
      <c r="M100" s="246" t="n"/>
      <c r="N100" s="247" t="n"/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03" t="n"/>
      <c r="M101" s="240" t="n"/>
      <c r="N101" s="241" t="n"/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04" t="n"/>
      <c r="M102" s="246" t="n"/>
      <c r="N102" s="247" t="n"/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03" t="n"/>
      <c r="M103" s="240" t="n"/>
      <c r="N103" s="241" t="n"/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04" t="n"/>
      <c r="M104" s="246" t="n"/>
      <c r="N104" s="247" t="n"/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03" t="n"/>
      <c r="M105" s="240" t="n"/>
      <c r="N105" s="241" t="n"/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04" t="n"/>
      <c r="M106" s="246" t="n"/>
      <c r="N106" s="247" t="n"/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03" t="n"/>
      <c r="M107" s="240" t="n"/>
      <c r="N107" s="241" t="n"/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04" t="n"/>
      <c r="M108" s="246" t="n"/>
      <c r="N108" s="247" t="n"/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03" t="n"/>
      <c r="M109" s="240" t="n"/>
      <c r="N109" s="241" t="n"/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04" t="n"/>
      <c r="M110" s="246" t="n"/>
      <c r="N110" s="247" t="n"/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03" t="n"/>
      <c r="M111" s="240" t="n"/>
      <c r="N111" s="241" t="n"/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04" t="n"/>
      <c r="M112" s="246" t="n"/>
      <c r="N112" s="247" t="n"/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03" t="n"/>
      <c r="M113" s="240" t="n"/>
      <c r="N113" s="241" t="n"/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04" t="n"/>
      <c r="M114" s="246" t="n"/>
      <c r="N114" s="247" t="n"/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03" t="n"/>
      <c r="M115" s="240" t="n"/>
      <c r="N115" s="241" t="n"/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04" t="n"/>
      <c r="M116" s="246" t="n"/>
      <c r="N116" s="247" t="n"/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03" t="n"/>
      <c r="M117" s="240" t="n"/>
      <c r="N117" s="241" t="n"/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04" t="n"/>
      <c r="M118" s="246" t="n"/>
      <c r="N118" s="247" t="n"/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03" t="n"/>
      <c r="M119" s="240" t="n"/>
      <c r="N119" s="241" t="n"/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04" t="n"/>
      <c r="M120" s="246" t="n"/>
      <c r="N120" s="247" t="n"/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03" t="n"/>
      <c r="M121" s="240" t="n"/>
      <c r="N121" s="241" t="n"/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04" t="n"/>
      <c r="M122" s="246" t="n"/>
      <c r="N122" s="247" t="n"/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03" t="n"/>
      <c r="M123" s="240" t="n"/>
      <c r="N123" s="241" t="n"/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04" t="n"/>
      <c r="M124" s="246" t="n"/>
      <c r="N124" s="247" t="n"/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03" t="n"/>
      <c r="M125" s="240" t="n"/>
      <c r="N125" s="241" t="n"/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04" t="n"/>
      <c r="M126" s="246" t="n"/>
      <c r="N126" s="247" t="n"/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03" t="n"/>
      <c r="M127" s="240" t="n"/>
      <c r="N127" s="241" t="n"/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04" t="n"/>
      <c r="M128" s="246" t="n"/>
      <c r="N128" s="247" t="n"/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03" t="n"/>
      <c r="M129" s="240" t="n"/>
      <c r="N129" s="241" t="n"/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04" t="n"/>
      <c r="M130" s="246" t="n"/>
      <c r="N130" s="247" t="n"/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03" t="n"/>
      <c r="M131" s="240" t="n"/>
      <c r="N131" s="241" t="n"/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04" t="n"/>
      <c r="M132" s="246" t="n"/>
      <c r="N132" s="247" t="n"/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03" t="n"/>
      <c r="M133" s="240" t="n"/>
      <c r="N133" s="241" t="n"/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04" t="n"/>
      <c r="M134" s="246" t="n"/>
      <c r="N134" s="247" t="n"/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03" t="n"/>
      <c r="M135" s="240" t="n"/>
      <c r="N135" s="241" t="n"/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04" t="n"/>
      <c r="M136" s="246" t="n"/>
      <c r="N136" s="247" t="n"/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03" t="n"/>
      <c r="M137" s="240" t="n"/>
      <c r="N137" s="241" t="n"/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04" t="n"/>
      <c r="M138" s="246" t="n"/>
      <c r="N138" s="247" t="n"/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03" t="n"/>
      <c r="M139" s="240" t="n"/>
      <c r="N139" s="241" t="n"/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04" t="n"/>
      <c r="M140" s="246" t="n"/>
      <c r="N140" s="247" t="n"/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03" t="n"/>
      <c r="M141" s="240" t="n"/>
      <c r="N141" s="241" t="n"/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04" t="n"/>
      <c r="M142" s="246" t="n"/>
      <c r="N142" s="247" t="n"/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03" t="n"/>
      <c r="M143" s="240" t="n"/>
      <c r="N143" s="241" t="n"/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04" t="n"/>
      <c r="M144" s="246" t="n"/>
      <c r="N144" s="247" t="n"/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03" t="n"/>
      <c r="M145" s="240" t="n"/>
      <c r="N145" s="241" t="n"/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04" t="n"/>
      <c r="M146" s="246" t="n"/>
      <c r="N146" s="247" t="n"/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03" t="n"/>
      <c r="M147" s="240" t="n"/>
      <c r="N147" s="241" t="n"/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04" t="n"/>
      <c r="M148" s="246" t="n"/>
      <c r="N148" s="247" t="n"/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03" t="n"/>
      <c r="M149" s="240" t="n"/>
      <c r="N149" s="241" t="n"/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04" t="n"/>
      <c r="M150" s="246" t="n"/>
      <c r="N150" s="247" t="n"/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03" t="n"/>
      <c r="M151" s="240" t="n"/>
      <c r="N151" s="241" t="n"/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04" t="n"/>
      <c r="M152" s="246" t="n"/>
      <c r="N152" s="247" t="n"/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03" t="n"/>
      <c r="M153" s="240" t="n"/>
      <c r="N153" s="241" t="n"/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04" t="n"/>
      <c r="M154" s="246" t="n"/>
      <c r="N154" s="247" t="n"/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03" t="n"/>
      <c r="M155" s="240" t="n"/>
      <c r="N155" s="241" t="n"/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04" t="n"/>
      <c r="M156" s="246" t="n"/>
      <c r="N156" s="247" t="n"/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03" t="n"/>
      <c r="M157" s="240" t="n"/>
      <c r="N157" s="241" t="n"/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04" t="n"/>
      <c r="M158" s="246" t="n"/>
      <c r="N158" s="247" t="n"/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03" t="n"/>
      <c r="M159" s="240" t="n"/>
      <c r="N159" s="241" t="n"/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04" t="n"/>
      <c r="M160" s="246" t="n"/>
      <c r="N160" s="247" t="n"/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03" t="n"/>
      <c r="M161" s="240" t="n"/>
      <c r="N161" s="241" t="n"/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04" t="n"/>
      <c r="M162" s="246" t="n"/>
      <c r="N162" s="247" t="n"/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03" t="n"/>
      <c r="M163" s="240" t="n"/>
      <c r="N163" s="241" t="n"/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04" t="n"/>
      <c r="M164" s="246" t="n"/>
      <c r="N164" s="247" t="n"/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03" t="n"/>
      <c r="M165" s="240" t="n"/>
      <c r="N165" s="241" t="n"/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04" t="n"/>
      <c r="M166" s="246" t="n"/>
      <c r="N166" s="247" t="n"/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03" t="n"/>
      <c r="M167" s="240" t="n"/>
      <c r="N167" s="241" t="n"/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04" t="n"/>
      <c r="M168" s="246" t="n"/>
      <c r="N168" s="247" t="n"/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03" t="n"/>
      <c r="M169" s="240" t="n"/>
      <c r="N169" s="241" t="n"/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04" t="n"/>
      <c r="M170" s="246" t="n"/>
      <c r="N170" s="247" t="n"/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03" t="n"/>
      <c r="M171" s="240" t="n"/>
      <c r="N171" s="241" t="n"/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04" t="n"/>
      <c r="M172" s="246" t="n"/>
      <c r="N172" s="247" t="n"/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03" t="n"/>
      <c r="M173" s="240" t="n"/>
      <c r="N173" s="241" t="n"/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04" t="n"/>
      <c r="M174" s="246" t="n"/>
      <c r="N174" s="247" t="n"/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03" t="n"/>
      <c r="M175" s="240" t="n"/>
      <c r="N175" s="241" t="n"/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04" t="n"/>
      <c r="M176" s="246" t="n"/>
      <c r="N176" s="247" t="n"/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03" t="n"/>
      <c r="M177" s="240" t="n"/>
      <c r="N177" s="241" t="n"/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04" t="n"/>
      <c r="M178" s="246" t="n"/>
      <c r="N178" s="247" t="n"/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03" t="n"/>
      <c r="M179" s="240" t="n"/>
      <c r="N179" s="241" t="n"/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04" t="n"/>
      <c r="M180" s="246" t="n"/>
      <c r="N180" s="247" t="n"/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03" t="n"/>
      <c r="M181" s="240" t="n"/>
      <c r="N181" s="241" t="n"/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04" t="n"/>
      <c r="M182" s="246" t="n"/>
      <c r="N182" s="247" t="n"/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03" t="n"/>
      <c r="M183" s="240" t="n"/>
      <c r="N183" s="241" t="n"/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04" t="n"/>
      <c r="M184" s="246" t="n"/>
      <c r="N184" s="247" t="n"/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03" t="n"/>
      <c r="M185" s="240" t="n"/>
      <c r="N185" s="241" t="n"/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04" t="n"/>
      <c r="M186" s="246" t="n"/>
      <c r="N186" s="247" t="n"/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03" t="n"/>
      <c r="M187" s="240" t="n"/>
      <c r="N187" s="241" t="n"/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04" t="n"/>
      <c r="M188" s="246" t="n"/>
      <c r="N188" s="247" t="n"/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03" t="n"/>
      <c r="M189" s="240" t="n"/>
      <c r="N189" s="241" t="n"/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04" t="n"/>
      <c r="M190" s="246" t="n"/>
      <c r="N190" s="247" t="n"/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03" t="n"/>
      <c r="M191" s="240" t="n"/>
      <c r="N191" s="241" t="n"/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04" t="n"/>
      <c r="M192" s="246" t="n"/>
      <c r="N192" s="247" t="n"/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03" t="n"/>
      <c r="M193" s="240" t="n"/>
      <c r="N193" s="241" t="n"/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04" t="n"/>
      <c r="M194" s="246" t="n"/>
      <c r="N194" s="247" t="n"/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03" t="n"/>
      <c r="M195" s="240" t="n"/>
      <c r="N195" s="241" t="n"/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04" t="n"/>
      <c r="M196" s="246" t="n"/>
      <c r="N196" s="247" t="n"/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03" t="n"/>
      <c r="M197" s="240" t="n"/>
      <c r="N197" s="241" t="n"/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04" t="n"/>
      <c r="M198" s="246" t="n"/>
      <c r="N198" s="247" t="n"/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03" t="n"/>
      <c r="M199" s="240" t="n"/>
      <c r="N199" s="241" t="n"/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04" t="n"/>
      <c r="M200" s="246" t="n"/>
      <c r="N200" s="247" t="n"/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03" t="n"/>
      <c r="M201" s="240" t="n"/>
      <c r="N201" s="241" t="n"/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04" t="n"/>
      <c r="M202" s="246" t="n"/>
      <c r="N202" s="247" t="n"/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03" t="n"/>
      <c r="M203" s="240" t="n"/>
      <c r="N203" s="241" t="n"/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04" t="n"/>
      <c r="M204" s="246" t="n"/>
      <c r="N204" s="247" t="n"/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03" t="n"/>
      <c r="M205" s="240" t="n"/>
      <c r="N205" s="241" t="n"/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04" t="n"/>
      <c r="M206" s="246" t="n"/>
      <c r="N206" s="247" t="n"/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03" t="n"/>
      <c r="M207" s="240" t="n"/>
      <c r="N207" s="241" t="n"/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04" t="n"/>
      <c r="M208" s="246" t="n"/>
      <c r="N208" s="247" t="n"/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03" t="n"/>
      <c r="M209" s="240" t="n"/>
      <c r="N209" s="241" t="n"/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04" t="n"/>
      <c r="M210" s="246" t="n"/>
      <c r="N210" s="247" t="n"/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03" t="n"/>
      <c r="M211" s="240" t="n"/>
      <c r="N211" s="241" t="n"/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04" t="n"/>
      <c r="M212" s="246" t="n"/>
      <c r="N212" s="247" t="n"/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03" t="n"/>
      <c r="M213" s="240" t="n"/>
      <c r="N213" s="241" t="n"/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04" t="n"/>
      <c r="M214" s="246" t="n"/>
      <c r="N214" s="247" t="n"/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03" t="n"/>
      <c r="M215" s="240" t="n"/>
      <c r="N215" s="241" t="n"/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04" t="n"/>
      <c r="M216" s="246" t="n"/>
      <c r="N216" s="247" t="n"/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03" t="n"/>
      <c r="M217" s="240" t="n"/>
      <c r="N217" s="241" t="n"/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04" t="n"/>
      <c r="M218" s="246" t="n"/>
      <c r="N218" s="247" t="n"/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03" t="n"/>
      <c r="M219" s="240" t="n"/>
      <c r="N219" s="241" t="n"/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04" t="n"/>
      <c r="M220" s="246" t="n"/>
      <c r="N220" s="247" t="n"/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03" t="n"/>
      <c r="M221" s="240" t="n"/>
      <c r="N221" s="241" t="n"/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04" t="n"/>
      <c r="M222" s="246" t="n"/>
      <c r="N222" s="247" t="n"/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03" t="n"/>
      <c r="M223" s="240" t="n"/>
      <c r="N223" s="241" t="n"/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04" t="n"/>
      <c r="M224" s="246" t="n"/>
      <c r="N224" s="247" t="n"/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03" t="n"/>
      <c r="M225" s="240" t="n"/>
      <c r="N225" s="241" t="n"/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04" t="n"/>
      <c r="M226" s="246" t="n"/>
      <c r="N226" s="247" t="n"/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03" t="n"/>
      <c r="M227" s="240" t="n"/>
      <c r="N227" s="241" t="n"/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04" t="n"/>
      <c r="M228" s="246" t="n"/>
      <c r="N228" s="247" t="n"/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03" t="n"/>
      <c r="M229" s="240" t="n"/>
      <c r="N229" s="241" t="n"/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04" t="n"/>
      <c r="M230" s="246" t="n"/>
      <c r="N230" s="247" t="n"/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03" t="n"/>
      <c r="M231" s="240" t="n"/>
      <c r="N231" s="241" t="n"/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04" t="n"/>
      <c r="M232" s="246" t="n"/>
      <c r="N232" s="247" t="n"/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03" t="n"/>
      <c r="M233" s="240" t="n"/>
      <c r="N233" s="241" t="n"/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04" t="n"/>
      <c r="M234" s="246" t="n"/>
      <c r="N234" s="247" t="n"/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03" t="n"/>
      <c r="M235" s="240" t="n"/>
      <c r="N235" s="241" t="n"/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04" t="n"/>
      <c r="M236" s="246" t="n"/>
      <c r="N236" s="247" t="n"/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03" t="n"/>
      <c r="M237" s="240" t="n"/>
      <c r="N237" s="241" t="n"/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04" t="n"/>
      <c r="M238" s="246" t="n"/>
      <c r="N238" s="247" t="n"/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03" t="n"/>
      <c r="M239" s="240" t="n"/>
      <c r="N239" s="241" t="n"/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04" t="n"/>
      <c r="M240" s="246" t="n"/>
      <c r="N240" s="247" t="n"/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03" t="n"/>
      <c r="M241" s="240" t="n"/>
      <c r="N241" s="241" t="n"/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04" t="n"/>
      <c r="M242" s="246" t="n"/>
      <c r="N242" s="247" t="n"/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03" t="n"/>
      <c r="M243" s="240" t="n"/>
      <c r="N243" s="241" t="n"/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04" t="n"/>
      <c r="M244" s="246" t="n"/>
      <c r="N244" s="247" t="n"/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03" t="n"/>
      <c r="M245" s="240" t="n"/>
      <c r="N245" s="241" t="n"/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04" t="n"/>
      <c r="M246" s="246" t="n"/>
      <c r="N246" s="247" t="n"/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03" t="n"/>
      <c r="M247" s="240" t="n"/>
      <c r="N247" s="241" t="n"/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04" t="n"/>
      <c r="M248" s="246" t="n"/>
      <c r="N248" s="247" t="n"/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03" t="n"/>
      <c r="M249" s="240" t="n"/>
      <c r="N249" s="241" t="n"/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04" t="n"/>
      <c r="M250" s="246" t="n"/>
      <c r="N250" s="247" t="n"/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03" t="n"/>
      <c r="M251" s="240" t="n"/>
      <c r="N251" s="241" t="n"/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04" t="n"/>
      <c r="M252" s="246" t="n"/>
      <c r="N252" s="247" t="n"/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03" t="n"/>
      <c r="M253" s="240" t="n"/>
      <c r="N253" s="241" t="n"/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04" t="n"/>
      <c r="M254" s="246" t="n"/>
      <c r="N254" s="247" t="n"/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03" t="n"/>
      <c r="M255" s="240" t="n"/>
      <c r="N255" s="241" t="n"/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04" t="n"/>
      <c r="M256" s="246" t="n"/>
      <c r="N256" s="247" t="n"/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03" t="n"/>
      <c r="M257" s="240" t="n"/>
      <c r="N257" s="241" t="n"/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04" t="n"/>
      <c r="M258" s="246" t="n"/>
      <c r="N258" s="247" t="n"/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03" t="n"/>
      <c r="M259" s="240" t="n"/>
      <c r="N259" s="241" t="n"/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04" t="n"/>
      <c r="M260" s="246" t="n"/>
      <c r="N260" s="247" t="n"/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03" t="n"/>
      <c r="M261" s="240" t="n"/>
      <c r="N261" s="241" t="n"/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04" t="n"/>
      <c r="M262" s="246" t="n"/>
      <c r="N262" s="247" t="n"/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03" t="n"/>
      <c r="M263" s="240" t="n"/>
      <c r="N263" s="241" t="n"/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04" t="n"/>
      <c r="M264" s="246" t="n"/>
      <c r="N264" s="247" t="n"/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03" t="n"/>
      <c r="M265" s="240" t="n"/>
      <c r="N265" s="241" t="n"/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04" t="n"/>
      <c r="M266" s="246" t="n"/>
      <c r="N266" s="247" t="n"/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03" t="n"/>
      <c r="M267" s="240" t="n"/>
      <c r="N267" s="241" t="n"/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04" t="n"/>
      <c r="M268" s="246" t="n"/>
      <c r="N268" s="247" t="n"/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03" t="n"/>
      <c r="M269" s="240" t="n"/>
      <c r="N269" s="241" t="n"/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04" t="n"/>
      <c r="M270" s="246" t="n"/>
      <c r="N270" s="247" t="n"/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03" t="n"/>
      <c r="M271" s="240" t="n"/>
      <c r="N271" s="241" t="n"/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04" t="n"/>
      <c r="M272" s="246" t="n"/>
      <c r="N272" s="247" t="n"/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03" t="n"/>
      <c r="M273" s="240" t="n"/>
      <c r="N273" s="241" t="n"/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04" t="n"/>
      <c r="M274" s="246" t="n"/>
      <c r="N274" s="247" t="n"/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03" t="n"/>
      <c r="M275" s="240" t="n"/>
      <c r="N275" s="241" t="n"/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04" t="n"/>
      <c r="M276" s="246" t="n"/>
      <c r="N276" s="247" t="n"/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03" t="n"/>
      <c r="M277" s="240" t="n"/>
      <c r="N277" s="241" t="n"/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04" t="n"/>
      <c r="M278" s="246" t="n"/>
      <c r="N278" s="247" t="n"/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03" t="n"/>
      <c r="M279" s="240" t="n"/>
      <c r="N279" s="241" t="n"/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04" t="n"/>
      <c r="M280" s="246" t="n"/>
      <c r="N280" s="247" t="n"/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03" t="n"/>
      <c r="M281" s="240" t="n"/>
      <c r="N281" s="241" t="n"/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04" t="n"/>
      <c r="M282" s="246" t="n"/>
      <c r="N282" s="247" t="n"/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03" t="n"/>
      <c r="M283" s="240" t="n"/>
      <c r="N283" s="241" t="n"/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04" t="n"/>
      <c r="M284" s="246" t="n"/>
      <c r="N284" s="247" t="n"/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03" t="n"/>
      <c r="M285" s="240" t="n"/>
      <c r="N285" s="241" t="n"/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04" t="n"/>
      <c r="M286" s="246" t="n"/>
      <c r="N286" s="247" t="n"/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03" t="n"/>
      <c r="M287" s="240" t="n"/>
      <c r="N287" s="241" t="n"/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04" t="n"/>
      <c r="M288" s="246" t="n"/>
      <c r="N288" s="247" t="n"/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03" t="n"/>
      <c r="M289" s="240" t="n"/>
      <c r="N289" s="241" t="n"/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04" t="n"/>
      <c r="M290" s="246" t="n"/>
      <c r="N290" s="247" t="n"/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03" t="n"/>
      <c r="M291" s="240" t="n"/>
      <c r="N291" s="241" t="n"/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04" t="n"/>
      <c r="M292" s="246" t="n"/>
      <c r="N292" s="247" t="n"/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03" t="n"/>
      <c r="M293" s="240" t="n"/>
      <c r="N293" s="241" t="n"/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04" t="n"/>
      <c r="M294" s="246" t="n"/>
      <c r="N294" s="247" t="n"/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03" t="n"/>
      <c r="M295" s="240" t="n"/>
      <c r="N295" s="241" t="n"/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04" t="n"/>
      <c r="M296" s="246" t="n"/>
      <c r="N296" s="247" t="n"/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03" t="n"/>
      <c r="M297" s="240" t="n"/>
      <c r="N297" s="241" t="n"/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04" t="n"/>
      <c r="M298" s="246" t="n"/>
      <c r="N298" s="247" t="n"/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03" t="n"/>
      <c r="M299" s="240" t="n"/>
      <c r="N299" s="241" t="n"/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04" t="n"/>
      <c r="M300" s="246" t="n"/>
      <c r="N300" s="247" t="n"/>
    </row>
  </sheetData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245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239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245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239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245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239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245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239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245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239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245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239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245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239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245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239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245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239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245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239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245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239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245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239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245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239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245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239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245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239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245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239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245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239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245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239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245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239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245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239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245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239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245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239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245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239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245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239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245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239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245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239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245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239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245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239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245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239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245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239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245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239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245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239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245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239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245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239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245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239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245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239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245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239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245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239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245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239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245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239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245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239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245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239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245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239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245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239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245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239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245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239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245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239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245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239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245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239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245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239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245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239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245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239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245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239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245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239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245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239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245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239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245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239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245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239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245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239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245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239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245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239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245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239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245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239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245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239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245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239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245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239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245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239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245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239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245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239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245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239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245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239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245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239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245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239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245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239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245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239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245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239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245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239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245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239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245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239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245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239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245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239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245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239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245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239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245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239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245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239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245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239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245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239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245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239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245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239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245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239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245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239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245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239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245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239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245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239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245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239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245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239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245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239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245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239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245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239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245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239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245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239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245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239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245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239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245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239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245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239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245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239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245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239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245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239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245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239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245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239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245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239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245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239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245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239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245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239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245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239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245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239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245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239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245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239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245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239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245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239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245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239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245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239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245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239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245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239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245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239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245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239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245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239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245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239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245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239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245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239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245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239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245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239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245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239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245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239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245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239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245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239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245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239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245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239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245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239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245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239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245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239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245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239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245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239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245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239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245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239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245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239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245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239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245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/>
      </c>
      <c r="I5" s="240" t="n">
        <v>2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/>
      </c>
      <c r="I6" s="246" t="n">
        <v>0.05</v>
      </c>
      <c r="J6" s="183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/>
      </c>
      <c r="I7" s="240" t="n">
        <v>1</v>
      </c>
      <c r="J7" s="17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/>
      </c>
      <c r="I8" s="246" t="n">
        <v>20</v>
      </c>
      <c r="J8" s="183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/>
      </c>
      <c r="I9" s="240" t="n">
        <v>1.5</v>
      </c>
      <c r="J9" s="17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/>
      </c>
      <c r="I10" s="246" t="n">
        <v>0.5</v>
      </c>
      <c r="J10" s="183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/>
      </c>
      <c r="I11" s="240" t="n">
        <v>10</v>
      </c>
      <c r="J11" s="17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244" t="inlineStr">
        <is>
          <t>T-0018</t>
        </is>
      </c>
      <c r="C12" s="243" t="n">
        <v>46303</v>
      </c>
      <c r="D12" s="244" t="inlineStr">
        <is>
          <t>Binance</t>
        </is>
      </c>
      <c r="E12" s="245" t="inlineStr">
        <is>
          <t>BTC/USDT</t>
        </is>
      </c>
      <c r="F12" s="246" t="n">
        <v>0.2</v>
      </c>
      <c r="G12" s="183" t="n">
        <v>61923.6</v>
      </c>
      <c r="H12" s="271">
        <f>IF(AND(ISNUMBER(F12),ISNUMBER(G12)),F12*G12,"")</f>
        <v/>
      </c>
      <c r="I12" s="246" t="n">
        <v>0.2</v>
      </c>
      <c r="J12" s="183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238" t="inlineStr">
        <is>
          <t>T-0019</t>
        </is>
      </c>
      <c r="C13" s="237" t="n">
        <v>46304</v>
      </c>
      <c r="D13" s="238" t="inlineStr">
        <is>
          <t>Bybit</t>
        </is>
      </c>
      <c r="E13" s="239" t="inlineStr">
        <is>
          <t>ETH/BTC</t>
        </is>
      </c>
      <c r="F13" s="240" t="n">
        <v>2</v>
      </c>
      <c r="G13" s="177" t="n">
        <v>0.0510018</v>
      </c>
      <c r="H13" s="271">
        <f>IF(AND(ISNUMBER(F13),ISNUMBER(G13)),F13*G13,"")</f>
        <v/>
      </c>
      <c r="I13" s="240" t="n">
        <v>2</v>
      </c>
      <c r="J13" s="17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244" t="inlineStr">
        <is>
          <t>T-0020</t>
        </is>
      </c>
      <c r="C14" s="243" t="n">
        <v>46304</v>
      </c>
      <c r="D14" s="244" t="inlineStr">
        <is>
          <t>OKX</t>
        </is>
      </c>
      <c r="E14" s="245" t="inlineStr">
        <is>
          <t>XRP/USDT</t>
        </is>
      </c>
      <c r="F14" s="246" t="n">
        <v>1500</v>
      </c>
      <c r="G14" s="183" t="n">
        <v>2.1543</v>
      </c>
      <c r="H14" s="271">
        <f>IF(AND(ISNUMBER(F14),ISNUMBER(G14)),F14*G14,"")</f>
        <v/>
      </c>
      <c r="I14" s="246" t="n">
        <v>1500</v>
      </c>
      <c r="J14" s="183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238" t="inlineStr">
        <is>
          <t>T-0021</t>
        </is>
      </c>
      <c r="C15" s="237" t="n">
        <v>46304</v>
      </c>
      <c r="D15" s="238" t="inlineStr">
        <is>
          <t>Binance</t>
        </is>
      </c>
      <c r="E15" s="239" t="inlineStr">
        <is>
          <t>DOGE/USDT</t>
        </is>
      </c>
      <c r="F15" s="240" t="n">
        <v>20000</v>
      </c>
      <c r="G15" s="177" t="n">
        <v>0.178356</v>
      </c>
      <c r="H15" s="271">
        <f>IF(AND(ISNUMBER(F15),ISNUMBER(G15)),F15*G15,"")</f>
        <v/>
      </c>
      <c r="I15" s="240" t="n">
        <v>20000</v>
      </c>
      <c r="J15" s="17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244" t="inlineStr">
        <is>
          <t>T-0022</t>
        </is>
      </c>
      <c r="C16" s="243" t="n">
        <v>46304</v>
      </c>
      <c r="D16" s="244" t="inlineStr">
        <is>
          <t>Bybit</t>
        </is>
      </c>
      <c r="E16" s="245" t="inlineStr">
        <is>
          <t>LINK/ETH</t>
        </is>
      </c>
      <c r="F16" s="246" t="n">
        <v>100</v>
      </c>
      <c r="G16" s="183" t="n">
        <v>0.0043587</v>
      </c>
      <c r="H16" s="271">
        <f>IF(AND(ISNUMBER(F16),ISNUMBER(G16)),F16*G16,"")</f>
        <v/>
      </c>
      <c r="I16" s="246" t="n">
        <v>100</v>
      </c>
      <c r="J16" s="183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238" t="inlineStr">
        <is>
          <t>T-0023</t>
        </is>
      </c>
      <c r="C17" s="237" t="n">
        <v>46304</v>
      </c>
      <c r="D17" s="238" t="inlineStr">
        <is>
          <t>Binance</t>
        </is>
      </c>
      <c r="E17" s="239" t="inlineStr">
        <is>
          <t>BNB/ETH</t>
        </is>
      </c>
      <c r="F17" s="240" t="n">
        <v>4</v>
      </c>
      <c r="G17" s="177" t="n">
        <v>0.187875</v>
      </c>
      <c r="H17" s="271">
        <f>IF(AND(ISNUMBER(F17),ISNUMBER(G17)),F17*G17,"")</f>
        <v/>
      </c>
      <c r="I17" s="240" t="n">
        <v>4</v>
      </c>
      <c r="J17" s="17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244" t="inlineStr">
        <is>
          <t>T-0024</t>
        </is>
      </c>
      <c r="C18" s="243" t="n">
        <v>46304</v>
      </c>
      <c r="D18" s="244" t="inlineStr">
        <is>
          <t>Bybit</t>
        </is>
      </c>
      <c r="E18" s="245" t="inlineStr">
        <is>
          <t>BNB/BTC</t>
        </is>
      </c>
      <c r="F18" s="246" t="n">
        <v>3</v>
      </c>
      <c r="G18" s="183" t="n">
        <v>0.009569100000000001</v>
      </c>
      <c r="H18" s="271">
        <f>IF(AND(ISNUMBER(F18),ISNUMBER(G18)),F18*G18,"")</f>
        <v/>
      </c>
      <c r="I18" s="246" t="n">
        <v>3</v>
      </c>
      <c r="J18" s="183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238" t="inlineStr">
        <is>
          <t>T-0025</t>
        </is>
      </c>
      <c r="C19" s="237" t="n">
        <v>46304</v>
      </c>
      <c r="D19" s="238" t="inlineStr">
        <is>
          <t>OKX</t>
        </is>
      </c>
      <c r="E19" s="239" t="inlineStr">
        <is>
          <t>CAKE/ETH</t>
        </is>
      </c>
      <c r="F19" s="240" t="n">
        <v>250</v>
      </c>
      <c r="G19" s="177" t="n">
        <v>0.0007515</v>
      </c>
      <c r="H19" s="271">
        <f>IF(AND(ISNUMBER(F19),ISNUMBER(G19)),F19*G19,"")</f>
        <v/>
      </c>
      <c r="I19" s="240" t="n">
        <v>250</v>
      </c>
      <c r="J19" s="17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244" t="inlineStr">
        <is>
          <t>T-0026</t>
        </is>
      </c>
      <c r="C20" s="243" t="n">
        <v>46304</v>
      </c>
      <c r="D20" s="244" t="inlineStr">
        <is>
          <t>Binance</t>
        </is>
      </c>
      <c r="E20" s="245" t="inlineStr">
        <is>
          <t>DASH/BTC</t>
        </is>
      </c>
      <c r="F20" s="246" t="n">
        <v>12</v>
      </c>
      <c r="G20" s="183" t="n">
        <v>0.00061423</v>
      </c>
      <c r="H20" s="271">
        <f>IF(AND(ISNUMBER(F20),ISNUMBER(G20)),F20*G20,"")</f>
        <v/>
      </c>
      <c r="I20" s="246" t="n">
        <v>12</v>
      </c>
      <c r="J20" s="183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238" t="inlineStr">
        <is>
          <t>T-0027</t>
        </is>
      </c>
      <c r="C21" s="237" t="n">
        <v>46304</v>
      </c>
      <c r="D21" s="238" t="inlineStr">
        <is>
          <t>Bybit</t>
        </is>
      </c>
      <c r="E21" s="239" t="inlineStr">
        <is>
          <t>DASH/LTC</t>
        </is>
      </c>
      <c r="F21" s="240" t="n">
        <v>20</v>
      </c>
      <c r="G21" s="177" t="n">
        <v>0.41082</v>
      </c>
      <c r="H21" s="271">
        <f>IF(AND(ISNUMBER(F21),ISNUMBER(G21)),F21*G21,"")</f>
        <v/>
      </c>
      <c r="I21" s="240" t="n">
        <v>20</v>
      </c>
      <c r="J21" s="17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244" t="inlineStr">
        <is>
          <t>L-0021</t>
        </is>
      </c>
      <c r="C22" s="243" t="n">
        <v>46303</v>
      </c>
      <c r="D22" s="244" t="inlineStr">
        <is>
          <t>Binance</t>
        </is>
      </c>
      <c r="E22" s="245" t="inlineStr">
        <is>
          <t>SOL/USDT</t>
        </is>
      </c>
      <c r="F22" s="246" t="n">
        <v>30</v>
      </c>
      <c r="G22" s="183" t="n">
        <v>148.296</v>
      </c>
      <c r="H22" s="271">
        <f>IF(AND(ISNUMBER(F22),ISNUMBER(G22)),F22*G22,"")</f>
        <v/>
      </c>
      <c r="I22" s="246" t="n">
        <v>30</v>
      </c>
      <c r="J22" s="183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238" t="inlineStr">
        <is>
          <t>L-0022</t>
        </is>
      </c>
      <c r="C23" s="237" t="n">
        <v>46304</v>
      </c>
      <c r="D23" s="238" t="inlineStr">
        <is>
          <t>Bybit</t>
        </is>
      </c>
      <c r="E23" s="239" t="inlineStr">
        <is>
          <t>BNB/USDT</t>
        </is>
      </c>
      <c r="F23" s="240" t="n">
        <v>5</v>
      </c>
      <c r="G23" s="177" t="n">
        <v>597.192</v>
      </c>
      <c r="H23" s="271">
        <f>IF(AND(ISNUMBER(F23),ISNUMBER(G23)),F23*G23,"")</f>
        <v/>
      </c>
      <c r="I23" s="240" t="n">
        <v>5</v>
      </c>
      <c r="J23" s="17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244" t="inlineStr">
        <is>
          <t>L-0023</t>
        </is>
      </c>
      <c r="C24" s="243" t="n">
        <v>46304</v>
      </c>
      <c r="D24" s="244" t="inlineStr">
        <is>
          <t>AAVE</t>
        </is>
      </c>
      <c r="E24" s="245" t="inlineStr">
        <is>
          <t>AAVE/USDT</t>
        </is>
      </c>
      <c r="F24" s="246" t="n">
        <v>12</v>
      </c>
      <c r="G24" s="183" t="n">
        <v>198.396</v>
      </c>
      <c r="H24" s="271">
        <f>IF(AND(ISNUMBER(F24),ISNUMBER(G24)),F24*G24,"")</f>
        <v/>
      </c>
      <c r="I24" s="246" t="n">
        <v>12</v>
      </c>
      <c r="J24" s="183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238" t="inlineStr">
        <is>
          <t>L-0024</t>
        </is>
      </c>
      <c r="C25" s="237" t="n">
        <v>46304</v>
      </c>
      <c r="D25" s="238" t="inlineStr">
        <is>
          <t>OKX</t>
        </is>
      </c>
      <c r="E25" s="239" t="inlineStr">
        <is>
          <t>ETH/USDT</t>
        </is>
      </c>
      <c r="F25" s="240" t="n">
        <v>1.5</v>
      </c>
      <c r="G25" s="177" t="n">
        <v>3196.38</v>
      </c>
      <c r="H25" s="271">
        <f>IF(AND(ISNUMBER(F25),ISNUMBER(G25)),F25*G25,"")</f>
        <v/>
      </c>
      <c r="I25" s="240" t="n">
        <v>1.5</v>
      </c>
      <c r="J25" s="17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244" t="inlineStr">
        <is>
          <t>L-0025</t>
        </is>
      </c>
      <c r="C26" s="243" t="n">
        <v>46304</v>
      </c>
      <c r="D26" s="244" t="inlineStr">
        <is>
          <t>Binance</t>
        </is>
      </c>
      <c r="E26" s="245" t="inlineStr">
        <is>
          <t>LTC/USDT</t>
        </is>
      </c>
      <c r="F26" s="246" t="n">
        <v>40</v>
      </c>
      <c r="G26" s="183" t="n">
        <v>88.176</v>
      </c>
      <c r="H26" s="271">
        <f>IF(AND(ISNUMBER(F26),ISNUMBER(G26)),F26*G26,"")</f>
        <v/>
      </c>
      <c r="I26" s="246" t="n">
        <v>40</v>
      </c>
      <c r="J26" s="183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238" t="inlineStr">
        <is>
          <t>L-0026</t>
        </is>
      </c>
      <c r="C27" s="237" t="n">
        <v>46304</v>
      </c>
      <c r="D27" s="238" t="inlineStr">
        <is>
          <t>Binance</t>
        </is>
      </c>
      <c r="E27" s="239" t="inlineStr">
        <is>
          <t>BNB/ETH</t>
        </is>
      </c>
      <c r="F27" s="240" t="n">
        <v>5</v>
      </c>
      <c r="G27" s="177" t="n">
        <v>0.186372</v>
      </c>
      <c r="H27" s="271">
        <f>IF(AND(ISNUMBER(F27),ISNUMBER(G27)),F27*G27,"")</f>
        <v/>
      </c>
      <c r="I27" s="240" t="n">
        <v>5</v>
      </c>
      <c r="J27" s="17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244" t="inlineStr">
        <is>
          <t>L-0027</t>
        </is>
      </c>
      <c r="C28" s="243" t="n">
        <v>46304</v>
      </c>
      <c r="D28" s="244" t="inlineStr">
        <is>
          <t>Bybit</t>
        </is>
      </c>
      <c r="E28" s="245" t="inlineStr">
        <is>
          <t>CAKE/BTC</t>
        </is>
      </c>
      <c r="F28" s="246" t="n">
        <v>300</v>
      </c>
      <c r="G28" s="183" t="n">
        <v>3.858e-05</v>
      </c>
      <c r="H28" s="271">
        <f>IF(AND(ISNUMBER(F28),ISNUMBER(G28)),F28*G28,"")</f>
        <v/>
      </c>
      <c r="I28" s="246" t="n">
        <v>300</v>
      </c>
      <c r="J28" s="183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238" t="inlineStr">
        <is>
          <t>L-0028</t>
        </is>
      </c>
      <c r="C29" s="237" t="n">
        <v>46304</v>
      </c>
      <c r="D29" s="238" t="inlineStr">
        <is>
          <t>AAVE</t>
        </is>
      </c>
      <c r="E29" s="239" t="inlineStr">
        <is>
          <t>ETH/BTC</t>
        </is>
      </c>
      <c r="F29" s="240" t="n">
        <v>1.5</v>
      </c>
      <c r="G29" s="177" t="n">
        <v>0.0513024</v>
      </c>
      <c r="H29" s="271">
        <f>IF(AND(ISNUMBER(F29),ISNUMBER(G29)),F29*G29,"")</f>
        <v/>
      </c>
      <c r="I29" s="240" t="n">
        <v>1.5</v>
      </c>
      <c r="J29" s="17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244" t="inlineStr">
        <is>
          <t>L-0029</t>
        </is>
      </c>
      <c r="C30" s="243" t="n">
        <v>46304</v>
      </c>
      <c r="D30" s="244" t="inlineStr">
        <is>
          <t>OKX</t>
        </is>
      </c>
      <c r="E30" s="245" t="inlineStr">
        <is>
          <t>BNB/ETH</t>
        </is>
      </c>
      <c r="F30" s="246" t="n">
        <v>4</v>
      </c>
      <c r="G30" s="183" t="n">
        <v>0.187374</v>
      </c>
      <c r="H30" s="271">
        <f>IF(AND(ISNUMBER(F30),ISNUMBER(G30)),F30*G30,"")</f>
        <v/>
      </c>
      <c r="I30" s="246" t="n">
        <v>4</v>
      </c>
      <c r="J30" s="183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238" t="inlineStr">
        <is>
          <t>L-0030</t>
        </is>
      </c>
      <c r="C31" s="237" t="n">
        <v>46304</v>
      </c>
      <c r="D31" s="238" t="inlineStr">
        <is>
          <t>Binance</t>
        </is>
      </c>
      <c r="E31" s="239" t="inlineStr">
        <is>
          <t>BTC/USDT</t>
        </is>
      </c>
      <c r="F31" s="240" t="n">
        <v>0.06</v>
      </c>
      <c r="G31" s="177" t="n">
        <v>62023.8</v>
      </c>
      <c r="H31" s="271">
        <f>IF(AND(ISNUMBER(F31),ISNUMBER(G31)),F31*G31,"")</f>
        <v/>
      </c>
      <c r="I31" s="240" t="n">
        <v>0.06</v>
      </c>
      <c r="J31" s="17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244" t="inlineStr">
        <is>
          <t>T-0028</t>
        </is>
      </c>
      <c r="C32" s="243" t="n">
        <v>46303</v>
      </c>
      <c r="D32" s="244" t="inlineStr">
        <is>
          <t>Binance</t>
        </is>
      </c>
      <c r="E32" s="245" t="inlineStr">
        <is>
          <t>ADA/USDT</t>
        </is>
      </c>
      <c r="F32" s="246" t="n">
        <v>40</v>
      </c>
      <c r="G32" s="183" t="n">
        <v>0.6012</v>
      </c>
      <c r="H32" s="271">
        <f>IF(AND(ISNUMBER(F32),ISNUMBER(G32)),F32*G32,"")</f>
        <v/>
      </c>
      <c r="I32" s="246" t="n">
        <v>40</v>
      </c>
      <c r="J32" s="183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238" t="inlineStr">
        <is>
          <t>T-0029</t>
        </is>
      </c>
      <c r="C33" s="237" t="n">
        <v>46303</v>
      </c>
      <c r="D33" s="238" t="inlineStr">
        <is>
          <t>Bybit</t>
        </is>
      </c>
      <c r="E33" s="239" t="inlineStr">
        <is>
          <t>SOL/USDT</t>
        </is>
      </c>
      <c r="F33" s="240" t="n">
        <v>10</v>
      </c>
      <c r="G33" s="177" t="n">
        <v>150.3</v>
      </c>
      <c r="H33" s="271">
        <f>IF(AND(ISNUMBER(F33),ISNUMBER(G33)),F33*G33,"")</f>
        <v/>
      </c>
      <c r="I33" s="240" t="n">
        <v>10</v>
      </c>
      <c r="J33" s="17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244" t="inlineStr">
        <is>
          <t>T-0029</t>
        </is>
      </c>
      <c r="C34" s="243" t="n">
        <v>46304</v>
      </c>
      <c r="D34" s="244" t="inlineStr">
        <is>
          <t>Bybit</t>
        </is>
      </c>
      <c r="E34" s="245" t="inlineStr">
        <is>
          <t>SOL/USDT</t>
        </is>
      </c>
      <c r="F34" s="246" t="n">
        <v>8</v>
      </c>
      <c r="G34" s="183" t="n">
        <v>150.3</v>
      </c>
      <c r="H34" s="271">
        <f>IF(AND(ISNUMBER(F34),ISNUMBER(G34)),F34*G34,"")</f>
        <v/>
      </c>
      <c r="I34" s="246" t="n">
        <v>8</v>
      </c>
      <c r="J34" s="183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238" t="inlineStr">
        <is>
          <t>T-0028</t>
        </is>
      </c>
      <c r="C35" s="237" t="n">
        <v>46304</v>
      </c>
      <c r="D35" s="238" t="inlineStr">
        <is>
          <t>Binance</t>
        </is>
      </c>
      <c r="E35" s="239" t="inlineStr">
        <is>
          <t>ADA/USDT</t>
        </is>
      </c>
      <c r="F35" s="240" t="n">
        <v>110</v>
      </c>
      <c r="G35" s="177" t="n">
        <v>0.61941818</v>
      </c>
      <c r="H35" s="271">
        <f>IF(AND(ISNUMBER(F35),ISNUMBER(G35)),F35*G35,"")</f>
        <v/>
      </c>
      <c r="I35" s="240" t="n">
        <v>110</v>
      </c>
      <c r="J35" s="17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2026-10-10T07:20:30Z</dcterms:modified>
</cp:coreProperties>
</file>