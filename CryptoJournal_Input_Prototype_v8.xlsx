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Пул Закрытые" sheetId="7" state="visible" r:id="rId7"/>
    <sheet xmlns:r="http://schemas.openxmlformats.org/officeDocument/2006/relationships" name="ИТОГО ПУЛ" sheetId="8" state="visible" r:id="rId8"/>
    <sheet xmlns:r="http://schemas.openxmlformats.org/officeDocument/2006/relationships" name="Закрытые" sheetId="9" state="visible" r:id="rId9"/>
    <sheet xmlns:r="http://schemas.openxmlformats.org/officeDocument/2006/relationships" name="ИТОГО" sheetId="10" state="visible" r:id="rId10"/>
    <sheet xmlns:r="http://schemas.openxmlformats.org/officeDocument/2006/relationships" name="Справочники" sheetId="11" state="visible" r:id="rId11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Print_Area" localSheetId="1">'Торговля'!$A$1:$N$17</definedName>
    <definedName name="_xlnm.Print_Area" localSheetId="2">'ИТОГО Торговля'!$A$1:$N$13</definedName>
    <definedName name="_xlnm.Print_Area" localSheetId="3">'Лэндинг'!$A$1:$N$13</definedName>
    <definedName name="_xlnm.Print_Area" localSheetId="4">'ИТОГО Лэндинг'!$A$1:$N$13</definedName>
    <definedName name="_xlnm.Print_Area" localSheetId="5">'Пул'!$A$1:$J$13</definedName>
    <definedName name="_xlnm.Print_Area" localSheetId="6">'Пул Закрытые'!$A$1:$O$13</definedName>
    <definedName name="_xlnm.Print_Area" localSheetId="7">'ИТОГО ПУЛ'!$A$1:$M$13</definedName>
    <definedName name="_xlnm.Print_Area" localSheetId="8">'Закрытые'!$A$1:$R$13</definedName>
    <definedName name="_xlnm.Print_Area" localSheetId="9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6D568F"/>
      </patternFill>
    </fill>
    <fill>
      <patternFill patternType="solid">
        <fgColor rgb="00FFFFFF"/>
      </patternFill>
    </fill>
    <fill>
      <patternFill patternType="solid">
        <fgColor rgb="00255B78"/>
      </patternFill>
    </fill>
    <fill>
      <patternFill patternType="solid">
        <fgColor rgb="008064A2"/>
      </patternFill>
    </fill>
  </fills>
  <borders count="43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8" fillId="13" borderId="19" applyAlignment="1" pivotButton="0" quotePrefix="0" xfId="0">
      <alignment horizontal="center" vertical="center"/>
    </xf>
    <xf numFmtId="0" fontId="8" fillId="13" borderId="17" applyAlignment="1" pivotButton="0" quotePrefix="0" xfId="0">
      <alignment horizontal="center" vertical="center"/>
    </xf>
    <xf numFmtId="165" fontId="4" fillId="11" borderId="2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65" fontId="4" fillId="14" borderId="2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0" fontId="8" fillId="15" borderId="17" applyAlignment="1" pivotButton="0" quotePrefix="0" xfId="0">
      <alignment horizontal="center" vertical="center"/>
    </xf>
    <xf numFmtId="0" fontId="8" fillId="15" borderId="18" applyAlignment="1" pivotButton="0" quotePrefix="0" xfId="0">
      <alignment horizontal="center" vertical="center"/>
    </xf>
    <xf numFmtId="0" fontId="8" fillId="16" borderId="19" applyAlignment="1" pivotButton="0" quotePrefix="0" xfId="0">
      <alignment horizontal="center" vertical="center"/>
    </xf>
    <xf numFmtId="0" fontId="8" fillId="16" borderId="18" applyAlignment="1" pivotButton="0" quotePrefix="0" xfId="0">
      <alignment horizontal="center" vertical="center"/>
    </xf>
    <xf numFmtId="0" fontId="8" fillId="13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17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/>
    </xf>
    <xf numFmtId="165" fontId="4" fillId="11" borderId="2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center" vertical="center"/>
    </xf>
    <xf numFmtId="0" fontId="4" fillId="14" borderId="20" applyAlignment="1" pivotButton="0" quotePrefix="0" xfId="0">
      <alignment horizontal="center" vertical="center"/>
    </xf>
    <xf numFmtId="165" fontId="4" fillId="14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40" zoomScaleNormal="14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225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IF(AND(ISNUMBER(H7),ISNUMBER(H8)),H7*H8*(1-N(J19)/100),"")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Новый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61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24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v7: списки, проверки и автоматические поля (Пара, Сумма торговли); Пулы: Добавить/Закрыть, ID «Новый» по умолчанию.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1" allowBlank="1" errorTitle="Действие" error="Выберите из списка: Добавить или Закрыть." type="list">
      <formula1>"Добавить,Закрыть"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1" showErrorMessage="1" allowBlank="1" errorTitle="ID позиции" error="Введите «Новый» или ID существующего пула в формате P-0001." promptTitle="ID позиции" prompt="«Новый» — ID присвоится автоматически. Чтобы добавить в существующий пул или закрыть его, введите его ID (P-0001)." type="custom">
      <formula1>=OR(H15="Новый",IFERROR(AND(EXACT(LEFT(H15,2),"P-"),ISNUMBER(--MID(H15,3,20)),MID(H15,3,20)=TEXT(--MID(H15,3,20),"0000")),FALSE))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T-0005</t>
        </is>
      </c>
      <c r="C5" s="209" t="n">
        <v>46299</v>
      </c>
      <c r="D5" s="186" t="inlineStr">
        <is>
          <t>Bybit</t>
        </is>
      </c>
      <c r="E5" s="175" t="inlineStr">
        <is>
          <t>BNB/USDT</t>
        </is>
      </c>
      <c r="F5" s="176" t="n">
        <v>2</v>
      </c>
      <c r="G5" s="177" t="n">
        <v>585</v>
      </c>
      <c r="H5" s="178" t="n">
        <v>1167.66</v>
      </c>
      <c r="I5" s="176" t="n">
        <v>5</v>
      </c>
      <c r="J5" s="177" t="n">
        <v>600</v>
      </c>
      <c r="K5" s="178" t="n">
        <v>2994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T-0001</t>
        </is>
      </c>
      <c r="C6" s="210" t="n">
        <v>46296</v>
      </c>
      <c r="D6" s="187" t="inlineStr">
        <is>
          <t>Binance</t>
        </is>
      </c>
      <c r="E6" s="181" t="inlineStr">
        <is>
          <t>BTC/USDT</t>
        </is>
      </c>
      <c r="F6" s="182" t="n">
        <v>0.1</v>
      </c>
      <c r="G6" s="183" t="n">
        <v>62000</v>
      </c>
      <c r="H6" s="184" t="n">
        <v>6187.6</v>
      </c>
      <c r="I6" s="182" t="n"/>
      <c r="J6" s="183" t="n"/>
      <c r="K6" s="184" t="n"/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T-0006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0.05</v>
      </c>
      <c r="G7" s="177" t="n">
        <v>62200</v>
      </c>
      <c r="H7" s="178" t="n">
        <v>3103.78</v>
      </c>
      <c r="I7" s="176" t="n">
        <v>0.05</v>
      </c>
      <c r="J7" s="177" t="n">
        <v>63000</v>
      </c>
      <c r="K7" s="178" t="n">
        <v>3143.7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T-0004</t>
        </is>
      </c>
      <c r="C8" s="210" t="n">
        <v>46298</v>
      </c>
      <c r="D8" s="187" t="inlineStr">
        <is>
          <t>Binance</t>
        </is>
      </c>
      <c r="E8" s="181" t="inlineStr">
        <is>
          <t>ETH/BTC</t>
        </is>
      </c>
      <c r="F8" s="182" t="n"/>
      <c r="G8" s="183" t="n"/>
      <c r="H8" s="184" t="n"/>
      <c r="I8" s="182" t="n">
        <v>1.5</v>
      </c>
      <c r="J8" s="183" t="n">
        <v>0.0525</v>
      </c>
      <c r="K8" s="184" t="n">
        <v>0.0785925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T-0002</t>
        </is>
      </c>
      <c r="C9" s="209" t="n">
        <v>46297</v>
      </c>
      <c r="D9" s="186" t="inlineStr">
        <is>
          <t>Bybit</t>
        </is>
      </c>
      <c r="E9" s="175" t="inlineStr">
        <is>
          <t>ETH/USDT</t>
        </is>
      </c>
      <c r="F9" s="176" t="n">
        <v>2</v>
      </c>
      <c r="G9" s="177" t="n">
        <v>3200</v>
      </c>
      <c r="H9" s="178" t="n">
        <v>6387.2</v>
      </c>
      <c r="I9" s="176" t="n">
        <v>1</v>
      </c>
      <c r="J9" s="177" t="n">
        <v>3350</v>
      </c>
      <c r="K9" s="178" t="n">
        <v>3343.3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T-0007</t>
        </is>
      </c>
      <c r="C10" s="210" t="n">
        <v>46300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3180</v>
      </c>
      <c r="H10" s="184" t="n">
        <v>3808.368</v>
      </c>
      <c r="I10" s="182" t="n"/>
      <c r="J10" s="183" t="n"/>
      <c r="K10" s="184" t="n"/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T-0008</t>
        </is>
      </c>
      <c r="C11" s="209" t="n">
        <v>46300</v>
      </c>
      <c r="D11" s="186" t="inlineStr">
        <is>
          <t>Bybit</t>
        </is>
      </c>
      <c r="E11" s="175" t="inlineStr">
        <is>
          <t>ETH/USDT</t>
        </is>
      </c>
      <c r="F11" s="176" t="n">
        <v>0.8</v>
      </c>
      <c r="G11" s="177" t="n">
        <v>3250</v>
      </c>
      <c r="H11" s="178" t="n">
        <v>2594.8</v>
      </c>
      <c r="I11" s="176" t="n"/>
      <c r="J11" s="177" t="n"/>
      <c r="K11" s="178" t="n"/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T-0009</t>
        </is>
      </c>
      <c r="C12" s="210" t="n">
        <v>46301</v>
      </c>
      <c r="D12" s="187" t="inlineStr">
        <is>
          <t>OKX</t>
        </is>
      </c>
      <c r="E12" s="181" t="inlineStr">
        <is>
          <t>ETH/USDT</t>
        </is>
      </c>
      <c r="F12" s="182" t="n"/>
      <c r="G12" s="183" t="n"/>
      <c r="H12" s="184" t="n"/>
      <c r="I12" s="182" t="n">
        <v>1.5</v>
      </c>
      <c r="J12" s="183" t="n">
        <v>3400</v>
      </c>
      <c r="K12" s="184" t="n">
        <v>5089.8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  <row r="13" ht="22" customHeight="1">
      <c r="B13" s="186" t="inlineStr">
        <is>
          <t>T-0003</t>
        </is>
      </c>
      <c r="C13" s="209" t="n">
        <v>46298</v>
      </c>
      <c r="D13" s="186" t="inlineStr">
        <is>
          <t>OKX</t>
        </is>
      </c>
      <c r="E13" s="175" t="inlineStr">
        <is>
          <t>SOL/USDT</t>
        </is>
      </c>
      <c r="F13" s="176" t="n">
        <v>20</v>
      </c>
      <c r="G13" s="177" t="n">
        <v>145</v>
      </c>
      <c r="H13" s="178" t="n">
        <v>2894.2</v>
      </c>
      <c r="I13" s="176" t="n">
        <v>20</v>
      </c>
      <c r="J13" s="177" t="n">
        <v>152</v>
      </c>
      <c r="K13" s="178" t="n">
        <v>3033.92</v>
      </c>
      <c r="L13" s="176">
        <f>IF(AND(AND(ISNUMBER(F13),ISNUMBER(I13),ISNUMBER(H13),ISNUMBER(K13)),F13&gt;0,I13&gt;0,H13&lt;&gt;0),ROUND(MIN(F13,I13)*(K13/I13-H13/F13),8),"")</f>
        <v/>
      </c>
      <c r="M13" s="177">
        <f>IF(AND(AND(ISNUMBER(F13),ISNUMBER(I13),ISNUMBER(H13),ISNUMBER(K13)),F13&gt;0,I13&gt;0,H13&lt;&gt;0),ROUND((K13/I13)/(H13/F13)*100-100,2),"")</f>
        <v/>
      </c>
    </row>
    <row r="14" ht="22" customHeight="1">
      <c r="B14" s="187" t="inlineStr">
        <is>
          <t>T-0010</t>
        </is>
      </c>
      <c r="C14" s="210" t="n">
        <v>46300</v>
      </c>
      <c r="D14" s="187" t="inlineStr">
        <is>
          <t>Binance</t>
        </is>
      </c>
      <c r="E14" s="181" t="inlineStr">
        <is>
          <t>SOL/USDT</t>
        </is>
      </c>
      <c r="F14" s="182" t="n"/>
      <c r="G14" s="183" t="n"/>
      <c r="H14" s="184" t="n"/>
      <c r="I14" s="182" t="n">
        <v>30</v>
      </c>
      <c r="J14" s="183" t="n">
        <v>150</v>
      </c>
      <c r="K14" s="184" t="n">
        <v>4491</v>
      </c>
      <c r="L14" s="182">
        <f>IF(AND(AND(ISNUMBER(F14),ISNUMBER(I14),ISNUMBER(H14),ISNUMBER(K14)),F14&gt;0,I14&gt;0,H14&lt;&gt;0),ROUND(MIN(F14,I14)*(K14/I14-H14/F14),8),"")</f>
        <v/>
      </c>
      <c r="M14" s="183">
        <f>IF(AND(AND(ISNUMBER(F14),ISNUMBER(I14),ISNUMBER(H14),ISNUMBER(K14)),F14&gt;0,I14&gt;0,H14&lt;&gt;0),ROUND((K14/I14)/(H14/F14)*100-100,2),"")</f>
        <v/>
      </c>
    </row>
    <row r="15" ht="22" customHeight="1">
      <c r="B15" s="186" t="inlineStr">
        <is>
          <t>T-0011</t>
        </is>
      </c>
      <c r="C15" s="209" t="n">
        <v>46301</v>
      </c>
      <c r="D15" s="186" t="inlineStr">
        <is>
          <t>Bybit</t>
        </is>
      </c>
      <c r="E15" s="175" t="inlineStr">
        <is>
          <t>SOL/USDT</t>
        </is>
      </c>
      <c r="F15" s="176" t="n"/>
      <c r="G15" s="177" t="n"/>
      <c r="H15" s="178" t="n"/>
      <c r="I15" s="176" t="n">
        <v>10</v>
      </c>
      <c r="J15" s="177" t="n">
        <v>152</v>
      </c>
      <c r="K15" s="178" t="n">
        <v>1516.96</v>
      </c>
      <c r="L15" s="176">
        <f>IF(AND(AND(ISNUMBER(F15),ISNUMBER(I15),ISNUMBER(H15),ISNUMBER(K15)),F15&gt;0,I15&gt;0,H15&lt;&gt;0),ROUND(MIN(F15,I15)*(K15/I15-H15/F15),8),"")</f>
        <v/>
      </c>
      <c r="M15" s="177">
        <f>IF(AND(AND(ISNUMBER(F15),ISNUMBER(I15),ISNUMBER(H15),ISNUMBER(K15)),F15&gt;0,I15&gt;0,H15&lt;&gt;0),ROUND((K15/I15)/(H15/F15)*100-100,2),"")</f>
        <v/>
      </c>
    </row>
    <row r="16" ht="22" customHeight="1">
      <c r="B16" s="187" t="inlineStr">
        <is>
          <t>T-0012</t>
        </is>
      </c>
      <c r="C16" s="210" t="n">
        <v>46301</v>
      </c>
      <c r="D16" s="187" t="inlineStr">
        <is>
          <t>OKX</t>
        </is>
      </c>
      <c r="E16" s="181" t="inlineStr">
        <is>
          <t>SOL/USDT</t>
        </is>
      </c>
      <c r="F16" s="182" t="n">
        <v>25</v>
      </c>
      <c r="G16" s="183" t="n">
        <v>146</v>
      </c>
      <c r="H16" s="184" t="n">
        <v>3642.7</v>
      </c>
      <c r="I16" s="182" t="n"/>
      <c r="J16" s="183" t="n"/>
      <c r="K16" s="184" t="n"/>
      <c r="L16" s="182">
        <f>IF(AND(AND(ISNUMBER(F16),ISNUMBER(I16),ISNUMBER(H16),ISNUMBER(K16)),F16&gt;0,I16&gt;0,H16&lt;&gt;0),ROUND(MIN(F16,I16)*(K16/I16-H16/F16),8),"")</f>
        <v/>
      </c>
      <c r="M16" s="183">
        <f>IF(AND(AND(ISNUMBER(F16),ISNUMBER(I16),ISNUMBER(H16),ISNUMBER(K16)),F16&gt;0,I16&gt;0,H16&lt;&gt;0),ROUND((K16/I16)/(H16/F16)*100-100,2),"")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BNB/USDT</t>
        </is>
      </c>
      <c r="C5" s="176">
        <f>IF(SUMIFS(Торговля!$F$5:$F$200,Торговля!$E$5:$E$200,$B5)=0,"",SUMIFS(Торговля!$F$5:$F$200,Торговля!$E$5:$E$200,$B5))</f>
        <v/>
      </c>
      <c r="D5" s="177">
        <f>IF(C5="","",SUMPRODUCT((Торговля!$E$5:$E$200=$B5)*Торговля!$F$5:$F$200*Торговля!$G$5:$G$200)/C5)</f>
        <v/>
      </c>
      <c r="E5" s="178">
        <f>IF(C5="","",SUMIFS(Торговля!$H$5:$H$200,Торговля!$E$5:$E$200,$B5))</f>
        <v/>
      </c>
      <c r="F5" s="176">
        <f>IF(SUMIFS(Торговля!$I$5:$I$200,Торговля!$E$5:$E$200,$B5)=0,"",SUMIFS(Торговля!$I$5:$I$200,Торговля!$E$5:$E$200,$B5))</f>
        <v/>
      </c>
      <c r="G5" s="177">
        <f>IF(F5="","",SUMPRODUCT((Торговля!$E$5:$E$200=$B5)*Торговля!$I$5:$I$200*Торговля!$J$5:$J$200)/F5)</f>
        <v/>
      </c>
      <c r="H5" s="178">
        <f>IF(F5="","",SUMIFS(Торговля!$K$5:$K$200,Торговля!$E$5:$E$200,$B5))</f>
        <v/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/>
      <c r="L5" s="177" t="n"/>
      <c r="M5" s="177" t="n"/>
    </row>
    <row r="6" ht="22" customHeight="1">
      <c r="B6" s="181" t="inlineStr">
        <is>
          <t>BTC/USDT</t>
        </is>
      </c>
      <c r="C6" s="182">
        <f>IF(SUMIFS(Торговля!$F$5:$F$200,Торговля!$E$5:$E$200,$B6)=0,"",SUMIFS(Торговля!$F$5:$F$200,Торговля!$E$5:$E$200,$B6))</f>
        <v/>
      </c>
      <c r="D6" s="183">
        <f>IF(C6="","",SUMPRODUCT((Торговля!$E$5:$E$200=$B6)*Торговля!$F$5:$F$200*Торговля!$G$5:$G$200)/C6)</f>
        <v/>
      </c>
      <c r="E6" s="184">
        <f>IF(C6="","",SUMIFS(Торговля!$H$5:$H$200,Торговля!$E$5:$E$200,$B6))</f>
        <v/>
      </c>
      <c r="F6" s="182">
        <f>IF(SUMIFS(Торговля!$I$5:$I$200,Торговля!$E$5:$E$200,$B6)=0,"",SUMIFS(Торговля!$I$5:$I$200,Торговля!$E$5:$E$200,$B6))</f>
        <v/>
      </c>
      <c r="G6" s="183">
        <f>IF(F6="","",SUMPRODUCT((Торговля!$E$5:$E$200=$B6)*Торговля!$I$5:$I$200*Торговля!$J$5:$J$200)/F6)</f>
        <v/>
      </c>
      <c r="H6" s="184">
        <f>IF(F6="","",SUMIFS(Торговля!$K$5:$K$200,Торговля!$E$5:$E$200,$B6))</f>
        <v/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/>
      <c r="L6" s="183" t="n"/>
      <c r="M6" s="183" t="n"/>
    </row>
    <row r="7" ht="22" customHeight="1">
      <c r="B7" s="175" t="inlineStr">
        <is>
          <t>ETH/BTC</t>
        </is>
      </c>
      <c r="C7" s="176">
        <f>IF(SUMIFS(Торговля!$F$5:$F$200,Торговля!$E$5:$E$200,$B7)=0,"",SUMIFS(Торговля!$F$5:$F$200,Торговля!$E$5:$E$200,$B7))</f>
        <v/>
      </c>
      <c r="D7" s="177">
        <f>IF(C7="","",SUMPRODUCT((Торговля!$E$5:$E$200=$B7)*Торговля!$F$5:$F$200*Торговля!$G$5:$G$200)/C7)</f>
        <v/>
      </c>
      <c r="E7" s="178">
        <f>IF(C7="","",SUMIFS(Торговля!$H$5:$H$200,Торговля!$E$5:$E$200,$B7))</f>
        <v/>
      </c>
      <c r="F7" s="176">
        <f>IF(SUMIFS(Торговля!$I$5:$I$200,Торговля!$E$5:$E$200,$B7)=0,"",SUMIFS(Торговля!$I$5:$I$200,Торговля!$E$5:$E$200,$B7))</f>
        <v/>
      </c>
      <c r="G7" s="177">
        <f>IF(F7="","",SUMPRODUCT((Торговля!$E$5:$E$200=$B7)*Торговля!$I$5:$I$200*Торговля!$J$5:$J$200)/F7)</f>
        <v/>
      </c>
      <c r="H7" s="178">
        <f>IF(F7="","",SUMIFS(Торговля!$K$5:$K$200,Торговля!$E$5:$E$200,$B7))</f>
        <v/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/>
      <c r="L7" s="177" t="n"/>
      <c r="M7" s="177" t="n"/>
    </row>
    <row r="8" ht="22" customHeight="1">
      <c r="B8" s="181" t="inlineStr">
        <is>
          <t>ETH/USDT</t>
        </is>
      </c>
      <c r="C8" s="182">
        <f>IF(SUMIFS(Торговля!$F$5:$F$200,Торговля!$E$5:$E$200,$B8)=0,"",SUMIFS(Торговля!$F$5:$F$200,Торговля!$E$5:$E$200,$B8))</f>
        <v/>
      </c>
      <c r="D8" s="183">
        <f>IF(C8="","",SUMPRODUCT((Торговля!$E$5:$E$200=$B8)*Торговля!$F$5:$F$200*Торговля!$G$5:$G$200)/C8)</f>
        <v/>
      </c>
      <c r="E8" s="184">
        <f>IF(C8="","",SUMIFS(Торговля!$H$5:$H$200,Торговля!$E$5:$E$200,$B8))</f>
        <v/>
      </c>
      <c r="F8" s="182">
        <f>IF(SUMIFS(Торговля!$I$5:$I$200,Торговля!$E$5:$E$200,$B8)=0,"",SUMIFS(Торговля!$I$5:$I$200,Торговля!$E$5:$E$200,$B8))</f>
        <v/>
      </c>
      <c r="G8" s="183">
        <f>IF(F8="","",SUMPRODUCT((Торговля!$E$5:$E$200=$B8)*Торговля!$I$5:$I$200*Торговля!$J$5:$J$200)/F8)</f>
        <v/>
      </c>
      <c r="H8" s="184">
        <f>IF(F8="","",SUMIFS(Торговля!$K$5:$K$200,Торговля!$E$5:$E$200,$B8))</f>
        <v/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/>
      <c r="L8" s="183" t="n"/>
      <c r="M8" s="183" t="n"/>
    </row>
    <row r="9" ht="22" customHeight="1">
      <c r="B9" s="175" t="inlineStr">
        <is>
          <t>SOL/USDT</t>
        </is>
      </c>
      <c r="C9" s="176">
        <f>IF(SUMIFS(Торговля!$F$5:$F$200,Торговля!$E$5:$E$200,$B9)=0,"",SUMIFS(Торговля!$F$5:$F$200,Торговля!$E$5:$E$200,$B9))</f>
        <v/>
      </c>
      <c r="D9" s="177">
        <f>IF(C9="","",SUMPRODUCT((Торговля!$E$5:$E$200=$B9)*Торговля!$F$5:$F$200*Торговля!$G$5:$G$200)/C9)</f>
        <v/>
      </c>
      <c r="E9" s="178">
        <f>IF(C9="","",SUMIFS(Торговля!$H$5:$H$200,Торговля!$E$5:$E$200,$B9))</f>
        <v/>
      </c>
      <c r="F9" s="176">
        <f>IF(SUMIFS(Торговля!$I$5:$I$200,Торговля!$E$5:$E$200,$B9)=0,"",SUMIFS(Торговля!$I$5:$I$200,Торговля!$E$5:$E$200,$B9))</f>
        <v/>
      </c>
      <c r="G9" s="177">
        <f>IF(F9="","",SUMPRODUCT((Торговля!$E$5:$E$200=$B9)*Торговля!$I$5:$I$200*Торговля!$J$5:$J$200)/F9)</f>
        <v/>
      </c>
      <c r="H9" s="178">
        <f>IF(F9="","",SUMIFS(Торговля!$K$5:$K$200,Торговля!$E$5:$E$200,$B9))</f>
        <v/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/>
      <c r="L9" s="177" t="n"/>
      <c r="M9" s="177" t="n"/>
    </row>
    <row r="10" ht="22" customHeight="1">
      <c r="B10" s="181" t="n"/>
      <c r="C10" s="182" t="n"/>
      <c r="D10" s="183" t="n"/>
      <c r="E10" s="184" t="n"/>
      <c r="F10" s="182" t="n"/>
      <c r="G10" s="183" t="n"/>
      <c r="H10" s="184" t="n"/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/>
      <c r="L10" s="183" t="n"/>
      <c r="M10" s="183" t="n"/>
    </row>
    <row r="11" ht="22" customHeight="1">
      <c r="B11" s="175" t="n"/>
      <c r="C11" s="176" t="n"/>
      <c r="D11" s="177" t="n"/>
      <c r="E11" s="178" t="n"/>
      <c r="F11" s="176" t="n"/>
      <c r="G11" s="177" t="n"/>
      <c r="H11" s="178" t="n"/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/>
      <c r="L11" s="177" t="n"/>
      <c r="M11" s="177" t="n"/>
    </row>
    <row r="12" ht="22" customHeight="1">
      <c r="B12" s="181" t="n"/>
      <c r="C12" s="182" t="n"/>
      <c r="D12" s="183" t="n"/>
      <c r="E12" s="184" t="n"/>
      <c r="F12" s="182" t="n"/>
      <c r="G12" s="183" t="n"/>
      <c r="H12" s="184" t="n"/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/>
      <c r="L12" s="183" t="n"/>
      <c r="M12" s="183" t="n"/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L-0005</t>
        </is>
      </c>
      <c r="C5" s="209" t="n">
        <v>46298</v>
      </c>
      <c r="D5" s="186" t="inlineStr">
        <is>
          <t>Bybit</t>
        </is>
      </c>
      <c r="E5" s="175" t="inlineStr">
        <is>
          <t>BNB/USDT</t>
        </is>
      </c>
      <c r="F5" s="176" t="n">
        <v>5</v>
      </c>
      <c r="G5" s="177" t="n">
        <v>590</v>
      </c>
      <c r="H5" s="178" t="n">
        <v>2950</v>
      </c>
      <c r="I5" s="176" t="n">
        <v>5</v>
      </c>
      <c r="J5" s="177" t="n">
        <v>575</v>
      </c>
      <c r="K5" s="178" t="n">
        <v>2875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L-0002</t>
        </is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L-0006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0.1</v>
      </c>
      <c r="G7" s="177" t="n">
        <v>62500</v>
      </c>
      <c r="H7" s="178" t="n">
        <v>6250</v>
      </c>
      <c r="I7" s="176" t="n">
        <v>0.1</v>
      </c>
      <c r="J7" s="177" t="n">
        <v>63100</v>
      </c>
      <c r="K7" s="178" t="n">
        <v>6310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L-0001</t>
        </is>
      </c>
      <c r="C8" s="210" t="n">
        <v>46296</v>
      </c>
      <c r="D8" s="187" t="inlineStr">
        <is>
          <t>Binance</t>
        </is>
      </c>
      <c r="E8" s="181" t="inlineStr">
        <is>
          <t>ETH/BTC</t>
        </is>
      </c>
      <c r="F8" s="182" t="n">
        <v>0.5</v>
      </c>
      <c r="G8" s="183" t="n">
        <v>0.0521</v>
      </c>
      <c r="H8" s="184" t="n">
        <v>0.02605</v>
      </c>
      <c r="I8" s="182" t="n">
        <v>0.5</v>
      </c>
      <c r="J8" s="183" t="n">
        <v>0.0534</v>
      </c>
      <c r="K8" s="184" t="n">
        <v>0.0267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L-0007</t>
        </is>
      </c>
      <c r="C9" s="209" t="n">
        <v>46299</v>
      </c>
      <c r="D9" s="186" t="inlineStr">
        <is>
          <t>Binance</t>
        </is>
      </c>
      <c r="E9" s="175" t="inlineStr">
        <is>
          <t>ETH/BTC</t>
        </is>
      </c>
      <c r="F9" s="176" t="n">
        <v>0.8</v>
      </c>
      <c r="G9" s="177" t="n">
        <v>0.0518</v>
      </c>
      <c r="H9" s="178" t="n">
        <v>0.04144</v>
      </c>
      <c r="I9" s="176" t="n">
        <v>0.8</v>
      </c>
      <c r="J9" s="177" t="n">
        <v>0.053</v>
      </c>
      <c r="K9" s="178" t="n">
        <v>0.0424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L-0004</t>
        </is>
      </c>
      <c r="C10" s="210" t="n">
        <v>46298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3200</v>
      </c>
      <c r="H10" s="184" t="n">
        <v>3840</v>
      </c>
      <c r="I10" s="182" t="n">
        <v>1.2</v>
      </c>
      <c r="J10" s="183" t="n">
        <v>3350</v>
      </c>
      <c r="K10" s="184" t="n">
        <v>4020</v>
      </c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L-0003</t>
        </is>
      </c>
      <c r="C11" s="209" t="n">
        <v>46297</v>
      </c>
      <c r="D11" s="186" t="inlineStr">
        <is>
          <t>OKX</t>
        </is>
      </c>
      <c r="E11" s="175" t="inlineStr">
        <is>
          <t>SOL/USDT</t>
        </is>
      </c>
      <c r="F11" s="176" t="n">
        <v>20</v>
      </c>
      <c r="G11" s="177" t="n">
        <v>145</v>
      </c>
      <c r="H11" s="178" t="n">
        <v>2900</v>
      </c>
      <c r="I11" s="176" t="n">
        <v>20</v>
      </c>
      <c r="J11" s="177" t="n">
        <v>139</v>
      </c>
      <c r="K11" s="178" t="n">
        <v>2780</v>
      </c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L-0008</t>
        </is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I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70" t="inlineStr">
        <is>
          <t>Актив 2</t>
        </is>
      </c>
      <c r="H4" s="226" t="inlineStr">
        <is>
          <t>Актив 1</t>
        </is>
      </c>
      <c r="I4" s="227" t="inlineStr">
        <is>
          <t>Актив 2</t>
        </is>
      </c>
    </row>
    <row r="5" ht="22" customHeight="1">
      <c r="B5" s="186" t="inlineStr">
        <is>
          <t>P-0003</t>
        </is>
      </c>
      <c r="C5" s="209" t="n">
        <v>46297</v>
      </c>
      <c r="D5" s="186" t="inlineStr">
        <is>
          <t>PancakeSwap</t>
        </is>
      </c>
      <c r="E5" s="175" t="inlineStr">
        <is>
          <t>BNB/USDT</t>
        </is>
      </c>
      <c r="F5" s="176" t="n">
        <v>4</v>
      </c>
      <c r="G5" s="178" t="n">
        <v>2360</v>
      </c>
      <c r="H5" s="228" t="n"/>
      <c r="I5" s="229" t="n"/>
    </row>
    <row r="6" ht="22" customHeight="1">
      <c r="B6" s="187" t="inlineStr">
        <is>
          <t>P-0006</t>
        </is>
      </c>
      <c r="C6" s="210" t="n">
        <v>46299</v>
      </c>
      <c r="D6" s="187" t="inlineStr">
        <is>
          <t>Uniswap</t>
        </is>
      </c>
      <c r="E6" s="181" t="inlineStr">
        <is>
          <t>BTC/USDT</t>
        </is>
      </c>
      <c r="F6" s="182" t="n">
        <v>0.05</v>
      </c>
      <c r="G6" s="184" t="n">
        <v>3125</v>
      </c>
      <c r="H6" s="230" t="n"/>
      <c r="I6" s="231" t="n"/>
    </row>
    <row r="7" ht="22" customHeight="1">
      <c r="B7" s="186" t="inlineStr">
        <is>
          <t>P-0001</t>
        </is>
      </c>
      <c r="C7" s="209" t="n">
        <v>46296</v>
      </c>
      <c r="D7" s="186" t="inlineStr">
        <is>
          <t>Uniswap</t>
        </is>
      </c>
      <c r="E7" s="175" t="inlineStr">
        <is>
          <t>ETH/BTC</t>
        </is>
      </c>
      <c r="F7" s="176" t="n">
        <v>2</v>
      </c>
      <c r="G7" s="178" t="n">
        <v>0.104</v>
      </c>
      <c r="H7" s="228" t="n"/>
      <c r="I7" s="229" t="n"/>
    </row>
    <row r="8" ht="22" customHeight="1">
      <c r="B8" s="187" t="inlineStr">
        <is>
          <t>P-0007</t>
        </is>
      </c>
      <c r="C8" s="210" t="n">
        <v>46299</v>
      </c>
      <c r="D8" s="187" t="inlineStr">
        <is>
          <t>PancakeSwap</t>
        </is>
      </c>
      <c r="E8" s="181" t="inlineStr">
        <is>
          <t>ETH/BTC</t>
        </is>
      </c>
      <c r="F8" s="182" t="n">
        <v>1.2</v>
      </c>
      <c r="G8" s="184" t="n">
        <v>0.0624</v>
      </c>
      <c r="H8" s="230" t="n"/>
      <c r="I8" s="231" t="n"/>
    </row>
    <row r="9" ht="22" customHeight="1">
      <c r="B9" s="186" t="inlineStr">
        <is>
          <t>P-0004</t>
        </is>
      </c>
      <c r="C9" s="209" t="n">
        <v>46298</v>
      </c>
      <c r="D9" s="186" t="inlineStr">
        <is>
          <t>Uniswap</t>
        </is>
      </c>
      <c r="E9" s="175" t="inlineStr">
        <is>
          <t>ETH/USDT</t>
        </is>
      </c>
      <c r="F9" s="176" t="n">
        <v>1.5</v>
      </c>
      <c r="G9" s="178" t="n">
        <v>4800</v>
      </c>
      <c r="H9" s="228" t="n">
        <v>0.5</v>
      </c>
      <c r="I9" s="229" t="n">
        <v>1600</v>
      </c>
    </row>
    <row r="10" ht="22" customHeight="1">
      <c r="B10" s="187" t="inlineStr">
        <is>
          <t>P-0002</t>
        </is>
      </c>
      <c r="C10" s="210" t="n">
        <v>46296</v>
      </c>
      <c r="D10" s="187" t="inlineStr">
        <is>
          <t>Raydium</t>
        </is>
      </c>
      <c r="E10" s="181" t="inlineStr">
        <is>
          <t>SOL/USDT</t>
        </is>
      </c>
      <c r="F10" s="182" t="n">
        <v>30</v>
      </c>
      <c r="G10" s="184" t="n">
        <v>4350</v>
      </c>
      <c r="H10" s="230" t="n"/>
      <c r="I10" s="231" t="n"/>
    </row>
    <row r="11" ht="22" customHeight="1">
      <c r="B11" s="186" t="inlineStr">
        <is>
          <t>P-0005</t>
        </is>
      </c>
      <c r="C11" s="209" t="n">
        <v>46298</v>
      </c>
      <c r="D11" s="186" t="inlineStr">
        <is>
          <t>Orca</t>
        </is>
      </c>
      <c r="E11" s="175" t="inlineStr">
        <is>
          <t>SOL/USDT</t>
        </is>
      </c>
      <c r="F11" s="176" t="n">
        <v>12</v>
      </c>
      <c r="G11" s="178" t="n">
        <v>1740</v>
      </c>
      <c r="H11" s="228" t="n"/>
      <c r="I11" s="229" t="n"/>
    </row>
    <row r="12" ht="22" customHeight="1">
      <c r="B12" s="187" t="inlineStr">
        <is>
          <t>P-0008</t>
        </is>
      </c>
      <c r="C12" s="210" t="n">
        <v>46299</v>
      </c>
      <c r="D12" s="187" t="inlineStr">
        <is>
          <t>Raydium</t>
        </is>
      </c>
      <c r="E12" s="181" t="inlineStr">
        <is>
          <t>SOL/USDT</t>
        </is>
      </c>
      <c r="F12" s="182" t="n">
        <v>25</v>
      </c>
      <c r="G12" s="184" t="n">
        <v>3625</v>
      </c>
      <c r="H12" s="230" t="n">
        <v>5</v>
      </c>
      <c r="I12" s="231" t="n">
        <v>725</v>
      </c>
    </row>
  </sheetData>
  <mergeCells count="1">
    <mergeCell ref="B1:I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6D568F"/>
    <outlinePr summaryBelow="1" summaryRight="1"/>
    <pageSetUpPr fitToPage="1"/>
  </sheetPr>
  <dimension ref="B1:N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2" customWidth="1" min="13" max="13"/>
    <col width="13" customWidth="1" min="14" max="14"/>
  </cols>
  <sheetData>
    <row r="1" ht="21" customHeight="1">
      <c r="B1" s="232" t="inlineStr">
        <is>
          <t>CRYPTO JOURNAL • ПУЛ ЗАКРЫТЫЕ</t>
        </is>
      </c>
    </row>
    <row r="2" ht="21" customHeight="1"/>
    <row r="3" ht="10" customHeight="1"/>
    <row r="4" ht="28" customHeight="1">
      <c r="B4" s="233" t="inlineStr">
        <is>
          <t>ID</t>
        </is>
      </c>
      <c r="C4" s="233" t="inlineStr">
        <is>
          <t>Дата открытия</t>
        </is>
      </c>
      <c r="D4" s="233" t="inlineStr">
        <is>
          <t>Дата закрытия</t>
        </is>
      </c>
      <c r="E4" s="233" t="inlineStr">
        <is>
          <t>Протокол</t>
        </is>
      </c>
      <c r="F4" s="234" t="inlineStr">
        <is>
          <t>Пара</t>
        </is>
      </c>
      <c r="G4" s="235" t="inlineStr">
        <is>
          <t>Актив 1</t>
        </is>
      </c>
      <c r="H4" s="236" t="inlineStr">
        <is>
          <t>Актив 2</t>
        </is>
      </c>
      <c r="I4" s="226" t="inlineStr">
        <is>
          <t>Актив 1</t>
        </is>
      </c>
      <c r="J4" s="237" t="inlineStr">
        <is>
          <t>Актив 2</t>
        </is>
      </c>
      <c r="K4" s="238" t="inlineStr">
        <is>
          <t>Дельта 1</t>
        </is>
      </c>
      <c r="L4" s="239" t="inlineStr">
        <is>
          <t>Дельта 2</t>
        </is>
      </c>
      <c r="M4" s="239" t="inlineStr">
        <is>
          <t>Действие</t>
        </is>
      </c>
      <c r="N4" s="239" t="inlineStr">
        <is>
          <t>Курс</t>
        </is>
      </c>
    </row>
    <row r="5" ht="22" customHeight="1">
      <c r="B5" s="206" t="inlineStr">
        <is>
          <t>P-0003</t>
        </is>
      </c>
      <c r="C5" s="240" t="n">
        <v>46297</v>
      </c>
      <c r="D5" s="240" t="n">
        <v>46300</v>
      </c>
      <c r="E5" s="206" t="inlineStr">
        <is>
          <t>PancakeSwap</t>
        </is>
      </c>
      <c r="F5" s="241" t="inlineStr">
        <is>
          <t>BNB/USDT</t>
        </is>
      </c>
      <c r="G5" s="228" t="n">
        <v>4</v>
      </c>
      <c r="H5" s="242" t="n">
        <v>2360</v>
      </c>
      <c r="I5" s="228" t="n">
        <v>4.2</v>
      </c>
      <c r="J5" s="229" t="n">
        <v>2236</v>
      </c>
      <c r="K5" s="228">
        <f>IF(AND(ISNUMBER(G5),ISNUMBER(I5)),ROUND(I5-G5,8),"")</f>
        <v/>
      </c>
      <c r="L5" s="229">
        <f>IF(AND(ISNUMBER(H5),ISNUMBER(J5)),ROUND(J5-H5,8),"")</f>
        <v/>
      </c>
      <c r="M5" s="206">
        <f>IF(AND(ISNUMBER(K5),ISNUMBER(L5)),IF(AND(K5&gt;0,L5&lt;0),"Buy",IF(AND(K5&lt;0,L5&gt;0),"Sell","")),"")</f>
        <v/>
      </c>
      <c r="N5" s="229">
        <f>IF(M5="","",ROUND(ABS(L5/K5),8))</f>
        <v/>
      </c>
    </row>
    <row r="6" ht="22" customHeight="1">
      <c r="B6" s="243" t="inlineStr">
        <is>
          <t>P-0006</t>
        </is>
      </c>
      <c r="C6" s="244" t="n">
        <v>46299</v>
      </c>
      <c r="D6" s="244" t="n">
        <v>46300</v>
      </c>
      <c r="E6" s="243" t="inlineStr">
        <is>
          <t>Uniswap</t>
        </is>
      </c>
      <c r="F6" s="245" t="inlineStr">
        <is>
          <t>BTC/USDT</t>
        </is>
      </c>
      <c r="G6" s="230" t="n">
        <v>0.05</v>
      </c>
      <c r="H6" s="246" t="n">
        <v>3125</v>
      </c>
      <c r="I6" s="230" t="n">
        <v>0.048</v>
      </c>
      <c r="J6" s="231" t="n">
        <v>3250</v>
      </c>
      <c r="K6" s="230">
        <f>IF(AND(ISNUMBER(G6),ISNUMBER(I6)),ROUND(I6-G6,8),"")</f>
        <v/>
      </c>
      <c r="L6" s="231">
        <f>IF(AND(ISNUMBER(H6),ISNUMBER(J6)),ROUND(J6-H6,8),"")</f>
        <v/>
      </c>
      <c r="M6" s="243">
        <f>IF(AND(ISNUMBER(K6),ISNUMBER(L6)),IF(AND(K6&gt;0,L6&lt;0),"Buy",IF(AND(K6&lt;0,L6&gt;0),"Sell","")),"")</f>
        <v/>
      </c>
      <c r="N6" s="231">
        <f>IF(M6="","",ROUND(ABS(L6/K6),8))</f>
        <v/>
      </c>
    </row>
    <row r="7" ht="22" customHeight="1">
      <c r="B7" s="206" t="inlineStr">
        <is>
          <t>P-0001</t>
        </is>
      </c>
      <c r="C7" s="240" t="n">
        <v>46296</v>
      </c>
      <c r="D7" s="240" t="n">
        <v>46300</v>
      </c>
      <c r="E7" s="206" t="inlineStr">
        <is>
          <t>Uniswap</t>
        </is>
      </c>
      <c r="F7" s="241" t="inlineStr">
        <is>
          <t>ETH/BTC</t>
        </is>
      </c>
      <c r="G7" s="228" t="n">
        <v>2</v>
      </c>
      <c r="H7" s="242" t="n">
        <v>0.104</v>
      </c>
      <c r="I7" s="228" t="n">
        <v>1.96</v>
      </c>
      <c r="J7" s="229" t="n">
        <v>0.10608</v>
      </c>
      <c r="K7" s="228">
        <f>IF(AND(ISNUMBER(G7),ISNUMBER(I7)),ROUND(I7-G7,8),"")</f>
        <v/>
      </c>
      <c r="L7" s="229">
        <f>IF(AND(ISNUMBER(H7),ISNUMBER(J7)),ROUND(J7-H7,8),"")</f>
        <v/>
      </c>
      <c r="M7" s="206">
        <f>IF(AND(ISNUMBER(K7),ISNUMBER(L7)),IF(AND(K7&gt;0,L7&lt;0),"Buy",IF(AND(K7&lt;0,L7&gt;0),"Sell","")),"")</f>
        <v/>
      </c>
      <c r="N7" s="229">
        <f>IF(M7="","",ROUND(ABS(L7/K7),8))</f>
        <v/>
      </c>
    </row>
    <row r="8" ht="22" customHeight="1">
      <c r="B8" s="243" t="inlineStr">
        <is>
          <t>P-0007</t>
        </is>
      </c>
      <c r="C8" s="244" t="n">
        <v>46299</v>
      </c>
      <c r="D8" s="244" t="n">
        <v>46301</v>
      </c>
      <c r="E8" s="243" t="inlineStr">
        <is>
          <t>PancakeSwap</t>
        </is>
      </c>
      <c r="F8" s="245" t="inlineStr">
        <is>
          <t>ETH/BTC</t>
        </is>
      </c>
      <c r="G8" s="230" t="n">
        <v>1.2</v>
      </c>
      <c r="H8" s="246" t="n">
        <v>0.0624</v>
      </c>
      <c r="I8" s="230" t="n">
        <v>1.25</v>
      </c>
      <c r="J8" s="231" t="n">
        <v>0.0598</v>
      </c>
      <c r="K8" s="230">
        <f>IF(AND(ISNUMBER(G8),ISNUMBER(I8)),ROUND(I8-G8,8),"")</f>
        <v/>
      </c>
      <c r="L8" s="231">
        <f>IF(AND(ISNUMBER(H8),ISNUMBER(J8)),ROUND(J8-H8,8),"")</f>
        <v/>
      </c>
      <c r="M8" s="243">
        <f>IF(AND(ISNUMBER(K8),ISNUMBER(L8)),IF(AND(K8&gt;0,L8&lt;0),"Buy",IF(AND(K8&lt;0,L8&gt;0),"Sell","")),"")</f>
        <v/>
      </c>
      <c r="N8" s="231">
        <f>IF(M8="","",ROUND(ABS(L8/K8),8))</f>
        <v/>
      </c>
    </row>
    <row r="9" ht="22" customHeight="1">
      <c r="B9" s="206" t="inlineStr">
        <is>
          <t>P-0002</t>
        </is>
      </c>
      <c r="C9" s="240" t="n">
        <v>46296</v>
      </c>
      <c r="D9" s="240" t="n">
        <v>46300</v>
      </c>
      <c r="E9" s="206" t="inlineStr">
        <is>
          <t>Raydium</t>
        </is>
      </c>
      <c r="F9" s="241" t="inlineStr">
        <is>
          <t>SOL/USDT</t>
        </is>
      </c>
      <c r="G9" s="228" t="n">
        <v>30</v>
      </c>
      <c r="H9" s="242" t="n">
        <v>4350</v>
      </c>
      <c r="I9" s="228" t="n">
        <v>28.5</v>
      </c>
      <c r="J9" s="229" t="n">
        <v>4567.5</v>
      </c>
      <c r="K9" s="228">
        <f>IF(AND(ISNUMBER(G9),ISNUMBER(I9)),ROUND(I9-G9,8),"")</f>
        <v/>
      </c>
      <c r="L9" s="229">
        <f>IF(AND(ISNUMBER(H9),ISNUMBER(J9)),ROUND(J9-H9,8),"")</f>
        <v/>
      </c>
      <c r="M9" s="206">
        <f>IF(AND(ISNUMBER(K9),ISNUMBER(L9)),IF(AND(K9&gt;0,L9&lt;0),"Buy",IF(AND(K9&lt;0,L9&gt;0),"Sell","")),"")</f>
        <v/>
      </c>
      <c r="N9" s="229">
        <f>IF(M9="","",ROUND(ABS(L9/K9),8))</f>
        <v/>
      </c>
    </row>
    <row r="10" ht="22" customHeight="1">
      <c r="B10" s="243" t="inlineStr">
        <is>
          <t>P-0005</t>
        </is>
      </c>
      <c r="C10" s="244" t="n">
        <v>46298</v>
      </c>
      <c r="D10" s="244" t="n">
        <v>46301</v>
      </c>
      <c r="E10" s="243" t="inlineStr">
        <is>
          <t>Orca</t>
        </is>
      </c>
      <c r="F10" s="245" t="inlineStr">
        <is>
          <t>SOL/USDT</t>
        </is>
      </c>
      <c r="G10" s="230" t="n">
        <v>12</v>
      </c>
      <c r="H10" s="246" t="n">
        <v>1740</v>
      </c>
      <c r="I10" s="230" t="n">
        <v>12.6</v>
      </c>
      <c r="J10" s="231" t="n">
        <v>1653</v>
      </c>
      <c r="K10" s="230">
        <f>IF(AND(ISNUMBER(G10),ISNUMBER(I10)),ROUND(I10-G10,8),"")</f>
        <v/>
      </c>
      <c r="L10" s="231">
        <f>IF(AND(ISNUMBER(H10),ISNUMBER(J10)),ROUND(J10-H10,8),"")</f>
        <v/>
      </c>
      <c r="M10" s="243">
        <f>IF(AND(ISNUMBER(K10),ISNUMBER(L10)),IF(AND(K10&gt;0,L10&lt;0),"Buy",IF(AND(K10&lt;0,L10&gt;0),"Sell","")),"")</f>
        <v/>
      </c>
      <c r="N10" s="231">
        <f>IF(M10="","",ROUND(ABS(L10/K10),8))</f>
        <v/>
      </c>
    </row>
    <row r="11" ht="22" customHeight="1">
      <c r="B11" s="206" t="n"/>
      <c r="C11" s="240" t="n"/>
      <c r="D11" s="240" t="n"/>
      <c r="E11" s="206" t="n"/>
      <c r="F11" s="241" t="n"/>
      <c r="G11" s="228" t="n"/>
      <c r="H11" s="242" t="n"/>
      <c r="I11" s="228" t="n"/>
      <c r="J11" s="229" t="n"/>
      <c r="K11" s="228">
        <f>IF(AND(ISNUMBER(G11),ISNUMBER(I11)),ROUND(I11-G11,8),"")</f>
        <v/>
      </c>
      <c r="L11" s="229">
        <f>IF(AND(ISNUMBER(H11),ISNUMBER(J11)),ROUND(J11-H11,8),"")</f>
        <v/>
      </c>
      <c r="M11" s="206">
        <f>IF(AND(ISNUMBER(K11),ISNUMBER(L11)),IF(AND(K11&gt;0,L11&lt;0),"Buy",IF(AND(K11&lt;0,L11&gt;0),"Sell","")),"")</f>
        <v/>
      </c>
      <c r="N11" s="229">
        <f>IF(M11="","",ROUND(ABS(L11/K11),8))</f>
        <v/>
      </c>
    </row>
    <row r="12" ht="22" customHeight="1">
      <c r="B12" s="243" t="n"/>
      <c r="C12" s="244" t="n"/>
      <c r="D12" s="244" t="n"/>
      <c r="E12" s="243" t="n"/>
      <c r="F12" s="245" t="n"/>
      <c r="G12" s="230" t="n"/>
      <c r="H12" s="246" t="n"/>
      <c r="I12" s="230" t="n"/>
      <c r="J12" s="231" t="n"/>
      <c r="K12" s="230">
        <f>IF(AND(ISNUMBER(G12),ISNUMBER(I12)),ROUND(I12-G12,8),"")</f>
        <v/>
      </c>
      <c r="L12" s="231">
        <f>IF(AND(ISNUMBER(H12),ISNUMBER(J12)),ROUND(J12-H12,8),"")</f>
        <v/>
      </c>
      <c r="M12" s="243">
        <f>IF(AND(ISNUMBER(K12),ISNUMBER(L12)),IF(AND(K12&gt;0,L12&lt;0),"Buy",IF(AND(K12&lt;0,L12&gt;0),"Sell","")),"")</f>
        <v/>
      </c>
      <c r="N12" s="231">
        <f>IF(M12="","",ROUND(ABS(L12/K12),8))</f>
        <v/>
      </c>
    </row>
  </sheetData>
  <mergeCells count="1">
    <mergeCell ref="B1:N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Действие</t>
        </is>
      </c>
      <c r="J4" s="167" t="inlineStr">
        <is>
          <t>Кол-во</t>
        </is>
      </c>
      <c r="K4" s="167" t="inlineStr">
        <is>
          <t>Курс</t>
        </is>
      </c>
      <c r="L4" s="167" t="inlineStr">
        <is>
          <t>Сумма</t>
        </is>
      </c>
    </row>
    <row r="5" ht="22" customHeight="1">
      <c r="B5" s="175" t="inlineStr">
        <is>
          <t>ETH/BTC</t>
        </is>
      </c>
      <c r="C5" s="176" t="n">
        <v>2</v>
      </c>
      <c r="D5" s="178" t="n">
        <v>0.104</v>
      </c>
      <c r="E5" s="176" t="n">
        <v>1.96</v>
      </c>
      <c r="F5" s="178" t="n">
        <v>0.1092</v>
      </c>
      <c r="G5" s="176" t="n">
        <v>-0.04</v>
      </c>
      <c r="H5" s="178" t="n">
        <v>0.0052</v>
      </c>
      <c r="I5" s="130" t="inlineStr">
        <is>
          <t>Удалить</t>
        </is>
      </c>
      <c r="J5" s="177" t="n">
        <v>0.5</v>
      </c>
      <c r="K5" s="177" t="n">
        <v>0.052</v>
      </c>
      <c r="L5" s="177" t="n">
        <v>0.026</v>
      </c>
    </row>
    <row r="6" ht="22" customHeight="1">
      <c r="B6" s="181" t="inlineStr">
        <is>
          <t>SOL/USDT</t>
        </is>
      </c>
      <c r="C6" s="182" t="n">
        <v>30</v>
      </c>
      <c r="D6" s="184" t="n">
        <v>4350</v>
      </c>
      <c r="E6" s="182" t="n">
        <v>28.5</v>
      </c>
      <c r="F6" s="184" t="n">
        <v>4560</v>
      </c>
      <c r="G6" s="182" t="n">
        <v>-1.5</v>
      </c>
      <c r="H6" s="184" t="n">
        <v>210</v>
      </c>
      <c r="I6" s="135" t="inlineStr">
        <is>
          <t>Удалить</t>
        </is>
      </c>
      <c r="J6" s="183" t="n">
        <v>10</v>
      </c>
      <c r="K6" s="183" t="n">
        <v>145</v>
      </c>
      <c r="L6" s="183" t="n">
        <v>1450</v>
      </c>
    </row>
    <row r="7" ht="22" customHeight="1">
      <c r="B7" s="175" t="inlineStr">
        <is>
          <t>BNB/USDT</t>
        </is>
      </c>
      <c r="C7" s="176" t="n">
        <v>4</v>
      </c>
      <c r="D7" s="178" t="n">
        <v>2360</v>
      </c>
      <c r="E7" s="176" t="n">
        <v>4.2</v>
      </c>
      <c r="F7" s="178" t="n">
        <v>2300</v>
      </c>
      <c r="G7" s="176" t="n">
        <v>0.2</v>
      </c>
      <c r="H7" s="178" t="n">
        <v>-60</v>
      </c>
      <c r="I7" s="130" t="inlineStr">
        <is>
          <t>Добавить</t>
        </is>
      </c>
      <c r="J7" s="177" t="n">
        <v>1</v>
      </c>
      <c r="K7" s="177" t="n">
        <v>590</v>
      </c>
      <c r="L7" s="177" t="n">
        <v>590</v>
      </c>
    </row>
    <row r="8" ht="22" customHeight="1">
      <c r="B8" s="181" t="inlineStr">
        <is>
          <t>ETH/USDT</t>
        </is>
      </c>
      <c r="C8" s="182" t="n">
        <v>1.5</v>
      </c>
      <c r="D8" s="184" t="n">
        <v>4800</v>
      </c>
      <c r="E8" s="182" t="n">
        <v>1.45</v>
      </c>
      <c r="F8" s="184" t="n">
        <v>4960</v>
      </c>
      <c r="G8" s="182" t="n">
        <v>-0.05</v>
      </c>
      <c r="H8" s="184" t="n">
        <v>160</v>
      </c>
      <c r="I8" s="135" t="inlineStr">
        <is>
          <t>Удалить</t>
        </is>
      </c>
      <c r="J8" s="183" t="n">
        <v>0.5</v>
      </c>
      <c r="K8" s="183" t="n">
        <v>3200</v>
      </c>
      <c r="L8" s="183" t="n">
        <v>1600</v>
      </c>
    </row>
    <row r="9" ht="22" customHeight="1">
      <c r="B9" s="175" t="inlineStr">
        <is>
          <t>SOL/USDT</t>
        </is>
      </c>
      <c r="C9" s="176" t="n">
        <v>12</v>
      </c>
      <c r="D9" s="178" t="n">
        <v>1740</v>
      </c>
      <c r="E9" s="176" t="n">
        <v>12.6</v>
      </c>
      <c r="F9" s="178" t="n">
        <v>1692</v>
      </c>
      <c r="G9" s="176" t="n">
        <v>0.6</v>
      </c>
      <c r="H9" s="178" t="n">
        <v>-48</v>
      </c>
      <c r="I9" s="130" t="inlineStr">
        <is>
          <t>Добавить</t>
        </is>
      </c>
      <c r="J9" s="177" t="n">
        <v>3</v>
      </c>
      <c r="K9" s="177" t="n">
        <v>145</v>
      </c>
      <c r="L9" s="177" t="n">
        <v>435</v>
      </c>
    </row>
    <row r="10" ht="22" customHeight="1">
      <c r="B10" s="181" t="inlineStr">
        <is>
          <t>BTC/USDT</t>
        </is>
      </c>
      <c r="C10" s="182" t="n">
        <v>0.05</v>
      </c>
      <c r="D10" s="184" t="n">
        <v>3125</v>
      </c>
      <c r="E10" s="182" t="n">
        <v>0.048</v>
      </c>
      <c r="F10" s="184" t="n">
        <v>3225</v>
      </c>
      <c r="G10" s="182" t="n">
        <v>-0.002</v>
      </c>
      <c r="H10" s="184" t="n">
        <v>100</v>
      </c>
      <c r="I10" s="135" t="inlineStr">
        <is>
          <t>Удалить</t>
        </is>
      </c>
      <c r="J10" s="183" t="n">
        <v>0.01</v>
      </c>
      <c r="K10" s="183" t="n">
        <v>62500</v>
      </c>
      <c r="L10" s="183" t="n">
        <v>625</v>
      </c>
    </row>
    <row r="11" ht="22" customHeight="1">
      <c r="B11" s="175" t="inlineStr">
        <is>
          <t>ETH/BTC</t>
        </is>
      </c>
      <c r="C11" s="176" t="n">
        <v>1.2</v>
      </c>
      <c r="D11" s="178" t="n">
        <v>0.0624</v>
      </c>
      <c r="E11" s="176" t="n">
        <v>1.25</v>
      </c>
      <c r="F11" s="178" t="n">
        <v>0.0598</v>
      </c>
      <c r="G11" s="176" t="n">
        <v>0.05</v>
      </c>
      <c r="H11" s="178" t="n">
        <v>-0.0026</v>
      </c>
      <c r="I11" s="130" t="inlineStr">
        <is>
          <t>Добавить</t>
        </is>
      </c>
      <c r="J11" s="177" t="n">
        <v>0.3</v>
      </c>
      <c r="K11" s="177" t="n">
        <v>0.052</v>
      </c>
      <c r="L11" s="177" t="n">
        <v>0.0156</v>
      </c>
    </row>
    <row r="12" ht="22" customHeight="1">
      <c r="B12" s="181" t="inlineStr">
        <is>
          <t>SOL/USDT</t>
        </is>
      </c>
      <c r="C12" s="182" t="n">
        <v>25</v>
      </c>
      <c r="D12" s="184" t="n">
        <v>3625</v>
      </c>
      <c r="E12" s="182" t="n">
        <v>24</v>
      </c>
      <c r="F12" s="184" t="n">
        <v>3770</v>
      </c>
      <c r="G12" s="182" t="n">
        <v>-1</v>
      </c>
      <c r="H12" s="184" t="n">
        <v>145</v>
      </c>
      <c r="I12" s="135" t="inlineStr">
        <is>
          <t>Удалить</t>
        </is>
      </c>
      <c r="J12" s="183" t="n">
        <v>5</v>
      </c>
      <c r="K12" s="183" t="n">
        <v>145</v>
      </c>
      <c r="L12" s="183" t="n">
        <v>725</v>
      </c>
    </row>
  </sheetData>
  <mergeCells count="1">
    <mergeCell ref="B1:L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inlineStr">
        <is>
          <t>T-0006</t>
        </is>
      </c>
      <c r="C5" s="209" t="n">
        <v>46299</v>
      </c>
      <c r="D5" s="209" t="n">
        <v>46300</v>
      </c>
      <c r="E5" s="186" t="inlineStr">
        <is>
          <t>OKX</t>
        </is>
      </c>
      <c r="F5" s="175" t="inlineStr">
        <is>
          <t>BTC/USDT</t>
        </is>
      </c>
      <c r="G5" s="176" t="n">
        <v>0.05</v>
      </c>
      <c r="H5" s="177" t="n">
        <v>62200</v>
      </c>
      <c r="I5" s="178" t="n">
        <v>3103.78</v>
      </c>
      <c r="J5" s="176" t="n">
        <v>0.05</v>
      </c>
      <c r="K5" s="177" t="n">
        <v>63000</v>
      </c>
      <c r="L5" s="178" t="n">
        <v>3143.7</v>
      </c>
      <c r="M5" s="176">
        <f>IF(AND(AND(ISNUMBER(G5),ISNUMBER(J5),ISNUMBER(I5),ISNUMBER(L5)),G5&gt;0,J5&gt;0,I5&lt;&gt;0),ROUND(MIN(G5,J5)*(L5/J5-I5/G5),8),"")</f>
        <v/>
      </c>
      <c r="N5" s="178">
        <f>IF(AND(AND(ISNUMBER(G5),ISNUMBER(J5),ISNUMBER(I5),ISNUMBER(L5)),G5&gt;0,J5&gt;0,I5&lt;&gt;0),ROUND((L5/J5)/(I5/G5)*100-100,2),"")</f>
        <v/>
      </c>
      <c r="O5" s="176" t="n"/>
      <c r="P5" s="177" t="n"/>
      <c r="Q5" s="177" t="n"/>
    </row>
    <row r="6" ht="22" customHeight="1">
      <c r="B6" s="187" t="inlineStr">
        <is>
          <t>T-0003</t>
        </is>
      </c>
      <c r="C6" s="210" t="n">
        <v>46298</v>
      </c>
      <c r="D6" s="210" t="n">
        <v>46300</v>
      </c>
      <c r="E6" s="187" t="inlineStr">
        <is>
          <t>OKX</t>
        </is>
      </c>
      <c r="F6" s="181" t="inlineStr">
        <is>
          <t>SOL/USDT</t>
        </is>
      </c>
      <c r="G6" s="182" t="n">
        <v>20</v>
      </c>
      <c r="H6" s="183" t="n">
        <v>145</v>
      </c>
      <c r="I6" s="184" t="n">
        <v>2894.2</v>
      </c>
      <c r="J6" s="182" t="n">
        <v>20</v>
      </c>
      <c r="K6" s="183" t="n">
        <v>152</v>
      </c>
      <c r="L6" s="184" t="n">
        <v>3033.92</v>
      </c>
      <c r="M6" s="182">
        <f>IF(AND(AND(ISNUMBER(G6),ISNUMBER(J6),ISNUMBER(I6),ISNUMBER(L6)),G6&gt;0,J6&gt;0,I6&lt;&gt;0),ROUND(MIN(G6,J6)*(L6/J6-I6/G6),8),"")</f>
        <v/>
      </c>
      <c r="N6" s="184">
        <f>IF(AND(AND(ISNUMBER(G6),ISNUMBER(J6),ISNUMBER(I6),ISNUMBER(L6)),G6&gt;0,J6&gt;0,I6&lt;&gt;0),ROUND((L6/J6)/(I6/G6)*100-100,2),"")</f>
        <v/>
      </c>
      <c r="O6" s="182" t="n"/>
      <c r="P6" s="183" t="n"/>
      <c r="Q6" s="183" t="n"/>
    </row>
    <row r="7" ht="22" customHeight="1">
      <c r="B7" s="186" t="n"/>
      <c r="C7" s="209" t="n"/>
      <c r="D7" s="209" t="n"/>
      <c r="E7" s="186" t="n"/>
      <c r="F7" s="175" t="n"/>
      <c r="G7" s="176" t="n"/>
      <c r="H7" s="177" t="n"/>
      <c r="I7" s="178" t="n"/>
      <c r="J7" s="176" t="n"/>
      <c r="K7" s="177" t="n"/>
      <c r="L7" s="178" t="n"/>
      <c r="M7" s="176">
        <f>IF(AND(AND(ISNUMBER(G7),ISNUMBER(J7),ISNUMBER(I7),ISNUMBER(L7)),G7&gt;0,J7&gt;0,I7&lt;&gt;0),ROUND(MIN(G7,J7)*(L7/J7-I7/G7),8),"")</f>
        <v/>
      </c>
      <c r="N7" s="178">
        <f>IF(AND(AND(ISNUMBER(G7),ISNUMBER(J7),ISNUMBER(I7),ISNUMBER(L7)),G7&gt;0,J7&gt;0,I7&lt;&gt;0),ROUND((L7/J7)/(I7/G7)*100-100,2),"")</f>
        <v/>
      </c>
      <c r="O7" s="176" t="n"/>
      <c r="P7" s="177" t="n"/>
      <c r="Q7" s="177" t="n"/>
    </row>
    <row r="8" ht="22" customHeight="1">
      <c r="B8" s="187" t="n"/>
      <c r="C8" s="210" t="n"/>
      <c r="D8" s="210" t="n"/>
      <c r="E8" s="187" t="n"/>
      <c r="F8" s="181" t="n"/>
      <c r="G8" s="182" t="n"/>
      <c r="H8" s="183" t="n"/>
      <c r="I8" s="184" t="n"/>
      <c r="J8" s="182" t="n"/>
      <c r="K8" s="183" t="n"/>
      <c r="L8" s="184" t="n"/>
      <c r="M8" s="182">
        <f>IF(AND(AND(ISNUMBER(G8),ISNUMBER(J8),ISNUMBER(I8),ISNUMBER(L8)),G8&gt;0,J8&gt;0,I8&lt;&gt;0),ROUND(MIN(G8,J8)*(L8/J8-I8/G8),8),"")</f>
        <v/>
      </c>
      <c r="N8" s="184">
        <f>IF(AND(AND(ISNUMBER(G8),ISNUMBER(J8),ISNUMBER(I8),ISNUMBER(L8)),G8&gt;0,J8&gt;0,I8&lt;&gt;0),ROUND((L8/J8)/(I8/G8)*100-100,2),"")</f>
        <v/>
      </c>
      <c r="O8" s="182" t="n"/>
      <c r="P8" s="183" t="n"/>
      <c r="Q8" s="183" t="n"/>
    </row>
    <row r="9" ht="22" customHeight="1">
      <c r="B9" s="186" t="n"/>
      <c r="C9" s="209" t="n"/>
      <c r="D9" s="209" t="n"/>
      <c r="E9" s="186" t="n"/>
      <c r="F9" s="175" t="n"/>
      <c r="G9" s="176" t="n"/>
      <c r="H9" s="177" t="n"/>
      <c r="I9" s="178" t="n"/>
      <c r="J9" s="176" t="n"/>
      <c r="K9" s="177" t="n"/>
      <c r="L9" s="178" t="n"/>
      <c r="M9" s="176">
        <f>IF(AND(AND(ISNUMBER(G9),ISNUMBER(J9),ISNUMBER(I9),ISNUMBER(L9)),G9&gt;0,J9&gt;0,I9&lt;&gt;0),ROUND(MIN(G9,J9)*(L9/J9-I9/G9),8),"")</f>
        <v/>
      </c>
      <c r="N9" s="178">
        <f>IF(AND(AND(ISNUMBER(G9),ISNUMBER(J9),ISNUMBER(I9),ISNUMBER(L9)),G9&gt;0,J9&gt;0,I9&lt;&gt;0),ROUND((L9/J9)/(I9/G9)*100-100,2),"")</f>
        <v/>
      </c>
      <c r="O9" s="176" t="n"/>
      <c r="P9" s="177" t="n"/>
      <c r="Q9" s="177" t="n"/>
    </row>
    <row r="10" ht="22" customHeight="1">
      <c r="B10" s="187" t="n"/>
      <c r="C10" s="210" t="n"/>
      <c r="D10" s="210" t="n"/>
      <c r="E10" s="187" t="n"/>
      <c r="F10" s="181" t="n"/>
      <c r="G10" s="182" t="n"/>
      <c r="H10" s="183" t="n"/>
      <c r="I10" s="184" t="n"/>
      <c r="J10" s="182" t="n"/>
      <c r="K10" s="183" t="n"/>
      <c r="L10" s="184" t="n"/>
      <c r="M10" s="182">
        <f>IF(AND(AND(ISNUMBER(G10),ISNUMBER(J10),ISNUMBER(I10),ISNUMBER(L10)),G10&gt;0,J10&gt;0,I10&lt;&gt;0),ROUND(MIN(G10,J10)*(L10/J10-I10/G10),8),"")</f>
        <v/>
      </c>
      <c r="N10" s="184">
        <f>IF(AND(AND(ISNUMBER(G10),ISNUMBER(J10),ISNUMBER(I10),ISNUMBER(L10)),G10&gt;0,J10&gt;0,I10&lt;&gt;0),ROUND((L10/J10)/(I10/G10)*100-100,2),"")</f>
        <v/>
      </c>
      <c r="O10" s="182" t="n"/>
      <c r="P10" s="183" t="n"/>
      <c r="Q10" s="183" t="n"/>
    </row>
    <row r="11" ht="22" customHeight="1">
      <c r="B11" s="186" t="n"/>
      <c r="C11" s="209" t="n"/>
      <c r="D11" s="209" t="n"/>
      <c r="E11" s="186" t="n"/>
      <c r="F11" s="175" t="n"/>
      <c r="G11" s="176" t="n"/>
      <c r="H11" s="177" t="n"/>
      <c r="I11" s="178" t="n"/>
      <c r="J11" s="176" t="n"/>
      <c r="K11" s="177" t="n"/>
      <c r="L11" s="178" t="n"/>
      <c r="M11" s="176">
        <f>IF(AND(AND(ISNUMBER(G11),ISNUMBER(J11),ISNUMBER(I11),ISNUMBER(L11)),G11&gt;0,J11&gt;0,I11&lt;&gt;0),ROUND(MIN(G11,J11)*(L11/J11-I11/G11),8),"")</f>
        <v/>
      </c>
      <c r="N11" s="178">
        <f>IF(AND(AND(ISNUMBER(G11),ISNUMBER(J11),ISNUMBER(I11),ISNUMBER(L11)),G11&gt;0,J11&gt;0,I11&lt;&gt;0),ROUND((L11/J11)/(I11/G11)*100-100,2),"")</f>
        <v/>
      </c>
      <c r="O11" s="176" t="n"/>
      <c r="P11" s="177" t="n"/>
      <c r="Q11" s="177" t="n"/>
    </row>
    <row r="12" ht="22" customHeight="1">
      <c r="B12" s="187" t="n"/>
      <c r="C12" s="210" t="n"/>
      <c r="D12" s="210" t="n"/>
      <c r="E12" s="187" t="n"/>
      <c r="F12" s="181" t="n"/>
      <c r="G12" s="182" t="n"/>
      <c r="H12" s="183" t="n"/>
      <c r="I12" s="184" t="n"/>
      <c r="J12" s="182" t="n"/>
      <c r="K12" s="183" t="n"/>
      <c r="L12" s="184" t="n"/>
      <c r="M12" s="182">
        <f>IF(AND(AND(ISNUMBER(G12),ISNUMBER(J12),ISNUMBER(I12),ISNUMBER(L12)),G12&gt;0,J12&gt;0,I12&lt;&gt;0),ROUND(MIN(G12,J12)*(L12/J12-I12/G12),8),"")</f>
        <v/>
      </c>
      <c r="N12" s="184">
        <f>IF(AND(AND(ISNUMBER(G12),ISNUMBER(J12),ISNUMBER(I12),ISNUMBER(L12)),G12&gt;0,J12&gt;0,I12&lt;&gt;0),ROUND((L12/J12)/(I12/G12)*100-100,2),"")</f>
        <v/>
      </c>
      <c r="O12" s="182" t="n"/>
      <c r="P12" s="183" t="n"/>
      <c r="Q12" s="183" t="n"/>
    </row>
  </sheetData>
  <mergeCells count="1">
    <mergeCell ref="B1:Q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2026-10-04T21:01:49Z</dcterms:modified>
</cp:coreProperties>
</file>