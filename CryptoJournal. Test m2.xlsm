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_xlnm.Print_Area" localSheetId="0">'Ввод'!$A$1:$H$24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6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Trade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3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>
        <v>46299</v>
      </c>
      <c r="C5" s="279" t="inlineStr">
        <is>
          <t>ETH</t>
        </is>
      </c>
      <c r="D5" s="279" t="inlineStr">
        <is>
          <t>BTC</t>
        </is>
      </c>
      <c r="E5" s="280">
        <f>IF(AND(TRIM(C5)&lt;&gt;"",TRIM(D5)&lt;&gt;""),UPPER(TRIM(C5))&amp;"/"&amp;UPPER(TRIM(D5)),"")</f>
        <v/>
      </c>
      <c r="F5" s="279" t="inlineStr">
        <is>
          <t>Binance</t>
        </is>
      </c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ПУЛЫ</t>
        </is>
      </c>
      <c r="G7" s="298" t="n"/>
    </row>
    <row r="8" ht="22" customHeight="1">
      <c r="B8" s="276" t="inlineStr">
        <is>
          <t>Действие</t>
        </is>
      </c>
      <c r="C8" s="279" t="inlineStr">
        <is>
          <t>Buy</t>
        </is>
      </c>
      <c r="D8" s="277" t="inlineStr">
        <is>
          <t>Действие</t>
        </is>
      </c>
      <c r="E8" s="279" t="inlineStr">
        <is>
          <t>Buy</t>
        </is>
      </c>
      <c r="F8" s="277" t="inlineStr">
        <is>
          <t>Действие</t>
        </is>
      </c>
      <c r="G8" s="279" t="inlineStr">
        <is>
          <t>Добавить</t>
        </is>
      </c>
    </row>
    <row r="9" ht="22" customHeight="1">
      <c r="B9" s="276" t="inlineStr">
        <is>
          <t>Кол-во</t>
        </is>
      </c>
      <c r="C9" s="286" t="n">
        <v>0.5</v>
      </c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>
        <v>62000</v>
      </c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inlineStr">
        <is>
          <t>T-0001</t>
        </is>
      </c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>
        <v>31000</v>
      </c>
      <c r="C17" s="294" t="n">
        <v>62000</v>
      </c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Пулы: Min и Max — только для Web3, оба поля или ни одного; у Web2-пулов они пустые.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3">
    <mergeCell ref="B3:G3"/>
    <mergeCell ref="B19:G19"/>
    <mergeCell ref="B20:G20"/>
    <mergeCell ref="B1:G2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1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C5" showDropDown="0" showInputMessage="0" showErrorMessage="1" allowBlank="1" errorTitle="Актив" error="Актив 1 и Актив 2 не могут совпадать, символ «/» в тикере не допускается." type="custom">
      <formula1>=AND(ISERROR(FIND("/",C5)),UPPER(TRIM(C5))&lt;&gt;UPPER(TRIM(D5)))</formula1>
    </dataValidation>
    <dataValidation sqref="D5" showDropDown="0" showInputMessage="0" showErrorMessage="1" allowBlank="1" errorTitle="Актив" error="Актив 1 и Актив 2 не могут совпадать, символ «/» в тикере не допускается." type="custom">
      <formula1>=AND(ISERROR(FIND("/",D5)),UPPER(TRIM(D5))&lt;&gt;UPPER(TRIM(C5)))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больше нуля, меньше Max. Заполнять можно только один раздел: другой раздел уже заполнен, сначала очистите его." type="custom">
      <formula1>AND(AND(ISNUMBER(G12),G12&gt;0,OR($G$13="",G12&lt;$G$13)),COUNTA($C$9,$C$10,$C$12,$C$13,$E$9,$E$10,$E$12,$E$13)=0)</formula1>
    </dataValidation>
    <dataValidation sqref="G13" showDropDown="0" showInputMessage="0" showErrorMessage="1" allowBlank="1" errorTitle="Один раздел" error="Введите число больше нуля, больше Min. Заполнять можно только один раздел: другой раздел уже заполнен, сначала очистите его." type="custom">
      <formula1>AND(AND(ISNUMBER(G13),G13&gt;0,OR($G$12="",G13&gt;$G$12)),COUNTA($C$9,$C$10,$C$12,$C$13,$E$9,$E$10,$E$12,$E$13)=0)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T-0013</t>
        </is>
      </c>
      <c r="C15" s="314" t="n">
        <v>46302</v>
      </c>
      <c r="D15" s="313" t="inlineStr">
        <is>
          <t>Binance</t>
        </is>
      </c>
      <c r="E15" s="315" t="inlineStr">
        <is>
          <t>AAVE/ETH</t>
        </is>
      </c>
      <c r="F15" s="316" t="n">
        <v>20</v>
      </c>
      <c r="G15" s="317" t="n">
        <v>0.062625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T-0014</t>
        </is>
      </c>
      <c r="C16" s="319" t="n">
        <v>46302</v>
      </c>
      <c r="D16" s="318" t="inlineStr">
        <is>
          <t>Bybit</t>
        </is>
      </c>
      <c r="E16" s="320" t="inlineStr">
        <is>
          <t>DOGE/BTC</t>
        </is>
      </c>
      <c r="F16" s="321" t="n"/>
      <c r="G16" s="322" t="n"/>
      <c r="H16" s="271">
        <f>IF(AND(ISNUMBER(F16),ISNUMBER(G16)),F16*G16,"")</f>
        <v/>
      </c>
      <c r="I16" s="321" t="n">
        <v>100000</v>
      </c>
      <c r="J16" s="322" t="n">
        <v>2.89e-06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T-0015</t>
        </is>
      </c>
      <c r="C17" s="314" t="n">
        <v>46302</v>
      </c>
      <c r="D17" s="313" t="inlineStr">
        <is>
          <t>OKX</t>
        </is>
      </c>
      <c r="E17" s="315" t="inlineStr">
        <is>
          <t>LTC/BCH</t>
        </is>
      </c>
      <c r="F17" s="316" t="n">
        <v>50</v>
      </c>
      <c r="G17" s="317" t="n">
        <v>0.2004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T-0016</t>
        </is>
      </c>
      <c r="C18" s="319" t="n">
        <v>46302</v>
      </c>
      <c r="D18" s="318" t="inlineStr">
        <is>
          <t>Binance</t>
        </is>
      </c>
      <c r="E18" s="320" t="inlineStr">
        <is>
          <t>XRP/TRX</t>
        </is>
      </c>
      <c r="F18" s="321" t="n"/>
      <c r="G18" s="322" t="n"/>
      <c r="H18" s="271">
        <f>IF(AND(ISNUMBER(F18),ISNUMBER(G18)),F18*G18,"")</f>
        <v/>
      </c>
      <c r="I18" s="321" t="n">
        <v>3000</v>
      </c>
      <c r="J18" s="322" t="n">
        <v>8.133699999999999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T-0017</t>
        </is>
      </c>
      <c r="C19" s="314" t="n">
        <v>46302</v>
      </c>
      <c r="D19" s="313" t="inlineStr">
        <is>
          <t>Bybit</t>
        </is>
      </c>
      <c r="E19" s="315" t="inlineStr">
        <is>
          <t>SOL/USDT</t>
        </is>
      </c>
      <c r="F19" s="316" t="n">
        <v>40</v>
      </c>
      <c r="G19" s="317" t="n">
        <v>150.3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T-0023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>
        <v>6</v>
      </c>
      <c r="G20" s="322" t="n">
        <v>0.187875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T-0024</t>
        </is>
      </c>
      <c r="C21" s="314" t="n">
        <v>46303</v>
      </c>
      <c r="D21" s="313" t="inlineStr">
        <is>
          <t>Bybit</t>
        </is>
      </c>
      <c r="E21" s="315" t="inlineStr">
        <is>
          <t>BNB/BTC</t>
        </is>
      </c>
      <c r="F21" s="316" t="n"/>
      <c r="G21" s="317" t="n"/>
      <c r="H21" s="271">
        <f>IF(AND(ISNUMBER(F21),ISNUMBER(G21)),F21*G21,"")</f>
        <v/>
      </c>
      <c r="I21" s="316" t="n">
        <v>5</v>
      </c>
      <c r="J21" s="317" t="n">
        <v>0.00966064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T-0025</t>
        </is>
      </c>
      <c r="C22" s="319" t="n">
        <v>46303</v>
      </c>
      <c r="D22" s="318" t="inlineStr">
        <is>
          <t>OKX</t>
        </is>
      </c>
      <c r="E22" s="320" t="inlineStr">
        <is>
          <t>CAKE/ETH</t>
        </is>
      </c>
      <c r="F22" s="321" t="n">
        <v>350</v>
      </c>
      <c r="G22" s="322" t="n">
        <v>0.0007515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T-0026</t>
        </is>
      </c>
      <c r="C23" s="314" t="n">
        <v>46303</v>
      </c>
      <c r="D23" s="313" t="inlineStr">
        <is>
          <t>Binance</t>
        </is>
      </c>
      <c r="E23" s="315" t="inlineStr">
        <is>
          <t>DASH/BTC</t>
        </is>
      </c>
      <c r="F23" s="316" t="n">
        <v>18</v>
      </c>
      <c r="G23" s="317" t="n">
        <v>0.00061423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T-0027</t>
        </is>
      </c>
      <c r="C24" s="319" t="n">
        <v>46304</v>
      </c>
      <c r="D24" s="318" t="inlineStr">
        <is>
          <t>Bybit</t>
        </is>
      </c>
      <c r="E24" s="320" t="inlineStr">
        <is>
          <t>DASH/LTC</t>
        </is>
      </c>
      <c r="F24" s="321" t="n"/>
      <c r="G24" s="322" t="n"/>
      <c r="H24" s="271">
        <f>IF(AND(ISNUMBER(F24),ISNUMBER(G24)),F24*G24,"")</f>
        <v/>
      </c>
      <c r="I24" s="321" t="n">
        <v>30</v>
      </c>
      <c r="J24" s="322" t="n">
        <v>0.4213556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T-0029</t>
        </is>
      </c>
      <c r="C25" s="314" t="n">
        <v>46303</v>
      </c>
      <c r="D25" s="313" t="inlineStr">
        <is>
          <t>Bybit</t>
        </is>
      </c>
      <c r="E25" s="315" t="inlineStr">
        <is>
          <t>SOL/USDT</t>
        </is>
      </c>
      <c r="F25" s="316" t="n">
        <v>12</v>
      </c>
      <c r="G25" s="317" t="n">
        <v>150.3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ADA/USDT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BNB/BTC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BNB/ETH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BNB/USDT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BTC/USDT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DASH/BTC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DASH/LTC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DOGE/BTC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DOGE/USDT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ETH/BTC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ETH/USDT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LINK/ETH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LTC/BCH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SOL/USDT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XRP/TRX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XRP/USDT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L-0016</t>
        </is>
      </c>
      <c r="C15" s="314" t="n">
        <v>46302</v>
      </c>
      <c r="D15" s="313" t="inlineStr">
        <is>
          <t>Binance</t>
        </is>
      </c>
      <c r="E15" s="315" t="inlineStr">
        <is>
          <t>BNB/ETH</t>
        </is>
      </c>
      <c r="F15" s="316" t="n">
        <v>15</v>
      </c>
      <c r="G15" s="317" t="n">
        <v>0.188376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L-0017</t>
        </is>
      </c>
      <c r="C16" s="319" t="n">
        <v>46302</v>
      </c>
      <c r="D16" s="318" t="inlineStr">
        <is>
          <t>Bybit</t>
        </is>
      </c>
      <c r="E16" s="320" t="inlineStr">
        <is>
          <t>BNB/BTC</t>
        </is>
      </c>
      <c r="F16" s="321" t="n"/>
      <c r="G16" s="322" t="n"/>
      <c r="H16" s="271">
        <f>IF(AND(ISNUMBER(F16),ISNUMBER(G16)),F16*G16,"")</f>
        <v/>
      </c>
      <c r="I16" s="321" t="n">
        <v>10</v>
      </c>
      <c r="J16" s="322" t="n">
        <v>0.00965066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L-0018</t>
        </is>
      </c>
      <c r="C17" s="314" t="n">
        <v>46302</v>
      </c>
      <c r="D17" s="313" t="inlineStr">
        <is>
          <t>OKX</t>
        </is>
      </c>
      <c r="E17" s="315" t="inlineStr">
        <is>
          <t>CAKE/ETH</t>
        </is>
      </c>
      <c r="F17" s="316" t="n">
        <v>800</v>
      </c>
      <c r="G17" s="317" t="n">
        <v>0.0007515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L-0019</t>
        </is>
      </c>
      <c r="C18" s="319" t="n">
        <v>46303</v>
      </c>
      <c r="D18" s="318" t="inlineStr">
        <is>
          <t>AAVE</t>
        </is>
      </c>
      <c r="E18" s="320" t="inlineStr">
        <is>
          <t>ETH/BTC</t>
        </is>
      </c>
      <c r="F18" s="321" t="n">
        <v>3</v>
      </c>
      <c r="G18" s="322" t="n">
        <v>0.0517032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L-0020</t>
        </is>
      </c>
      <c r="C19" s="314" t="n">
        <v>46303</v>
      </c>
      <c r="D19" s="313" t="inlineStr">
        <is>
          <t>Binance</t>
        </is>
      </c>
      <c r="E19" s="315" t="inlineStr">
        <is>
          <t>ETH/USDT</t>
        </is>
      </c>
      <c r="F19" s="316" t="n"/>
      <c r="G19" s="317" t="n"/>
      <c r="H19" s="271">
        <f>IF(AND(ISNUMBER(F19),ISNUMBER(G19)),F19*G19,"")</f>
        <v/>
      </c>
      <c r="I19" s="316" t="n">
        <v>2</v>
      </c>
      <c r="J19" s="317" t="n">
        <v>3203.58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7</v>
      </c>
      <c r="J20" s="322" t="n">
        <v>0.188622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46303</v>
      </c>
      <c r="D21" s="313" t="inlineStr">
        <is>
          <t>Bybit</t>
        </is>
      </c>
      <c r="E21" s="315" t="inlineStr">
        <is>
          <t>CAKE/BTC</t>
        </is>
      </c>
      <c r="F21" s="316" t="n">
        <v>400</v>
      </c>
      <c r="G21" s="317" t="n">
        <v>3.858e-05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46303</v>
      </c>
      <c r="D22" s="318" t="inlineStr">
        <is>
          <t>AAVE</t>
        </is>
      </c>
      <c r="E22" s="320" t="inlineStr">
        <is>
          <t>ETH/BTC</t>
        </is>
      </c>
      <c r="F22" s="321" t="n"/>
      <c r="G22" s="322" t="n"/>
      <c r="H22" s="271">
        <f>IF(AND(ISNUMBER(F22),ISNUMBER(G22)),F22*G22,"")</f>
        <v/>
      </c>
      <c r="I22" s="321" t="n">
        <v>2.5</v>
      </c>
      <c r="J22" s="322" t="n">
        <v>0.0516964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46304</v>
      </c>
      <c r="D23" s="313" t="inlineStr">
        <is>
          <t>OKX</t>
        </is>
      </c>
      <c r="E23" s="315" t="inlineStr">
        <is>
          <t>BNB/ETH</t>
        </is>
      </c>
      <c r="F23" s="316" t="n">
        <v>5</v>
      </c>
      <c r="G23" s="317" t="n">
        <v>0.187374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46304</v>
      </c>
      <c r="D24" s="318" t="inlineStr">
        <is>
          <t>Binance</t>
        </is>
      </c>
      <c r="E24" s="320" t="inlineStr">
        <is>
          <t>BTC/USDT</t>
        </is>
      </c>
      <c r="F24" s="321" t="n">
        <v>0.09</v>
      </c>
      <c r="G24" s="322" t="n">
        <v>62023.8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AAVE/USDT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BNB/BTC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BNB/ETH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BNB/USDT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BTC/USDT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ETH/BTC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ETH/USDT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LTC/USDT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SOL/USDT</t>
        </is>
      </c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inlineStr">
        <is>
          <t>P-0003</t>
        </is>
      </c>
      <c r="C5" s="314" t="n">
        <v>46297</v>
      </c>
      <c r="D5" s="313" t="inlineStr">
        <is>
          <t>PancakeSwap</t>
        </is>
      </c>
      <c r="E5" s="315" t="inlineStr">
        <is>
          <t>BNB/USDT</t>
        </is>
      </c>
      <c r="F5" s="316" t="n">
        <v>4</v>
      </c>
      <c r="G5" s="324" t="n">
        <v>2360</v>
      </c>
      <c r="H5" s="316" t="n">
        <v>4.2</v>
      </c>
      <c r="I5" s="324" t="n">
        <v>2300</v>
      </c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inlineStr">
        <is>
          <t>Закрыт</t>
        </is>
      </c>
      <c r="M5" s="316" t="n"/>
      <c r="N5" s="324" t="n"/>
    </row>
    <row r="6" ht="22" customHeight="1">
      <c r="B6" s="326" t="inlineStr">
        <is>
          <t>P-0006</t>
        </is>
      </c>
      <c r="C6" s="319" t="n">
        <v>46299</v>
      </c>
      <c r="D6" s="318" t="inlineStr">
        <is>
          <t>Uniswap</t>
        </is>
      </c>
      <c r="E6" s="320" t="inlineStr">
        <is>
          <t>BTC/USDT</t>
        </is>
      </c>
      <c r="F6" s="321" t="n">
        <v>0.05</v>
      </c>
      <c r="G6" s="327" t="n">
        <v>3125</v>
      </c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inlineStr">
        <is>
          <t>Открыт</t>
        </is>
      </c>
      <c r="M6" s="321" t="n">
        <v>58000</v>
      </c>
      <c r="N6" s="327" t="n">
        <v>68000</v>
      </c>
    </row>
    <row r="7" ht="22" customHeight="1">
      <c r="B7" s="323" t="inlineStr">
        <is>
          <t>P-0001</t>
        </is>
      </c>
      <c r="C7" s="314" t="n">
        <v>46296</v>
      </c>
      <c r="D7" s="313" t="inlineStr">
        <is>
          <t>Uniswap</t>
        </is>
      </c>
      <c r="E7" s="315" t="inlineStr">
        <is>
          <t>ETH/BTC</t>
        </is>
      </c>
      <c r="F7" s="316" t="n">
        <v>2</v>
      </c>
      <c r="G7" s="324" t="n">
        <v>0.104</v>
      </c>
      <c r="H7" s="316" t="n">
        <v>1.96</v>
      </c>
      <c r="I7" s="324" t="n">
        <v>0.1092</v>
      </c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inlineStr">
        <is>
          <t>Закрыт</t>
        </is>
      </c>
      <c r="M7" s="316" t="n"/>
      <c r="N7" s="324" t="n"/>
    </row>
    <row r="8" ht="22" customHeight="1">
      <c r="B8" s="326" t="inlineStr">
        <is>
          <t>P-0007</t>
        </is>
      </c>
      <c r="C8" s="319" t="n">
        <v>46299</v>
      </c>
      <c r="D8" s="318" t="inlineStr">
        <is>
          <t>PancakeSwap</t>
        </is>
      </c>
      <c r="E8" s="320" t="inlineStr">
        <is>
          <t>ETH/BTC</t>
        </is>
      </c>
      <c r="F8" s="321" t="n">
        <v>1.2</v>
      </c>
      <c r="G8" s="327" t="n">
        <v>0.0624</v>
      </c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inlineStr">
        <is>
          <t>Открыт</t>
        </is>
      </c>
      <c r="M8" s="321" t="n"/>
      <c r="N8" s="327" t="n"/>
    </row>
    <row r="9" ht="22" customHeight="1">
      <c r="B9" s="323" t="inlineStr">
        <is>
          <t>P-0004</t>
        </is>
      </c>
      <c r="C9" s="314" t="n">
        <v>46298</v>
      </c>
      <c r="D9" s="313" t="inlineStr">
        <is>
          <t>Uniswap</t>
        </is>
      </c>
      <c r="E9" s="315" t="inlineStr">
        <is>
          <t>ETH/USDT</t>
        </is>
      </c>
      <c r="F9" s="316" t="n">
        <v>1.5</v>
      </c>
      <c r="G9" s="324" t="n">
        <v>4800</v>
      </c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inlineStr">
        <is>
          <t>Открыт</t>
        </is>
      </c>
      <c r="M9" s="316" t="n">
        <v>2800</v>
      </c>
      <c r="N9" s="324" t="n">
        <v>3600</v>
      </c>
    </row>
    <row r="10" ht="22" customHeight="1">
      <c r="B10" s="326" t="inlineStr">
        <is>
          <t>P-0002</t>
        </is>
      </c>
      <c r="C10" s="319" t="n">
        <v>46296</v>
      </c>
      <c r="D10" s="318" t="inlineStr">
        <is>
          <t>Raydium</t>
        </is>
      </c>
      <c r="E10" s="320" t="inlineStr">
        <is>
          <t>SOL/USDT</t>
        </is>
      </c>
      <c r="F10" s="321" t="n">
        <v>30</v>
      </c>
      <c r="G10" s="327" t="n">
        <v>4350</v>
      </c>
      <c r="H10" s="321" t="n">
        <v>28.5</v>
      </c>
      <c r="I10" s="327" t="n">
        <v>4560</v>
      </c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inlineStr">
        <is>
          <t>Закрыт</t>
        </is>
      </c>
      <c r="M10" s="321" t="n"/>
      <c r="N10" s="327" t="n"/>
    </row>
    <row r="11" ht="22" customHeight="1">
      <c r="B11" s="323" t="inlineStr">
        <is>
          <t>P-0005</t>
        </is>
      </c>
      <c r="C11" s="314" t="n">
        <v>46298</v>
      </c>
      <c r="D11" s="313" t="inlineStr">
        <is>
          <t>Orca</t>
        </is>
      </c>
      <c r="E11" s="315" t="inlineStr">
        <is>
          <t>SOL/USDT</t>
        </is>
      </c>
      <c r="F11" s="316" t="n">
        <v>12</v>
      </c>
      <c r="G11" s="324" t="n">
        <v>1740</v>
      </c>
      <c r="H11" s="316" t="n">
        <v>12.6</v>
      </c>
      <c r="I11" s="324" t="n">
        <v>1688</v>
      </c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inlineStr">
        <is>
          <t>Закрыт</t>
        </is>
      </c>
      <c r="M11" s="316" t="n"/>
      <c r="N11" s="324" t="n"/>
    </row>
    <row r="12" ht="22" customHeight="1">
      <c r="B12" s="326" t="inlineStr">
        <is>
          <t>P-0008</t>
        </is>
      </c>
      <c r="C12" s="319" t="n">
        <v>46299</v>
      </c>
      <c r="D12" s="318" t="inlineStr">
        <is>
          <t>Raydium</t>
        </is>
      </c>
      <c r="E12" s="320" t="inlineStr">
        <is>
          <t>SOL/USDT</t>
        </is>
      </c>
      <c r="F12" s="321" t="n">
        <v>25</v>
      </c>
      <c r="G12" s="327" t="n">
        <v>3625</v>
      </c>
      <c r="H12" s="321" t="n">
        <v>10</v>
      </c>
      <c r="I12" s="327" t="n">
        <v>1480</v>
      </c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inlineStr">
        <is>
          <t>Открыт</t>
        </is>
      </c>
      <c r="M12" s="321" t="n"/>
      <c r="N12" s="327" t="n"/>
    </row>
    <row r="13" ht="22" customHeight="1">
      <c r="B13" s="323" t="inlineStr">
        <is>
          <t>P-0009</t>
        </is>
      </c>
      <c r="C13" s="314" t="n">
        <v>46302</v>
      </c>
      <c r="D13" s="313" t="inlineStr">
        <is>
          <t>Raydium</t>
        </is>
      </c>
      <c r="E13" s="315" t="inlineStr">
        <is>
          <t>SOL/USDT</t>
        </is>
      </c>
      <c r="F13" s="316" t="n">
        <v>20</v>
      </c>
      <c r="G13" s="324" t="n">
        <v>3000</v>
      </c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inlineStr">
        <is>
          <t>Открыт</t>
        </is>
      </c>
      <c r="M13" s="316" t="n">
        <v>130</v>
      </c>
      <c r="N13" s="324" t="n">
        <v>170</v>
      </c>
    </row>
    <row r="14" ht="22" customHeight="1">
      <c r="B14" s="326" t="inlineStr">
        <is>
          <t>P-0010</t>
        </is>
      </c>
      <c r="C14" s="319" t="n">
        <v>46302</v>
      </c>
      <c r="D14" s="318" t="inlineStr">
        <is>
          <t>Raydium</t>
        </is>
      </c>
      <c r="E14" s="320" t="inlineStr">
        <is>
          <t>ELIZAOS/SOL</t>
        </is>
      </c>
      <c r="F14" s="321" t="n">
        <v>10000</v>
      </c>
      <c r="G14" s="327" t="n">
        <v>23.5</v>
      </c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inlineStr">
        <is>
          <t>Открыт</t>
        </is>
      </c>
      <c r="M14" s="321" t="n"/>
      <c r="N14" s="327" t="n"/>
    </row>
    <row r="15" ht="22" customHeight="1">
      <c r="B15" s="323" t="inlineStr">
        <is>
          <t>P-0011</t>
        </is>
      </c>
      <c r="C15" s="314" t="n">
        <v>46302</v>
      </c>
      <c r="D15" s="313" t="inlineStr">
        <is>
          <t>Orca</t>
        </is>
      </c>
      <c r="E15" s="315" t="inlineStr">
        <is>
          <t>SOL/USDT</t>
        </is>
      </c>
      <c r="F15" s="316" t="n">
        <v>15</v>
      </c>
      <c r="G15" s="324" t="n">
        <v>2250</v>
      </c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inlineStr">
        <is>
          <t>Открыт</t>
        </is>
      </c>
      <c r="M15" s="316" t="n"/>
      <c r="N15" s="324" t="n"/>
    </row>
    <row r="16" ht="22" customHeight="1">
      <c r="B16" s="326" t="inlineStr">
        <is>
          <t>P-0012</t>
        </is>
      </c>
      <c r="C16" s="319" t="n">
        <v>46302</v>
      </c>
      <c r="D16" s="318" t="inlineStr">
        <is>
          <t>Uniswap</t>
        </is>
      </c>
      <c r="E16" s="320" t="inlineStr">
        <is>
          <t>ETH/BTC</t>
        </is>
      </c>
      <c r="F16" s="321" t="n">
        <v>2.5</v>
      </c>
      <c r="G16" s="327" t="n">
        <v>0.129</v>
      </c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inlineStr">
        <is>
          <t>Открыт</t>
        </is>
      </c>
      <c r="M16" s="321" t="n"/>
      <c r="N16" s="327" t="n"/>
    </row>
    <row r="17" ht="22" customHeight="1">
      <c r="B17" s="323" t="inlineStr">
        <is>
          <t>P-0013</t>
        </is>
      </c>
      <c r="C17" s="314" t="n">
        <v>46303</v>
      </c>
      <c r="D17" s="313" t="inlineStr">
        <is>
          <t>PancakeSwap</t>
        </is>
      </c>
      <c r="E17" s="315" t="inlineStr">
        <is>
          <t>BNB/ETH</t>
        </is>
      </c>
      <c r="F17" s="316" t="n">
        <v>6</v>
      </c>
      <c r="G17" s="324" t="n">
        <v>1.125</v>
      </c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inlineStr">
        <is>
          <t>Открыт</t>
        </is>
      </c>
      <c r="M17" s="316" t="n"/>
      <c r="N17" s="324" t="n"/>
    </row>
    <row r="18" ht="22" customHeight="1">
      <c r="B18" s="326" t="inlineStr">
        <is>
          <t>P-0014</t>
        </is>
      </c>
      <c r="C18" s="319" t="n">
        <v>46302</v>
      </c>
      <c r="D18" s="318" t="inlineStr">
        <is>
          <t>Uniswap</t>
        </is>
      </c>
      <c r="E18" s="320" t="inlineStr">
        <is>
          <t>ETH/USDT</t>
        </is>
      </c>
      <c r="F18" s="321" t="n">
        <v>1.5</v>
      </c>
      <c r="G18" s="327" t="n">
        <v>4800</v>
      </c>
      <c r="H18" s="321" t="n">
        <v>1.46</v>
      </c>
      <c r="I18" s="327" t="n">
        <v>4990</v>
      </c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inlineStr">
        <is>
          <t>Закрыт</t>
        </is>
      </c>
      <c r="M18" s="321" t="n"/>
      <c r="N18" s="327" t="n"/>
    </row>
    <row r="19" ht="22" customHeight="1">
      <c r="B19" s="323" t="inlineStr">
        <is>
          <t>P-0015</t>
        </is>
      </c>
      <c r="C19" s="314" t="n">
        <v>46302</v>
      </c>
      <c r="D19" s="313" t="inlineStr">
        <is>
          <t>Uniswap</t>
        </is>
      </c>
      <c r="E19" s="315" t="inlineStr">
        <is>
          <t>ARB/ETH</t>
        </is>
      </c>
      <c r="F19" s="316" t="n">
        <v>8000</v>
      </c>
      <c r="G19" s="324" t="n">
        <v>1.375</v>
      </c>
      <c r="H19" s="316" t="n">
        <v>8350</v>
      </c>
      <c r="I19" s="324" t="n">
        <v>1.31</v>
      </c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inlineStr">
        <is>
          <t>Закрыт</t>
        </is>
      </c>
      <c r="M19" s="316" t="n"/>
      <c r="N19" s="324" t="n"/>
    </row>
    <row r="20" ht="22" customHeight="1">
      <c r="B20" s="326" t="inlineStr">
        <is>
          <t>P-0016</t>
        </is>
      </c>
      <c r="C20" s="319" t="n">
        <v>46303</v>
      </c>
      <c r="D20" s="318" t="inlineStr">
        <is>
          <t>Orca</t>
        </is>
      </c>
      <c r="E20" s="320" t="inlineStr">
        <is>
          <t>SOL/ETH</t>
        </is>
      </c>
      <c r="F20" s="321" t="n">
        <v>30</v>
      </c>
      <c r="G20" s="327" t="n">
        <v>1.4063</v>
      </c>
      <c r="H20" s="321" t="n">
        <v>28.8</v>
      </c>
      <c r="I20" s="327" t="n">
        <v>1.46</v>
      </c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inlineStr">
        <is>
          <t>Закрыт</t>
        </is>
      </c>
      <c r="M20" s="321" t="n"/>
      <c r="N20" s="327" t="n"/>
    </row>
    <row r="21" ht="22" customHeight="1">
      <c r="B21" s="323" t="inlineStr">
        <is>
          <t>P-0017</t>
        </is>
      </c>
      <c r="C21" s="314" t="n">
        <v>46303</v>
      </c>
      <c r="D21" s="313" t="inlineStr">
        <is>
          <t>PancakeSwap</t>
        </is>
      </c>
      <c r="E21" s="315" t="inlineStr">
        <is>
          <t>BNB/USDT</t>
        </is>
      </c>
      <c r="F21" s="316" t="n">
        <v>5</v>
      </c>
      <c r="G21" s="324" t="n">
        <v>3000</v>
      </c>
      <c r="H21" s="316" t="n">
        <v>5.2</v>
      </c>
      <c r="I21" s="324" t="n">
        <v>2920</v>
      </c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inlineStr">
        <is>
          <t>Закрыт</t>
        </is>
      </c>
      <c r="M21" s="316" t="n"/>
      <c r="N21" s="324" t="n"/>
    </row>
    <row r="22" ht="22" customHeight="1">
      <c r="B22" s="326" t="inlineStr">
        <is>
          <t>P-0018</t>
        </is>
      </c>
      <c r="C22" s="319" t="n">
        <v>46303</v>
      </c>
      <c r="D22" s="318" t="inlineStr">
        <is>
          <t>PancakeSwap</t>
        </is>
      </c>
      <c r="E22" s="320" t="inlineStr">
        <is>
          <t>CAKE/USDT</t>
        </is>
      </c>
      <c r="F22" s="321" t="n">
        <v>1000</v>
      </c>
      <c r="G22" s="327" t="n">
        <v>2400</v>
      </c>
      <c r="H22" s="321" t="n">
        <v>940</v>
      </c>
      <c r="I22" s="327" t="n">
        <v>2530</v>
      </c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inlineStr">
        <is>
          <t>Закрыт</t>
        </is>
      </c>
      <c r="M22" s="321" t="n"/>
      <c r="N22" s="327" t="n"/>
    </row>
    <row r="23" ht="22" customHeight="1">
      <c r="B23" s="323" t="inlineStr">
        <is>
          <t>P-0019</t>
        </is>
      </c>
      <c r="C23" s="314" t="n">
        <v>46303</v>
      </c>
      <c r="D23" s="313" t="inlineStr">
        <is>
          <t>Uniswap</t>
        </is>
      </c>
      <c r="E23" s="315" t="inlineStr">
        <is>
          <t>BTC/USDT</t>
        </is>
      </c>
      <c r="F23" s="316" t="n">
        <v>0.1</v>
      </c>
      <c r="G23" s="324" t="n">
        <v>6200</v>
      </c>
      <c r="H23" s="316" t="n">
        <v>0.04</v>
      </c>
      <c r="I23" s="324" t="n">
        <v>2600</v>
      </c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inlineStr">
        <is>
          <t>Открыт</t>
        </is>
      </c>
      <c r="M23" s="316" t="n"/>
      <c r="N23" s="324" t="n"/>
    </row>
    <row r="24" ht="22" customHeight="1">
      <c r="B24" s="326" t="inlineStr">
        <is>
          <t>P-0020</t>
        </is>
      </c>
      <c r="C24" s="319" t="n">
        <v>46303</v>
      </c>
      <c r="D24" s="318" t="inlineStr">
        <is>
          <t>Raydium</t>
        </is>
      </c>
      <c r="E24" s="320" t="inlineStr">
        <is>
          <t>BTC/USDT</t>
        </is>
      </c>
      <c r="F24" s="321" t="n">
        <v>0.08</v>
      </c>
      <c r="G24" s="327" t="n">
        <v>4960</v>
      </c>
      <c r="H24" s="321" t="n">
        <v>0.03</v>
      </c>
      <c r="I24" s="327" t="n">
        <v>1900</v>
      </c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inlineStr">
        <is>
          <t>Открыт</t>
        </is>
      </c>
      <c r="M24" s="321" t="n"/>
      <c r="N24" s="327" t="n"/>
    </row>
    <row r="25" ht="22" customHeight="1">
      <c r="B25" s="323" t="inlineStr">
        <is>
          <t>P-0021</t>
        </is>
      </c>
      <c r="C25" s="314" t="n">
        <v>46304</v>
      </c>
      <c r="D25" s="313" t="inlineStr">
        <is>
          <t>PancakeSwap</t>
        </is>
      </c>
      <c r="E25" s="315" t="inlineStr">
        <is>
          <t>BNB/ETH</t>
        </is>
      </c>
      <c r="F25" s="316" t="n">
        <v>4</v>
      </c>
      <c r="G25" s="324" t="n">
        <v>0.75</v>
      </c>
      <c r="H25" s="316" t="n">
        <v>1.5</v>
      </c>
      <c r="I25" s="324" t="n">
        <v>0.29</v>
      </c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inlineStr">
        <is>
          <t>Открыт</t>
        </is>
      </c>
      <c r="M25" s="316" t="n"/>
      <c r="N25" s="324" t="n"/>
    </row>
    <row r="26" ht="22" customHeight="1">
      <c r="B26" s="326" t="inlineStr">
        <is>
          <t>P-0022</t>
        </is>
      </c>
      <c r="C26" s="319" t="n">
        <v>46304</v>
      </c>
      <c r="D26" s="318" t="inlineStr">
        <is>
          <t>PancakeSwap</t>
        </is>
      </c>
      <c r="E26" s="320" t="inlineStr">
        <is>
          <t>CAKE/BNB</t>
        </is>
      </c>
      <c r="F26" s="321" t="n">
        <v>1500</v>
      </c>
      <c r="G26" s="327" t="n">
        <v>6</v>
      </c>
      <c r="H26" s="321" t="n">
        <v>500</v>
      </c>
      <c r="I26" s="327" t="n">
        <v>2.1</v>
      </c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inlineStr">
        <is>
          <t>Открыт</t>
        </is>
      </c>
      <c r="M26" s="321" t="n"/>
      <c r="N26" s="327" t="n"/>
    </row>
    <row r="27" ht="22" customHeight="1">
      <c r="B27" s="323" t="inlineStr">
        <is>
          <t>P-0023</t>
        </is>
      </c>
      <c r="C27" s="314" t="n">
        <v>46304</v>
      </c>
      <c r="D27" s="313" t="inlineStr">
        <is>
          <t>Uniswap</t>
        </is>
      </c>
      <c r="E27" s="315" t="inlineStr">
        <is>
          <t>ARB/BTC</t>
        </is>
      </c>
      <c r="F27" s="316" t="n">
        <v>12000</v>
      </c>
      <c r="G27" s="324" t="n">
        <v>0.1064</v>
      </c>
      <c r="H27" s="316" t="n">
        <v>5000</v>
      </c>
      <c r="I27" s="324" t="n">
        <v>0.047</v>
      </c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inlineStr">
        <is>
          <t>Открыт</t>
        </is>
      </c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inlineStr">
        <is>
          <t>ARB/BTC</t>
        </is>
      </c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inlineStr">
        <is>
          <t>ARB/ETH</t>
        </is>
      </c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inlineStr">
        <is>
          <t>BNB/ETH</t>
        </is>
      </c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inlineStr">
        <is>
          <t>BNB/USDT</t>
        </is>
      </c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inlineStr">
        <is>
          <t>BTC/USDT</t>
        </is>
      </c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inlineStr">
        <is>
          <t>CAKE/BNB</t>
        </is>
      </c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inlineStr">
        <is>
          <t>CAKE/USDT</t>
        </is>
      </c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inlineStr">
        <is>
          <t>ELIZAOS/SOL</t>
        </is>
      </c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inlineStr">
        <is>
          <t>ETH/BTC</t>
        </is>
      </c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inlineStr">
        <is>
          <t>ETH/USDT</t>
        </is>
      </c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inlineStr">
        <is>
          <t>SOL/ETH</t>
        </is>
      </c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inlineStr">
        <is>
          <t>SOL/USDT</t>
        </is>
      </c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>
        <v>2</v>
      </c>
      <c r="G5" s="317" t="n">
        <v>586.17</v>
      </c>
      <c r="H5" s="271">
        <f>IF(AND(ISNUMBER(F5),ISNUMBER(G5)),F5*G5,"")</f>
        <v/>
      </c>
      <c r="I5" s="316" t="n">
        <v>2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T-0006</t>
        </is>
      </c>
      <c r="C6" s="319" t="n">
        <v>46299</v>
      </c>
      <c r="D6" s="318" t="inlineStr">
        <is>
          <t>OKX</t>
        </is>
      </c>
      <c r="E6" s="320" t="inlineStr">
        <is>
          <t>BTC/USDT</t>
        </is>
      </c>
      <c r="F6" s="321" t="n">
        <v>0.05</v>
      </c>
      <c r="G6" s="322" t="n">
        <v>62324.4</v>
      </c>
      <c r="H6" s="271">
        <f>IF(AND(ISNUMBER(F6),ISNUMBER(G6)),F6*G6,"")</f>
        <v/>
      </c>
      <c r="I6" s="321" t="n">
        <v>0.05</v>
      </c>
      <c r="J6" s="322" t="n">
        <v>62874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T-0002</t>
        </is>
      </c>
      <c r="C7" s="314" t="n">
        <v>46297</v>
      </c>
      <c r="D7" s="313" t="inlineStr">
        <is>
          <t>Bybit</t>
        </is>
      </c>
      <c r="E7" s="315" t="inlineStr">
        <is>
          <t>ETH/USDT</t>
        </is>
      </c>
      <c r="F7" s="316" t="n">
        <v>1</v>
      </c>
      <c r="G7" s="317" t="n">
        <v>3206.4</v>
      </c>
      <c r="H7" s="271">
        <f>IF(AND(ISNUMBER(F7),ISNUMBER(G7)),F7*G7,"")</f>
        <v/>
      </c>
      <c r="I7" s="316" t="n">
        <v>1</v>
      </c>
      <c r="J7" s="317" t="n">
        <v>3343.3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T-0003</t>
        </is>
      </c>
      <c r="C8" s="319" t="n">
        <v>46298</v>
      </c>
      <c r="D8" s="318" t="inlineStr">
        <is>
          <t>OKX</t>
        </is>
      </c>
      <c r="E8" s="320" t="inlineStr">
        <is>
          <t>SOL/USDT</t>
        </is>
      </c>
      <c r="F8" s="321" t="n">
        <v>20</v>
      </c>
      <c r="G8" s="322" t="n">
        <v>145.29</v>
      </c>
      <c r="H8" s="271">
        <f>IF(AND(ISNUMBER(F8),ISNUMBER(G8)),F8*G8,"")</f>
        <v/>
      </c>
      <c r="I8" s="321" t="n">
        <v>20</v>
      </c>
      <c r="J8" s="322" t="n">
        <v>151.696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L-0013</t>
        </is>
      </c>
      <c r="C9" s="314" t="n">
        <v>46299</v>
      </c>
      <c r="D9" s="313" t="inlineStr">
        <is>
          <t>Binance</t>
        </is>
      </c>
      <c r="E9" s="315" t="inlineStr">
        <is>
          <t>BNB/USDT</t>
        </is>
      </c>
      <c r="F9" s="316" t="n">
        <v>1.5</v>
      </c>
      <c r="G9" s="317" t="n">
        <v>585</v>
      </c>
      <c r="H9" s="271">
        <f>IF(AND(ISNUMBER(F9),ISNUMBER(G9)),F9*G9,"")</f>
        <v/>
      </c>
      <c r="I9" s="316" t="n">
        <v>1.5</v>
      </c>
      <c r="J9" s="317" t="n">
        <v>597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L-0014</t>
        </is>
      </c>
      <c r="C10" s="319" t="n">
        <v>46298</v>
      </c>
      <c r="D10" s="318" t="inlineStr">
        <is>
          <t>OKX</t>
        </is>
      </c>
      <c r="E10" s="320" t="inlineStr">
        <is>
          <t>ETH/USDT</t>
        </is>
      </c>
      <c r="F10" s="321" t="n">
        <v>0.5</v>
      </c>
      <c r="G10" s="322" t="n">
        <v>3210</v>
      </c>
      <c r="H10" s="271">
        <f>IF(AND(ISNUMBER(F10),ISNUMBER(G10)),F10*G10,"")</f>
        <v/>
      </c>
      <c r="I10" s="321" t="n">
        <v>0.5</v>
      </c>
      <c r="J10" s="322" t="n">
        <v>3340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L-0015</t>
        </is>
      </c>
      <c r="C11" s="314" t="n">
        <v>46297</v>
      </c>
      <c r="D11" s="313" t="inlineStr">
        <is>
          <t>Bybit</t>
        </is>
      </c>
      <c r="E11" s="315" t="inlineStr">
        <is>
          <t>SOL/USDT</t>
        </is>
      </c>
      <c r="F11" s="316" t="n">
        <v>10</v>
      </c>
      <c r="G11" s="317" t="n">
        <v>145</v>
      </c>
      <c r="H11" s="271">
        <f>IF(AND(ISNUMBER(F11),ISNUMBER(G11)),F11*G11,"")</f>
        <v/>
      </c>
      <c r="I11" s="316" t="n">
        <v>10</v>
      </c>
      <c r="J11" s="317" t="n">
        <v>150.5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T-0018</t>
        </is>
      </c>
      <c r="C12" s="319" t="n">
        <v>46303</v>
      </c>
      <c r="D12" s="318" t="inlineStr">
        <is>
          <t>Binance</t>
        </is>
      </c>
      <c r="E12" s="320" t="inlineStr">
        <is>
          <t>BTC/USDT</t>
        </is>
      </c>
      <c r="F12" s="321" t="n">
        <v>0.2</v>
      </c>
      <c r="G12" s="322" t="n">
        <v>61923.6</v>
      </c>
      <c r="H12" s="271">
        <f>IF(AND(ISNUMBER(F12),ISNUMBER(G12)),F12*G12,"")</f>
        <v/>
      </c>
      <c r="I12" s="321" t="n">
        <v>0.2</v>
      </c>
      <c r="J12" s="322" t="n">
        <v>62375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T-0019</t>
        </is>
      </c>
      <c r="C13" s="314" t="n">
        <v>46304</v>
      </c>
      <c r="D13" s="313" t="inlineStr">
        <is>
          <t>Bybit</t>
        </is>
      </c>
      <c r="E13" s="315" t="inlineStr">
        <is>
          <t>ETH/BTC</t>
        </is>
      </c>
      <c r="F13" s="316" t="n">
        <v>2</v>
      </c>
      <c r="G13" s="317" t="n">
        <v>0.0510018</v>
      </c>
      <c r="H13" s="271">
        <f>IF(AND(ISNUMBER(F13),ISNUMBER(G13)),F13*G13,"")</f>
        <v/>
      </c>
      <c r="I13" s="316" t="n">
        <v>2</v>
      </c>
      <c r="J13" s="317" t="n">
        <v>0.0514968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T-0020</t>
        </is>
      </c>
      <c r="C14" s="319" t="n">
        <v>46304</v>
      </c>
      <c r="D14" s="318" t="inlineStr">
        <is>
          <t>OKX</t>
        </is>
      </c>
      <c r="E14" s="320" t="inlineStr">
        <is>
          <t>XRP/USDT</t>
        </is>
      </c>
      <c r="F14" s="321" t="n">
        <v>1500</v>
      </c>
      <c r="G14" s="322" t="n">
        <v>2.1543</v>
      </c>
      <c r="H14" s="271">
        <f>IF(AND(ISNUMBER(F14),ISNUMBER(G14)),F14*G14,"")</f>
        <v/>
      </c>
      <c r="I14" s="321" t="n">
        <v>1500</v>
      </c>
      <c r="J14" s="322" t="n">
        <v>2.27544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T-0021</t>
        </is>
      </c>
      <c r="C15" s="314" t="n">
        <v>46304</v>
      </c>
      <c r="D15" s="313" t="inlineStr">
        <is>
          <t>Binance</t>
        </is>
      </c>
      <c r="E15" s="315" t="inlineStr">
        <is>
          <t>DOGE/USDT</t>
        </is>
      </c>
      <c r="F15" s="316" t="n">
        <v>20000</v>
      </c>
      <c r="G15" s="317" t="n">
        <v>0.178356</v>
      </c>
      <c r="H15" s="271">
        <f>IF(AND(ISNUMBER(F15),ISNUMBER(G15)),F15*G15,"")</f>
        <v/>
      </c>
      <c r="I15" s="316" t="n">
        <v>20000</v>
      </c>
      <c r="J15" s="317" t="n">
        <v>0.18463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T-0022</t>
        </is>
      </c>
      <c r="C16" s="319" t="n">
        <v>46304</v>
      </c>
      <c r="D16" s="318" t="inlineStr">
        <is>
          <t>Bybit</t>
        </is>
      </c>
      <c r="E16" s="320" t="inlineStr">
        <is>
          <t>LINK/ETH</t>
        </is>
      </c>
      <c r="F16" s="321" t="n">
        <v>100</v>
      </c>
      <c r="G16" s="322" t="n">
        <v>0.0043587</v>
      </c>
      <c r="H16" s="271">
        <f>IF(AND(ISNUMBER(F16),ISNUMBER(G16)),F16*G16,"")</f>
        <v/>
      </c>
      <c r="I16" s="321" t="n">
        <v>100</v>
      </c>
      <c r="J16" s="322" t="n">
        <v>0.00447104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T-0023</t>
        </is>
      </c>
      <c r="C17" s="314" t="n">
        <v>46304</v>
      </c>
      <c r="D17" s="313" t="inlineStr">
        <is>
          <t>Binance</t>
        </is>
      </c>
      <c r="E17" s="315" t="inlineStr">
        <is>
          <t>BNB/ETH</t>
        </is>
      </c>
      <c r="F17" s="316" t="n">
        <v>4</v>
      </c>
      <c r="G17" s="317" t="n">
        <v>0.187875</v>
      </c>
      <c r="H17" s="271">
        <f>IF(AND(ISNUMBER(F17),ISNUMBER(G17)),F17*G17,"")</f>
        <v/>
      </c>
      <c r="I17" s="316" t="n">
        <v>4</v>
      </c>
      <c r="J17" s="317" t="n">
        <v>0.191616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T-0024</t>
        </is>
      </c>
      <c r="C18" s="319" t="n">
        <v>46304</v>
      </c>
      <c r="D18" s="318" t="inlineStr">
        <is>
          <t>Bybit</t>
        </is>
      </c>
      <c r="E18" s="320" t="inlineStr">
        <is>
          <t>BNB/BTC</t>
        </is>
      </c>
      <c r="F18" s="321" t="n">
        <v>3</v>
      </c>
      <c r="G18" s="322" t="n">
        <v>0.009569100000000001</v>
      </c>
      <c r="H18" s="271">
        <f>IF(AND(ISNUMBER(F18),ISNUMBER(G18)),F18*G18,"")</f>
        <v/>
      </c>
      <c r="I18" s="321" t="n">
        <v>3</v>
      </c>
      <c r="J18" s="322" t="n">
        <v>0.00966064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T-0025</t>
        </is>
      </c>
      <c r="C19" s="314" t="n">
        <v>46304</v>
      </c>
      <c r="D19" s="313" t="inlineStr">
        <is>
          <t>OKX</t>
        </is>
      </c>
      <c r="E19" s="315" t="inlineStr">
        <is>
          <t>CAKE/ETH</t>
        </is>
      </c>
      <c r="F19" s="316" t="n">
        <v>250</v>
      </c>
      <c r="G19" s="317" t="n">
        <v>0.0007515</v>
      </c>
      <c r="H19" s="271">
        <f>IF(AND(ISNUMBER(F19),ISNUMBER(G19)),F19*G19,"")</f>
        <v/>
      </c>
      <c r="I19" s="316" t="n">
        <v>250</v>
      </c>
      <c r="J19" s="317" t="n">
        <v>0.00078842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T-0026</t>
        </is>
      </c>
      <c r="C20" s="319" t="n">
        <v>46304</v>
      </c>
      <c r="D20" s="318" t="inlineStr">
        <is>
          <t>Binance</t>
        </is>
      </c>
      <c r="E20" s="320" t="inlineStr">
        <is>
          <t>DASH/BTC</t>
        </is>
      </c>
      <c r="F20" s="321" t="n">
        <v>12</v>
      </c>
      <c r="G20" s="322" t="n">
        <v>0.00061423</v>
      </c>
      <c r="H20" s="271">
        <f>IF(AND(ISNUMBER(F20),ISNUMBER(G20)),F20*G20,"")</f>
        <v/>
      </c>
      <c r="I20" s="321" t="n">
        <v>12</v>
      </c>
      <c r="J20" s="322" t="n">
        <v>0.00063872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T-0027</t>
        </is>
      </c>
      <c r="C21" s="314" t="n">
        <v>46304</v>
      </c>
      <c r="D21" s="313" t="inlineStr">
        <is>
          <t>Bybit</t>
        </is>
      </c>
      <c r="E21" s="315" t="inlineStr">
        <is>
          <t>DASH/LTC</t>
        </is>
      </c>
      <c r="F21" s="316" t="n">
        <v>20</v>
      </c>
      <c r="G21" s="317" t="n">
        <v>0.41082</v>
      </c>
      <c r="H21" s="271">
        <f>IF(AND(ISNUMBER(F21),ISNUMBER(G21)),F21*G21,"")</f>
        <v/>
      </c>
      <c r="I21" s="316" t="n">
        <v>20</v>
      </c>
      <c r="J21" s="317" t="n">
        <v>0.4213556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L-0021</t>
        </is>
      </c>
      <c r="C22" s="319" t="n">
        <v>46303</v>
      </c>
      <c r="D22" s="318" t="inlineStr">
        <is>
          <t>Binance</t>
        </is>
      </c>
      <c r="E22" s="320" t="inlineStr">
        <is>
          <t>SOL/USDT</t>
        </is>
      </c>
      <c r="F22" s="321" t="n">
        <v>30</v>
      </c>
      <c r="G22" s="322" t="n">
        <v>148.296</v>
      </c>
      <c r="H22" s="271">
        <f>IF(AND(ISNUMBER(F22),ISNUMBER(G22)),F22*G22,"")</f>
        <v/>
      </c>
      <c r="I22" s="321" t="n">
        <v>30</v>
      </c>
      <c r="J22" s="322" t="n">
        <v>154.69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L-0022</t>
        </is>
      </c>
      <c r="C23" s="314" t="n">
        <v>46304</v>
      </c>
      <c r="D23" s="313" t="inlineStr">
        <is>
          <t>Bybit</t>
        </is>
      </c>
      <c r="E23" s="315" t="inlineStr">
        <is>
          <t>BNB/USDT</t>
        </is>
      </c>
      <c r="F23" s="316" t="n">
        <v>5</v>
      </c>
      <c r="G23" s="317" t="n">
        <v>597.192</v>
      </c>
      <c r="H23" s="271">
        <f>IF(AND(ISNUMBER(F23),ISNUMBER(G23)),F23*G23,"")</f>
        <v/>
      </c>
      <c r="I23" s="316" t="n">
        <v>5</v>
      </c>
      <c r="J23" s="317" t="n">
        <v>602.792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L-0023</t>
        </is>
      </c>
      <c r="C24" s="319" t="n">
        <v>46304</v>
      </c>
      <c r="D24" s="318" t="inlineStr">
        <is>
          <t>AAVE</t>
        </is>
      </c>
      <c r="E24" s="320" t="inlineStr">
        <is>
          <t>AAVE/USDT</t>
        </is>
      </c>
      <c r="F24" s="321" t="n">
        <v>12</v>
      </c>
      <c r="G24" s="322" t="n">
        <v>198.396</v>
      </c>
      <c r="H24" s="271">
        <f>IF(AND(ISNUMBER(F24),ISNUMBER(G24)),F24*G24,"")</f>
        <v/>
      </c>
      <c r="I24" s="321" t="n">
        <v>12</v>
      </c>
      <c r="J24" s="322" t="n">
        <v>205.588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L-0024</t>
        </is>
      </c>
      <c r="C25" s="314" t="n">
        <v>46304</v>
      </c>
      <c r="D25" s="313" t="inlineStr">
        <is>
          <t>OKX</t>
        </is>
      </c>
      <c r="E25" s="315" t="inlineStr">
        <is>
          <t>ETH/USDT</t>
        </is>
      </c>
      <c r="F25" s="316" t="n">
        <v>1.5</v>
      </c>
      <c r="G25" s="317" t="n">
        <v>3196.38</v>
      </c>
      <c r="H25" s="271">
        <f>IF(AND(ISNUMBER(F25),ISNUMBER(G25)),F25*G25,"")</f>
        <v/>
      </c>
      <c r="I25" s="316" t="n">
        <v>1.5</v>
      </c>
      <c r="J25" s="317" t="n">
        <v>3258.47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L-0025</t>
        </is>
      </c>
      <c r="C26" s="319" t="n">
        <v>46304</v>
      </c>
      <c r="D26" s="318" t="inlineStr">
        <is>
          <t>Binance</t>
        </is>
      </c>
      <c r="E26" s="320" t="inlineStr">
        <is>
          <t>LTC/USDT</t>
        </is>
      </c>
      <c r="F26" s="321" t="n">
        <v>40</v>
      </c>
      <c r="G26" s="322" t="n">
        <v>88.176</v>
      </c>
      <c r="H26" s="271">
        <f>IF(AND(ISNUMBER(F26),ISNUMBER(G26)),F26*G26,"")</f>
        <v/>
      </c>
      <c r="I26" s="321" t="n">
        <v>40</v>
      </c>
      <c r="J26" s="322" t="n">
        <v>90.818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L-0026</t>
        </is>
      </c>
      <c r="C27" s="314" t="n">
        <v>46304</v>
      </c>
      <c r="D27" s="313" t="inlineStr">
        <is>
          <t>Binance</t>
        </is>
      </c>
      <c r="E27" s="315" t="inlineStr">
        <is>
          <t>BNB/ETH</t>
        </is>
      </c>
      <c r="F27" s="316" t="n">
        <v>5</v>
      </c>
      <c r="G27" s="317" t="n">
        <v>0.186372</v>
      </c>
      <c r="H27" s="271">
        <f>IF(AND(ISNUMBER(F27),ISNUMBER(G27)),F27*G27,"")</f>
        <v/>
      </c>
      <c r="I27" s="316" t="n">
        <v>5</v>
      </c>
      <c r="J27" s="317" t="n">
        <v>0.188622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L-0027</t>
        </is>
      </c>
      <c r="C28" s="319" t="n">
        <v>46304</v>
      </c>
      <c r="D28" s="318" t="inlineStr">
        <is>
          <t>Bybit</t>
        </is>
      </c>
      <c r="E28" s="320" t="inlineStr">
        <is>
          <t>CAKE/BTC</t>
        </is>
      </c>
      <c r="F28" s="321" t="n">
        <v>300</v>
      </c>
      <c r="G28" s="322" t="n">
        <v>3.858e-05</v>
      </c>
      <c r="H28" s="271">
        <f>IF(AND(ISNUMBER(F28),ISNUMBER(G28)),F28*G28,"")</f>
        <v/>
      </c>
      <c r="I28" s="321" t="n">
        <v>300</v>
      </c>
      <c r="J28" s="322" t="n">
        <v>3.942e-05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L-0028</t>
        </is>
      </c>
      <c r="C29" s="314" t="n">
        <v>46304</v>
      </c>
      <c r="D29" s="313" t="inlineStr">
        <is>
          <t>AAVE</t>
        </is>
      </c>
      <c r="E29" s="315" t="inlineStr">
        <is>
          <t>ETH/BTC</t>
        </is>
      </c>
      <c r="F29" s="316" t="n">
        <v>1.5</v>
      </c>
      <c r="G29" s="317" t="n">
        <v>0.0513024</v>
      </c>
      <c r="H29" s="271">
        <f>IF(AND(ISNUMBER(F29),ISNUMBER(G29)),F29*G29,"")</f>
        <v/>
      </c>
      <c r="I29" s="316" t="n">
        <v>1.5</v>
      </c>
      <c r="J29" s="317" t="n">
        <v>0.0516964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L-0029</t>
        </is>
      </c>
      <c r="C30" s="319" t="n">
        <v>46304</v>
      </c>
      <c r="D30" s="318" t="inlineStr">
        <is>
          <t>OKX</t>
        </is>
      </c>
      <c r="E30" s="320" t="inlineStr">
        <is>
          <t>BNB/ETH</t>
        </is>
      </c>
      <c r="F30" s="321" t="n">
        <v>4</v>
      </c>
      <c r="G30" s="322" t="n">
        <v>0.187374</v>
      </c>
      <c r="H30" s="271">
        <f>IF(AND(ISNUMBER(F30),ISNUMBER(G30)),F30*G30,"")</f>
        <v/>
      </c>
      <c r="I30" s="321" t="n">
        <v>4</v>
      </c>
      <c r="J30" s="322" t="n">
        <v>0.190119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L-0030</t>
        </is>
      </c>
      <c r="C31" s="314" t="n">
        <v>46304</v>
      </c>
      <c r="D31" s="313" t="inlineStr">
        <is>
          <t>Binance</t>
        </is>
      </c>
      <c r="E31" s="315" t="inlineStr">
        <is>
          <t>BTC/USDT</t>
        </is>
      </c>
      <c r="F31" s="316" t="n">
        <v>0.06</v>
      </c>
      <c r="G31" s="317" t="n">
        <v>62023.8</v>
      </c>
      <c r="H31" s="271">
        <f>IF(AND(ISNUMBER(F31),ISNUMBER(G31)),F31*G31,"")</f>
        <v/>
      </c>
      <c r="I31" s="316" t="n">
        <v>0.06</v>
      </c>
      <c r="J31" s="317" t="n">
        <v>62574.6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T-0028</t>
        </is>
      </c>
      <c r="C32" s="319" t="n">
        <v>46303</v>
      </c>
      <c r="D32" s="318" t="inlineStr">
        <is>
          <t>Binance</t>
        </is>
      </c>
      <c r="E32" s="320" t="inlineStr">
        <is>
          <t>ADA/USDT</t>
        </is>
      </c>
      <c r="F32" s="321" t="n">
        <v>40</v>
      </c>
      <c r="G32" s="322" t="n">
        <v>0.6012</v>
      </c>
      <c r="H32" s="271">
        <f>IF(AND(ISNUMBER(F32),ISNUMBER(G32)),F32*G32,"")</f>
        <v/>
      </c>
      <c r="I32" s="321" t="n">
        <v>40</v>
      </c>
      <c r="J32" s="322" t="n">
        <v>0.65868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T-0029</t>
        </is>
      </c>
      <c r="C33" s="314" t="n">
        <v>46303</v>
      </c>
      <c r="D33" s="313" t="inlineStr">
        <is>
          <t>Bybit</t>
        </is>
      </c>
      <c r="E33" s="315" t="inlineStr">
        <is>
          <t>SOL/USDT</t>
        </is>
      </c>
      <c r="F33" s="316" t="n">
        <v>10</v>
      </c>
      <c r="G33" s="317" t="n">
        <v>150.3</v>
      </c>
      <c r="H33" s="271">
        <f>IF(AND(ISNUMBER(F33),ISNUMBER(G33)),F33*G33,"")</f>
        <v/>
      </c>
      <c r="I33" s="316" t="n">
        <v>10</v>
      </c>
      <c r="J33" s="317" t="n">
        <v>154.69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T-0029</t>
        </is>
      </c>
      <c r="C34" s="319" t="n">
        <v>46304</v>
      </c>
      <c r="D34" s="318" t="inlineStr">
        <is>
          <t>Bybit</t>
        </is>
      </c>
      <c r="E34" s="320" t="inlineStr">
        <is>
          <t>SOL/USDT</t>
        </is>
      </c>
      <c r="F34" s="321" t="n">
        <v>8</v>
      </c>
      <c r="G34" s="322" t="n">
        <v>150.3</v>
      </c>
      <c r="H34" s="271">
        <f>IF(AND(ISNUMBER(F34),ISNUMBER(G34)),F34*G34,"")</f>
        <v/>
      </c>
      <c r="I34" s="321" t="n">
        <v>8</v>
      </c>
      <c r="J34" s="322" t="n">
        <v>157.684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T-0028</t>
        </is>
      </c>
      <c r="C35" s="314" t="n">
        <v>46304</v>
      </c>
      <c r="D35" s="313" t="inlineStr">
        <is>
          <t>Binance</t>
        </is>
      </c>
      <c r="E35" s="315" t="inlineStr">
        <is>
          <t>ADA/USDT</t>
        </is>
      </c>
      <c r="F35" s="316" t="n">
        <v>110</v>
      </c>
      <c r="G35" s="317" t="n">
        <v>0.61941818</v>
      </c>
      <c r="H35" s="271">
        <f>IF(AND(ISNUMBER(F35),ISNUMBER(G35)),F35*G35,"")</f>
        <v/>
      </c>
      <c r="I35" s="316" t="n">
        <v>110</v>
      </c>
      <c r="J35" s="317" t="n">
        <v>0.6986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IF($B5="","",IF(SUMIFS('ИТОГО Торговля'!$C$5:$C$300,'ИТОГО Торговля'!$B$5:$B$300,$B5)+SUMIFS('ИТОГО Лэндинг'!$C$5:$C$300,'ИТОГО Лэндинг'!$B$5:$B$300,$B5)=0,"",SUMIFS('ИТОГО Торговля'!$C$5:$C$300,'ИТОГО Торговля'!$B$5:$B$300,$B5)+SUMIFS('ИТОГО Лэндинг'!$C$5:$C$300,'ИТОГО Лэндинг'!$B$5:$B$300,$B5)))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Лэндинг'!$B$5:$B$300,$B5)=0,"",SUMIFS('ИТОГО Торговля'!$F$5:$F$300,'ИТОГО Торговля'!$B$5:$B$300,$B5)+SUMIFS('ИТОГО Лэндинг'!$F$5:$F$300,'ИТОГО Лэндинг'!$B$5:$B$300,$B5)))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Лэндинг'!$B$5:$B$300,$B5),8))</f>
        <v/>
      </c>
      <c r="L5" s="177">
        <f>IF(K5="","",IF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/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AAVE/USDT</t>
        </is>
      </c>
      <c r="C6" s="246">
        <f>IF($B6="","",IF(SUMIFS('ИТОГО Торговля'!$C$5:$C$300,'ИТОГО Торговля'!$B$5:$B$300,$B6)+SUMIFS('ИТОГО Лэндинг'!$C$5:$C$300,'ИТОГО Лэндинг'!$B$5:$B$300,$B6)=0,"",SUMIFS('ИТОГО Торговля'!$C$5:$C$300,'ИТОГО Торговля'!$B$5:$B$300,$B6)+SUMIFS('ИТОГО Лэндинг'!$C$5:$C$300,'ИТОГО Лэндинг'!$B$5:$B$300,$B6)))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Лэндинг'!$B$5:$B$300,$B6)=0,"",SUMIFS('ИТОГО Торговля'!$F$5:$F$300,'ИТОГО Торговля'!$B$5:$B$300,$B6)+SUMIFS('ИТОГО Лэндинг'!$F$5:$F$300,'ИТОГО Лэндинг'!$B$5:$B$300,$B6)))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Лэндинг'!$B$5:$B$300,$B6),8))</f>
        <v/>
      </c>
      <c r="L6" s="183">
        <f>IF(K6="","",IF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/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ADA/USDT</t>
        </is>
      </c>
      <c r="C7" s="240">
        <f>IF($B7="","",IF(SUMIFS('ИТОГО Торговля'!$C$5:$C$300,'ИТОГО Торговля'!$B$5:$B$300,$B7)+SUMIFS('ИТОГО Лэндинг'!$C$5:$C$300,'ИТОГО Лэндинг'!$B$5:$B$300,$B7)=0,"",SUMIFS('ИТОГО Торговля'!$C$5:$C$300,'ИТОГО Торговля'!$B$5:$B$300,$B7)+SUMIFS('ИТОГО Лэндинг'!$C$5:$C$300,'ИТОГО Лэндинг'!$B$5:$B$300,$B7)))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Лэндинг'!$B$5:$B$300,$B7)=0,"",SUMIFS('ИТОГО Торговля'!$F$5:$F$300,'ИТОГО Торговля'!$B$5:$B$300,$B7)+SUMIFS('ИТОГО Лэндинг'!$F$5:$F$300,'ИТОГО Лэндинг'!$B$5:$B$300,$B7)))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Лэндинг'!$B$5:$B$300,$B7),8))</f>
        <v/>
      </c>
      <c r="L7" s="177">
        <f>IF(K7="","",IF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/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BNB/BTC</t>
        </is>
      </c>
      <c r="C8" s="246">
        <f>IF($B8="","",IF(SUMIFS('ИТОГО Торговля'!$C$5:$C$300,'ИТОГО Торговля'!$B$5:$B$300,$B8)+SUMIFS('ИТОГО Лэндинг'!$C$5:$C$300,'ИТОГО Лэндинг'!$B$5:$B$300,$B8)=0,"",SUMIFS('ИТОГО Торговля'!$C$5:$C$300,'ИТОГО Торговля'!$B$5:$B$300,$B8)+SUMIFS('ИТОГО Лэндинг'!$C$5:$C$300,'ИТОГО Лэндинг'!$B$5:$B$300,$B8)))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Лэндинг'!$B$5:$B$300,$B8)=0,"",SUMIFS('ИТОГО Торговля'!$F$5:$F$300,'ИТОГО Торговля'!$B$5:$B$300,$B8)+SUMIFS('ИТОГО Лэндинг'!$F$5:$F$300,'ИТОГО Лэндинг'!$B$5:$B$300,$B8)))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Лэндинг'!$B$5:$B$300,$B8),8))</f>
        <v/>
      </c>
      <c r="L8" s="183">
        <f>IF(K8="","",IF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/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BNB/ETH</t>
        </is>
      </c>
      <c r="C9" s="240">
        <f>IF($B9="","",IF(SUMIFS('ИТОГО Торговля'!$C$5:$C$300,'ИТОГО Торговля'!$B$5:$B$300,$B9)+SUMIFS('ИТОГО Лэндинг'!$C$5:$C$300,'ИТОГО Лэндинг'!$B$5:$B$300,$B9)=0,"",SUMIFS('ИТОГО Торговля'!$C$5:$C$300,'ИТОГО Торговля'!$B$5:$B$300,$B9)+SUMIFS('ИТОГО Лэндинг'!$C$5:$C$300,'ИТОГО Лэндинг'!$B$5:$B$300,$B9)))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Лэндинг'!$B$5:$B$300,$B9)=0,"",SUMIFS('ИТОГО Торговля'!$F$5:$F$300,'ИТОГО Торговля'!$B$5:$B$300,$B9)+SUMIFS('ИТОГО Лэндинг'!$F$5:$F$300,'ИТОГО Лэндинг'!$B$5:$B$300,$B9)))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Лэндинг'!$B$5:$B$300,$B9),8))</f>
        <v/>
      </c>
      <c r="L9" s="177">
        <f>IF(K9="","",IF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/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BNB/USDT</t>
        </is>
      </c>
      <c r="C10" s="246">
        <f>IF($B10="","",IF(SUMIFS('ИТОГО Торговля'!$C$5:$C$300,'ИТОГО Торговля'!$B$5:$B$300,$B10)+SUMIFS('ИТОГО Лэндинг'!$C$5:$C$300,'ИТОГО Лэндинг'!$B$5:$B$300,$B10)=0,"",SUMIFS('ИТОГО Торговля'!$C$5:$C$300,'ИТОГО Торговля'!$B$5:$B$300,$B10)+SUMIFS('ИТОГО Лэндинг'!$C$5:$C$300,'ИТОГО Лэндинг'!$B$5:$B$300,$B10)))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Лэндинг'!$B$5:$B$300,$B10)=0,"",SUMIFS('ИТОГО Торговля'!$F$5:$F$300,'ИТОГО Торговля'!$B$5:$B$300,$B10)+SUMIFS('ИТОГО Лэндинг'!$F$5:$F$300,'ИТОГО Лэндинг'!$B$5:$B$300,$B10)))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Лэндинг'!$B$5:$B$300,$B10),8))</f>
        <v/>
      </c>
      <c r="L10" s="183">
        <f>IF(K10="","",IF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/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BTC/USDT</t>
        </is>
      </c>
      <c r="C11" s="240">
        <f>IF($B11="","",IF(SUMIFS('ИТОГО Торговля'!$C$5:$C$300,'ИТОГО Торговля'!$B$5:$B$300,$B11)+SUMIFS('ИТОГО Лэндинг'!$C$5:$C$300,'ИТОГО Лэндинг'!$B$5:$B$300,$B11)=0,"",SUMIFS('ИТОГО Торговля'!$C$5:$C$300,'ИТОГО Торговля'!$B$5:$B$300,$B11)+SUMIFS('ИТОГО Лэндинг'!$C$5:$C$300,'ИТОГО Лэндинг'!$B$5:$B$300,$B11)))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Лэндинг'!$B$5:$B$300,$B11)=0,"",SUMIFS('ИТОГО Торговля'!$F$5:$F$300,'ИТОГО Торговля'!$B$5:$B$300,$B11)+SUMIFS('ИТОГО Лэндинг'!$F$5:$F$300,'ИТОГО Лэндинг'!$B$5:$B$300,$B11)))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Лэндинг'!$B$5:$B$300,$B11),8))</f>
        <v/>
      </c>
      <c r="L11" s="177">
        <f>IF(K11="","",IF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/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CAKE/BTC</t>
        </is>
      </c>
      <c r="C12" s="246">
        <f>IF($B12="","",IF(SUMIFS('ИТОГО Торговля'!$C$5:$C$300,'ИТОГО Торговля'!$B$5:$B$300,$B12)+SUMIFS('ИТОГО Лэндинг'!$C$5:$C$300,'ИТОГО Лэндинг'!$B$5:$B$300,$B12)=0,"",SUMIFS('ИТОГО Торговля'!$C$5:$C$300,'ИТОГО Торговля'!$B$5:$B$300,$B12)+SUMIFS('ИТОГО Лэндинг'!$C$5:$C$300,'ИТОГО Лэндинг'!$B$5:$B$300,$B12)))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Лэндинг'!$B$5:$B$300,$B12)=0,"",SUMIFS('ИТОГО Торговля'!$F$5:$F$300,'ИТОГО Торговля'!$B$5:$B$300,$B12)+SUMIFS('ИТОГО Лэндинг'!$F$5:$F$300,'ИТОГО Лэндинг'!$B$5:$B$300,$B12)))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Лэндинг'!$B$5:$B$300,$B12),8))</f>
        <v/>
      </c>
      <c r="L12" s="183">
        <f>IF(K12="","",IF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/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CAKE/ETH</t>
        </is>
      </c>
      <c r="C13" s="240">
        <f>IF($B13="","",IF(SUMIFS('ИТОГО Торговля'!$C$5:$C$300,'ИТОГО Торговля'!$B$5:$B$300,$B13)+SUMIFS('ИТОГО Лэндинг'!$C$5:$C$300,'ИТОГО Лэндинг'!$B$5:$B$300,$B13)=0,"",SUMIFS('ИТОГО Торговля'!$C$5:$C$300,'ИТОГО Торговля'!$B$5:$B$300,$B13)+SUMIFS('ИТОГО Лэндинг'!$C$5:$C$300,'ИТОГО Лэндинг'!$B$5:$B$300,$B13)))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Лэндинг'!$B$5:$B$300,$B13)=0,"",SUMIFS('ИТОГО Торговля'!$F$5:$F$300,'ИТОГО Торговля'!$B$5:$B$300,$B13)+SUMIFS('ИТОГО Лэндинг'!$F$5:$F$300,'ИТОГО Лэндинг'!$B$5:$B$300,$B13)))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Лэндинг'!$B$5:$B$300,$B13),8))</f>
        <v/>
      </c>
      <c r="L13" s="177">
        <f>IF(K13="","",IF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/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DASH/BTC</t>
        </is>
      </c>
      <c r="C14" s="246">
        <f>IF($B14="","",IF(SUMIFS('ИТОГО Торговля'!$C$5:$C$300,'ИТОГО Торговля'!$B$5:$B$300,$B14)+SUMIFS('ИТОГО Лэндинг'!$C$5:$C$300,'ИТОГО Лэндинг'!$B$5:$B$300,$B14)=0,"",SUMIFS('ИТОГО Торговля'!$C$5:$C$300,'ИТОГО Торговля'!$B$5:$B$300,$B14)+SUMIFS('ИТОГО Лэндинг'!$C$5:$C$300,'ИТОГО Лэндинг'!$B$5:$B$300,$B14)))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Лэндинг'!$B$5:$B$300,$B14)=0,"",SUMIFS('ИТОГО Торговля'!$F$5:$F$300,'ИТОГО Торговля'!$B$5:$B$300,$B14)+SUMIFS('ИТОГО Лэндинг'!$F$5:$F$300,'ИТОГО Лэндинг'!$B$5:$B$300,$B14)))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Лэндинг'!$B$5:$B$300,$B14),8))</f>
        <v/>
      </c>
      <c r="L14" s="183">
        <f>IF(K14="","",IF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/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DASH/LTC</t>
        </is>
      </c>
      <c r="C15" s="240">
        <f>IF($B15="","",IF(SUMIFS('ИТОГО Торговля'!$C$5:$C$300,'ИТОГО Торговля'!$B$5:$B$300,$B15)+SUMIFS('ИТОГО Лэндинг'!$C$5:$C$300,'ИТОГО Лэндинг'!$B$5:$B$300,$B15)=0,"",SUMIFS('ИТОГО Торговля'!$C$5:$C$300,'ИТОГО Торговля'!$B$5:$B$300,$B15)+SUMIFS('ИТОГО Лэндинг'!$C$5:$C$300,'ИТОГО Лэндинг'!$B$5:$B$300,$B15)))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Лэндинг'!$B$5:$B$300,$B15)=0,"",SUMIFS('ИТОГО Торговля'!$F$5:$F$300,'ИТОГО Торговля'!$B$5:$B$300,$B15)+SUMIFS('ИТОГО Лэндинг'!$F$5:$F$300,'ИТОГО Лэндинг'!$B$5:$B$300,$B15)))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Лэндинг'!$B$5:$B$300,$B15),8))</f>
        <v/>
      </c>
      <c r="L15" s="177">
        <f>IF(K15="","",IF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/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DOGE/BTC</t>
        </is>
      </c>
      <c r="C16" s="246">
        <f>IF($B16="","",IF(SUMIFS('ИТОГО Торговля'!$C$5:$C$300,'ИТОГО Торговля'!$B$5:$B$300,$B16)+SUMIFS('ИТОГО Лэндинг'!$C$5:$C$300,'ИТОГО Лэндинг'!$B$5:$B$300,$B16)=0,"",SUMIFS('ИТОГО Торговля'!$C$5:$C$300,'ИТОГО Торговля'!$B$5:$B$300,$B16)+SUMIFS('ИТОГО Лэндинг'!$C$5:$C$300,'ИТОГО Лэндинг'!$B$5:$B$300,$B16)))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Лэндинг'!$B$5:$B$300,$B16)=0,"",SUMIFS('ИТОГО Торговля'!$F$5:$F$300,'ИТОГО Торговля'!$B$5:$B$300,$B16)+SUMIFS('ИТОГО Лэндинг'!$F$5:$F$300,'ИТОГО Лэндинг'!$B$5:$B$300,$B16)))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Лэндинг'!$B$5:$B$300,$B16),8))</f>
        <v/>
      </c>
      <c r="L16" s="183">
        <f>IF(K16="","",IF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/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DOGE/USDT</t>
        </is>
      </c>
      <c r="C17" s="240">
        <f>IF($B17="","",IF(SUMIFS('ИТОГО Торговля'!$C$5:$C$300,'ИТОГО Торговля'!$B$5:$B$300,$B17)+SUMIFS('ИТОГО Лэндинг'!$C$5:$C$300,'ИТОГО Лэндинг'!$B$5:$B$300,$B17)=0,"",SUMIFS('ИТОГО Торговля'!$C$5:$C$300,'ИТОГО Торговля'!$B$5:$B$300,$B17)+SUMIFS('ИТОГО Лэндинг'!$C$5:$C$300,'ИТОГО Лэндинг'!$B$5:$B$300,$B17)))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Лэндинг'!$B$5:$B$300,$B17)=0,"",SUMIFS('ИТОГО Торговля'!$F$5:$F$300,'ИТОГО Торговля'!$B$5:$B$300,$B17)+SUMIFS('ИТОГО Лэндинг'!$F$5:$F$300,'ИТОГО Лэндинг'!$B$5:$B$300,$B17)))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Лэндинг'!$B$5:$B$300,$B17),8))</f>
        <v/>
      </c>
      <c r="L17" s="177">
        <f>IF(K17="","",IF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/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ETH/BTC</t>
        </is>
      </c>
      <c r="C18" s="246">
        <f>IF($B18="","",IF(SUMIFS('ИТОГО Торговля'!$C$5:$C$300,'ИТОГО Торговля'!$B$5:$B$300,$B18)+SUMIFS('ИТОГО Лэндинг'!$C$5:$C$300,'ИТОГО Лэндинг'!$B$5:$B$300,$B18)=0,"",SUMIFS('ИТОГО Торговля'!$C$5:$C$300,'ИТОГО Торговля'!$B$5:$B$300,$B18)+SUMIFS('ИТОГО Лэндинг'!$C$5:$C$300,'ИТОГО Лэндинг'!$B$5:$B$300,$B18)))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Лэндинг'!$B$5:$B$300,$B18)=0,"",SUMIFS('ИТОГО Торговля'!$F$5:$F$300,'ИТОГО Торговля'!$B$5:$B$300,$B18)+SUMIFS('ИТОГО Лэндинг'!$F$5:$F$300,'ИТОГО Лэндинг'!$B$5:$B$300,$B18)))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Лэндинг'!$B$5:$B$300,$B18),8))</f>
        <v/>
      </c>
      <c r="L18" s="183">
        <f>IF(K18="","",IF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/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ETH/USDT</t>
        </is>
      </c>
      <c r="C19" s="240">
        <f>IF($B19="","",IF(SUMIFS('ИТОГО Торговля'!$C$5:$C$300,'ИТОГО Торговля'!$B$5:$B$300,$B19)+SUMIFS('ИТОГО Лэндинг'!$C$5:$C$300,'ИТОГО Лэндинг'!$B$5:$B$300,$B19)=0,"",SUMIFS('ИТОГО Торговля'!$C$5:$C$300,'ИТОГО Торговля'!$B$5:$B$300,$B19)+SUMIFS('ИТОГО Лэндинг'!$C$5:$C$300,'ИТОГО Лэндинг'!$B$5:$B$300,$B19)))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Лэндинг'!$B$5:$B$300,$B19)=0,"",SUMIFS('ИТОГО Торговля'!$F$5:$F$300,'ИТОГО Торговля'!$B$5:$B$300,$B19)+SUMIFS('ИТОГО Лэндинг'!$F$5:$F$300,'ИТОГО Лэндинг'!$B$5:$B$300,$B19)))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Лэндинг'!$B$5:$B$300,$B19),8))</f>
        <v/>
      </c>
      <c r="L19" s="177">
        <f>IF(K19="","",IF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/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LINK/ETH</t>
        </is>
      </c>
      <c r="C20" s="246">
        <f>IF($B20="","",IF(SUMIFS('ИТОГО Торговля'!$C$5:$C$300,'ИТОГО Торговля'!$B$5:$B$300,$B20)+SUMIFS('ИТОГО Лэндинг'!$C$5:$C$300,'ИТОГО Лэндинг'!$B$5:$B$300,$B20)=0,"",SUMIFS('ИТОГО Торговля'!$C$5:$C$300,'ИТОГО Торговля'!$B$5:$B$300,$B20)+SUMIFS('ИТОГО Лэндинг'!$C$5:$C$300,'ИТОГО Лэндинг'!$B$5:$B$300,$B20)))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Лэндинг'!$B$5:$B$300,$B20)=0,"",SUMIFS('ИТОГО Торговля'!$F$5:$F$300,'ИТОГО Торговля'!$B$5:$B$300,$B20)+SUMIFS('ИТОГО Лэндинг'!$F$5:$F$300,'ИТОГО Лэндинг'!$B$5:$B$300,$B20)))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Лэндинг'!$B$5:$B$300,$B20),8))</f>
        <v/>
      </c>
      <c r="L20" s="183">
        <f>IF(K20="","",IF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/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LTC/BCH</t>
        </is>
      </c>
      <c r="C21" s="240">
        <f>IF($B21="","",IF(SUMIFS('ИТОГО Торговля'!$C$5:$C$300,'ИТОГО Торговля'!$B$5:$B$300,$B21)+SUMIFS('ИТОГО Лэндинг'!$C$5:$C$300,'ИТОГО Лэндинг'!$B$5:$B$300,$B21)=0,"",SUMIFS('ИТОГО Торговля'!$C$5:$C$300,'ИТОГО Торговля'!$B$5:$B$300,$B21)+SUMIFS('ИТОГО Лэндинг'!$C$5:$C$300,'ИТОГО Лэндинг'!$B$5:$B$300,$B21)))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Лэндинг'!$B$5:$B$300,$B21)=0,"",SUMIFS('ИТОГО Торговля'!$F$5:$F$300,'ИТОГО Торговля'!$B$5:$B$300,$B21)+SUMIFS('ИТОГО Лэндинг'!$F$5:$F$300,'ИТОГО Лэндинг'!$B$5:$B$300,$B21)))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Лэндинг'!$B$5:$B$300,$B21),8))</f>
        <v/>
      </c>
      <c r="L21" s="177">
        <f>IF(K21="","",IF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/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LTC/USDT</t>
        </is>
      </c>
      <c r="C22" s="246">
        <f>IF($B22="","",IF(SUMIFS('ИТОГО Торговля'!$C$5:$C$300,'ИТОГО Торговля'!$B$5:$B$300,$B22)+SUMIFS('ИТОГО Лэндинг'!$C$5:$C$300,'ИТОГО Лэндинг'!$B$5:$B$300,$B22)=0,"",SUMIFS('ИТОГО Торговля'!$C$5:$C$300,'ИТОГО Торговля'!$B$5:$B$300,$B22)+SUMIFS('ИТОГО Лэндинг'!$C$5:$C$300,'ИТОГО Лэндинг'!$B$5:$B$300,$B22)))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Лэндинг'!$B$5:$B$300,$B22)=0,"",SUMIFS('ИТОГО Торговля'!$F$5:$F$300,'ИТОГО Торговля'!$B$5:$B$300,$B22)+SUMIFS('ИТОГО Лэндинг'!$F$5:$F$300,'ИТОГО Лэндинг'!$B$5:$B$300,$B22)))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Лэндинг'!$B$5:$B$300,$B22),8))</f>
        <v/>
      </c>
      <c r="L22" s="183">
        <f>IF(K22="","",IF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/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SOL/USDT</t>
        </is>
      </c>
      <c r="C23" s="240">
        <f>IF($B23="","",IF(SUMIFS('ИТОГО Торговля'!$C$5:$C$300,'ИТОГО Торговля'!$B$5:$B$300,$B23)+SUMIFS('ИТОГО Лэндинг'!$C$5:$C$300,'ИТОГО Лэндинг'!$B$5:$B$300,$B23)=0,"",SUMIFS('ИТОГО Торговля'!$C$5:$C$300,'ИТОГО Торговля'!$B$5:$B$300,$B23)+SUMIFS('ИТОГО Лэндинг'!$C$5:$C$300,'ИТОГО Лэндинг'!$B$5:$B$300,$B23)))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Лэндинг'!$B$5:$B$300,$B23)=0,"",SUMIFS('ИТОГО Торговля'!$F$5:$F$300,'ИТОГО Торговля'!$B$5:$B$300,$B23)+SUMIFS('ИТОГО Лэндинг'!$F$5:$F$300,'ИТОГО Лэндинг'!$B$5:$B$300,$B23)))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Лэндинг'!$B$5:$B$300,$B23),8))</f>
        <v/>
      </c>
      <c r="L23" s="177">
        <f>IF(K23="","",IF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/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XRP/TRX</t>
        </is>
      </c>
      <c r="C24" s="246">
        <f>IF($B24="","",IF(SUMIFS('ИТОГО Торговля'!$C$5:$C$300,'ИТОГО Торговля'!$B$5:$B$300,$B24)+SUMIFS('ИТОГО Лэндинг'!$C$5:$C$300,'ИТОГО Лэндинг'!$B$5:$B$300,$B24)=0,"",SUMIFS('ИТОГО Торговля'!$C$5:$C$300,'ИТОГО Торговля'!$B$5:$B$300,$B24)+SUMIFS('ИТОГО Лэндинг'!$C$5:$C$300,'ИТОГО Лэндинг'!$B$5:$B$300,$B24)))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Лэндинг'!$B$5:$B$300,$B24)=0,"",SUMIFS('ИТОГО Торговля'!$F$5:$F$300,'ИТОГО Торговля'!$B$5:$B$300,$B24)+SUMIFS('ИТОГО Лэндинг'!$F$5:$F$300,'ИТОГО Лэндинг'!$B$5:$B$300,$B24)))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Лэндинг'!$B$5:$B$300,$B24),8))</f>
        <v/>
      </c>
      <c r="L24" s="183">
        <f>IF(K24="","",IF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/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XRP/USDT</t>
        </is>
      </c>
      <c r="C25" s="240">
        <f>IF($B25="","",IF(SUMIFS('ИТОГО Торговля'!$C$5:$C$300,'ИТОГО Торговля'!$B$5:$B$300,$B25)+SUMIFS('ИТОГО Лэндинг'!$C$5:$C$300,'ИТОГО Лэндинг'!$B$5:$B$300,$B25)=0,"",SUMIFS('ИТОГО Торговля'!$C$5:$C$300,'ИТОГО Торговля'!$B$5:$B$300,$B25)+SUMIFS('ИТОГО Лэндинг'!$C$5:$C$300,'ИТОГО Лэндинг'!$B$5:$B$300,$B25)))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Лэндинг'!$B$5:$B$300,$B25)=0,"",SUMIFS('ИТОГО Торговля'!$F$5:$F$300,'ИТОГО Торговля'!$B$5:$B$300,$B25)+SUMIFS('ИТОГО Лэндинг'!$F$5:$F$300,'ИТОГО Лэндинг'!$B$5:$B$300,$B25)))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Лэндинг'!$B$5:$B$300,$B25),8))</f>
        <v/>
      </c>
      <c r="L25" s="177">
        <f>IF(K25="","",IF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/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Лэндинг'!$B$5:$B$300,$B26)=0,"",SUMIFS('ИТОГО Торговля'!$C$5:$C$300,'ИТОГО Торговля'!$B$5:$B$300,$B26)+SUMIFS('ИТОГО Лэндинг'!$C$5:$C$300,'ИТОГО Лэндинг'!$B$5:$B$300,$B26)))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Лэндинг'!$B$5:$B$300,$B26)=0,"",SUMIFS('ИТОГО Торговля'!$F$5:$F$300,'ИТОГО Торговля'!$B$5:$B$300,$B26)+SUMIFS('ИТОГО Лэндинг'!$F$5:$F$300,'ИТОГО Лэндинг'!$B$5:$B$300,$B26)))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Лэндинг'!$B$5:$B$300,$B26),8))</f>
        <v/>
      </c>
      <c r="L26" s="183">
        <f>IF(K26="","",IF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/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Лэндинг'!$B$5:$B$300,$B27)=0,"",SUMIFS('ИТОГО Торговля'!$C$5:$C$300,'ИТОГО Торговля'!$B$5:$B$300,$B27)+SUMIFS('ИТОГО Лэндинг'!$C$5:$C$300,'ИТОГО Лэндинг'!$B$5:$B$300,$B27)))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Лэндинг'!$B$5:$B$300,$B27)=0,"",SUMIFS('ИТОГО Торговля'!$F$5:$F$300,'ИТОГО Торговля'!$B$5:$B$300,$B27)+SUMIFS('ИТОГО Лэндинг'!$F$5:$F$300,'ИТОГО Лэндинг'!$B$5:$B$300,$B27)))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Лэндинг'!$B$5:$B$300,$B27),8))</f>
        <v/>
      </c>
      <c r="L27" s="177">
        <f>IF(K27="","",IF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/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Лэндинг'!$B$5:$B$300,$B28)=0,"",SUMIFS('ИТОГО Торговля'!$C$5:$C$300,'ИТОГО Торговля'!$B$5:$B$300,$B28)+SUMIFS('ИТОГО Лэндинг'!$C$5:$C$300,'ИТОГО Лэндинг'!$B$5:$B$300,$B28)))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Лэндинг'!$B$5:$B$300,$B28)=0,"",SUMIFS('ИТОГО Торговля'!$F$5:$F$300,'ИТОГО Торговля'!$B$5:$B$300,$B28)+SUMIFS('ИТОГО Лэндинг'!$F$5:$F$300,'ИТОГО Лэндинг'!$B$5:$B$300,$B28)))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Лэндинг'!$B$5:$B$300,$B28),8))</f>
        <v/>
      </c>
      <c r="L28" s="183">
        <f>IF(K28="","",IF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/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Лэндинг'!$B$5:$B$300,$B29)=0,"",SUMIFS('ИТОГО Торговля'!$C$5:$C$300,'ИТОГО Торговля'!$B$5:$B$300,$B29)+SUMIFS('ИТОГО Лэндинг'!$C$5:$C$300,'ИТОГО Лэндинг'!$B$5:$B$300,$B29)))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Лэндинг'!$B$5:$B$300,$B29)=0,"",SUMIFS('ИТОГО Торговля'!$F$5:$F$300,'ИТОГО Торговля'!$B$5:$B$300,$B29)+SUMIFS('ИТОГО Лэндинг'!$F$5:$F$300,'ИТОГО Лэндинг'!$B$5:$B$300,$B29)))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Лэндинг'!$B$5:$B$300,$B29),8))</f>
        <v/>
      </c>
      <c r="L29" s="177">
        <f>IF(K29="","",IF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/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Лэндинг'!$B$5:$B$300,$B30)=0,"",SUMIFS('ИТОГО Торговля'!$C$5:$C$300,'ИТОГО Торговля'!$B$5:$B$300,$B30)+SUMIFS('ИТОГО Лэндинг'!$C$5:$C$300,'ИТОГО Лэндинг'!$B$5:$B$300,$B30)))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Лэндинг'!$B$5:$B$300,$B30)=0,"",SUMIFS('ИТОГО Торговля'!$F$5:$F$300,'ИТОГО Торговля'!$B$5:$B$300,$B30)+SUMIFS('ИТОГО Лэндинг'!$F$5:$F$300,'ИТОГО Лэндинг'!$B$5:$B$300,$B30)))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Лэндинг'!$B$5:$B$300,$B30),8))</f>
        <v/>
      </c>
      <c r="L30" s="183">
        <f>IF(K30="","",IF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/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Лэндинг'!$B$5:$B$300,$B31)=0,"",SUMIFS('ИТОГО Торговля'!$C$5:$C$300,'ИТОГО Торговля'!$B$5:$B$300,$B31)+SUMIFS('ИТОГО Лэндинг'!$C$5:$C$300,'ИТОГО Лэндинг'!$B$5:$B$300,$B31)))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Лэндинг'!$B$5:$B$300,$B31)=0,"",SUMIFS('ИТОГО Торговля'!$F$5:$F$300,'ИТОГО Торговля'!$B$5:$B$300,$B31)+SUMIFS('ИТОГО Лэндинг'!$F$5:$F$300,'ИТОГО Лэндинг'!$B$5:$B$300,$B31)))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Лэндинг'!$B$5:$B$300,$B31),8))</f>
        <v/>
      </c>
      <c r="L31" s="177">
        <f>IF(K31="","",IF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31/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Лэндинг'!$B$5:$B$300,$B32)=0,"",SUMIFS('ИТОГО Торговля'!$C$5:$C$300,'ИТОГО Торговля'!$B$5:$B$300,$B32)+SUMIFS('ИТОГО Лэндинг'!$C$5:$C$300,'ИТОГО Лэндинг'!$B$5:$B$300,$B32)))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Лэндинг'!$B$5:$B$300,$B32)=0,"",SUMIFS('ИТОГО Торговля'!$F$5:$F$300,'ИТОГО Торговля'!$B$5:$B$300,$B32)+SUMIFS('ИТОГО Лэндинг'!$F$5:$F$300,'ИТОГО Лэндинг'!$B$5:$B$300,$B32)))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Лэндинг'!$B$5:$B$300,$B32),8))</f>
        <v/>
      </c>
      <c r="L32" s="183">
        <f>IF(K32="","",IF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32/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Лэндинг'!$B$5:$B$300,$B33)=0,"",SUMIFS('ИТОГО Торговля'!$C$5:$C$300,'ИТОГО Торговля'!$B$5:$B$300,$B33)+SUMIFS('ИТОГО Лэндинг'!$C$5:$C$300,'ИТОГО Лэндинг'!$B$5:$B$300,$B33)))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Лэндинг'!$B$5:$B$300,$B33)=0,"",SUMIFS('ИТОГО Торговля'!$F$5:$F$300,'ИТОГО Торговля'!$B$5:$B$300,$B33)+SUMIFS('ИТОГО Лэндинг'!$F$5:$F$300,'ИТОГО Лэндинг'!$B$5:$B$300,$B33)))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Лэндинг'!$B$5:$B$300,$B33),8))</f>
        <v/>
      </c>
      <c r="L33" s="177">
        <f>IF(K33="","",IF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33/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Лэндинг'!$B$5:$B$300,$B34)=0,"",SUMIFS('ИТОГО Торговля'!$C$5:$C$300,'ИТОГО Торговля'!$B$5:$B$300,$B34)+SUMIFS('ИТОГО Лэндинг'!$C$5:$C$300,'ИТОГО Лэндинг'!$B$5:$B$300,$B34)))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Лэндинг'!$B$5:$B$300,$B34)=0,"",SUMIFS('ИТОГО Торговля'!$F$5:$F$300,'ИТОГО Торговля'!$B$5:$B$300,$B34)+SUMIFS('ИТОГО Лэндинг'!$F$5:$F$300,'ИТОГО Лэндинг'!$B$5:$B$300,$B34)))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Лэндинг'!$B$5:$B$300,$B34),8))</f>
        <v/>
      </c>
      <c r="L34" s="183">
        <f>IF(K34="","",IF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34/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Лэндинг'!$B$5:$B$300,$B35)=0,"",SUMIFS('ИТОГО Торговля'!$C$5:$C$300,'ИТОГО Торговля'!$B$5:$B$300,$B35)+SUMIFS('ИТОГО Лэндинг'!$C$5:$C$300,'ИТОГО Лэндинг'!$B$5:$B$300,$B35)))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Лэндинг'!$B$5:$B$300,$B35)=0,"",SUMIFS('ИТОГО Торговля'!$F$5:$F$300,'ИТОГО Торговля'!$B$5:$B$300,$B35)+SUMIFS('ИТОГО Лэндинг'!$F$5:$F$300,'ИТОГО Лэндинг'!$B$5:$B$300,$B35)))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Лэндинг'!$B$5:$B$300,$B35),8))</f>
        <v/>
      </c>
      <c r="L35" s="177">
        <f>IF(K35="","",IF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35/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Лэндинг'!$B$5:$B$300,$B36)=0,"",SUMIFS('ИТОГО Торговля'!$C$5:$C$300,'ИТОГО Торговля'!$B$5:$B$300,$B36)+SUMIFS('ИТОГО Лэндинг'!$C$5:$C$300,'ИТОГО Лэндинг'!$B$5:$B$300,$B36)))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Лэндинг'!$B$5:$B$300,$B36)=0,"",SUMIFS('ИТОГО Торговля'!$F$5:$F$300,'ИТОГО Торговля'!$B$5:$B$300,$B36)+SUMIFS('ИТОГО Лэндинг'!$F$5:$F$300,'ИТОГО Лэндинг'!$B$5:$B$300,$B36)))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Лэндинг'!$B$5:$B$300,$B36),8))</f>
        <v/>
      </c>
      <c r="L36" s="183">
        <f>IF(K36="","",IF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36/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Лэндинг'!$B$5:$B$300,$B37)=0,"",SUMIFS('ИТОГО Торговля'!$C$5:$C$300,'ИТОГО Торговля'!$B$5:$B$300,$B37)+SUMIFS('ИТОГО Лэндинг'!$C$5:$C$300,'ИТОГО Лэндинг'!$B$5:$B$300,$B37)))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Лэндинг'!$B$5:$B$300,$B37)=0,"",SUMIFS('ИТОГО Торговля'!$F$5:$F$300,'ИТОГО Торговля'!$B$5:$B$300,$B37)+SUMIFS('ИТОГО Лэндинг'!$F$5:$F$300,'ИТОГО Лэндинг'!$B$5:$B$300,$B37)))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Лэндинг'!$B$5:$B$300,$B37),8))</f>
        <v/>
      </c>
      <c r="L37" s="177">
        <f>IF(K37="","",IF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37/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Лэндинг'!$B$5:$B$300,$B38)=0,"",SUMIFS('ИТОГО Торговля'!$C$5:$C$300,'ИТОГО Торговля'!$B$5:$B$300,$B38)+SUMIFS('ИТОГО Лэндинг'!$C$5:$C$300,'ИТОГО Лэндинг'!$B$5:$B$300,$B38)))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Лэндинг'!$B$5:$B$300,$B38)=0,"",SUMIFS('ИТОГО Торговля'!$F$5:$F$300,'ИТОГО Торговля'!$B$5:$B$300,$B38)+SUMIFS('ИТОГО Лэндинг'!$F$5:$F$300,'ИТОГО Лэндинг'!$B$5:$B$300,$B38)))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Лэндинг'!$B$5:$B$300,$B38),8))</f>
        <v/>
      </c>
      <c r="L38" s="183">
        <f>IF(K38="","",IF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38/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Лэндинг'!$B$5:$B$300,$B39)=0,"",SUMIFS('ИТОГО Торговля'!$C$5:$C$300,'ИТОГО Торговля'!$B$5:$B$300,$B39)+SUMIFS('ИТОГО Лэндинг'!$C$5:$C$300,'ИТОГО Лэндинг'!$B$5:$B$300,$B39)))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Лэндинг'!$B$5:$B$300,$B39)=0,"",SUMIFS('ИТОГО Торговля'!$F$5:$F$300,'ИТОГО Торговля'!$B$5:$B$300,$B39)+SUMIFS('ИТОГО Лэндинг'!$F$5:$F$300,'ИТОГО Лэндинг'!$B$5:$B$300,$B39)))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Лэндинг'!$B$5:$B$300,$B39),8))</f>
        <v/>
      </c>
      <c r="L39" s="177">
        <f>IF(K39="","",IF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39/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Лэндинг'!$B$5:$B$300,$B40)=0,"",SUMIFS('ИТОГО Торговля'!$C$5:$C$300,'ИТОГО Торговля'!$B$5:$B$300,$B40)+SUMIFS('ИТОГО Лэндинг'!$C$5:$C$300,'ИТОГО Лэндинг'!$B$5:$B$300,$B40)))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Лэндинг'!$B$5:$B$300,$B40)=0,"",SUMIFS('ИТОГО Торговля'!$F$5:$F$300,'ИТОГО Торговля'!$B$5:$B$300,$B40)+SUMIFS('ИТОГО Лэндинг'!$F$5:$F$300,'ИТОГО Лэндинг'!$B$5:$B$300,$B40)))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Лэндинг'!$B$5:$B$300,$B40),8))</f>
        <v/>
      </c>
      <c r="L40" s="183">
        <f>IF(K40="","",IF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40/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Лэндинг'!$B$5:$B$300,$B41)=0,"",SUMIFS('ИТОГО Торговля'!$C$5:$C$300,'ИТОГО Торговля'!$B$5:$B$300,$B41)+SUMIFS('ИТОГО Лэндинг'!$C$5:$C$300,'ИТОГО Лэндинг'!$B$5:$B$300,$B41)))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Лэндинг'!$B$5:$B$300,$B41)=0,"",SUMIFS('ИТОГО Торговля'!$F$5:$F$300,'ИТОГО Торговля'!$B$5:$B$300,$B41)+SUMIFS('ИТОГО Лэндинг'!$F$5:$F$300,'ИТОГО Лэндинг'!$B$5:$B$300,$B41)))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Лэндинг'!$B$5:$B$300,$B41),8))</f>
        <v/>
      </c>
      <c r="L41" s="177">
        <f>IF(K41="","",IF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41/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Лэндинг'!$B$5:$B$300,$B42)=0,"",SUMIFS('ИТОГО Торговля'!$C$5:$C$300,'ИТОГО Торговля'!$B$5:$B$300,$B42)+SUMIFS('ИТОГО Лэндинг'!$C$5:$C$300,'ИТОГО Лэндинг'!$B$5:$B$300,$B42)))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Лэндинг'!$B$5:$B$300,$B42)=0,"",SUMIFS('ИТОГО Торговля'!$F$5:$F$300,'ИТОГО Торговля'!$B$5:$B$300,$B42)+SUMIFS('ИТОГО Лэндинг'!$F$5:$F$300,'ИТОГО Лэндинг'!$B$5:$B$300,$B42)))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Лэндинг'!$B$5:$B$300,$B42),8))</f>
        <v/>
      </c>
      <c r="L42" s="183">
        <f>IF(K42="","",IF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42/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Лэндинг'!$B$5:$B$300,$B43)=0,"",SUMIFS('ИТОГО Торговля'!$C$5:$C$300,'ИТОГО Торговля'!$B$5:$B$300,$B43)+SUMIFS('ИТОГО Лэндинг'!$C$5:$C$300,'ИТОГО Лэндинг'!$B$5:$B$300,$B43)))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Лэндинг'!$B$5:$B$300,$B43)=0,"",SUMIFS('ИТОГО Торговля'!$F$5:$F$300,'ИТОГО Торговля'!$B$5:$B$300,$B43)+SUMIFS('ИТОГО Лэндинг'!$F$5:$F$300,'ИТОГО Лэндинг'!$B$5:$B$300,$B43)))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Лэндинг'!$B$5:$B$300,$B43),8))</f>
        <v/>
      </c>
      <c r="L43" s="177">
        <f>IF(K43="","",IF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43/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Лэндинг'!$B$5:$B$300,$B44)=0,"",SUMIFS('ИТОГО Торговля'!$C$5:$C$300,'ИТОГО Торговля'!$B$5:$B$300,$B44)+SUMIFS('ИТОГО Лэндинг'!$C$5:$C$300,'ИТОГО Лэндинг'!$B$5:$B$300,$B44)))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Лэндинг'!$B$5:$B$300,$B44)=0,"",SUMIFS('ИТОГО Торговля'!$F$5:$F$300,'ИТОГО Торговля'!$B$5:$B$300,$B44)+SUMIFS('ИТОГО Лэндинг'!$F$5:$F$300,'ИТОГО Лэндинг'!$B$5:$B$300,$B44)))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Лэндинг'!$B$5:$B$300,$B44),8))</f>
        <v/>
      </c>
      <c r="L44" s="183">
        <f>IF(K44="","",IF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44/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Лэндинг'!$B$5:$B$300,$B45)=0,"",SUMIFS('ИТОГО Торговля'!$C$5:$C$300,'ИТОГО Торговля'!$B$5:$B$300,$B45)+SUMIFS('ИТОГО Лэндинг'!$C$5:$C$300,'ИТОГО Лэндинг'!$B$5:$B$300,$B45)))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Лэндинг'!$B$5:$B$300,$B45)=0,"",SUMIFS('ИТОГО Торговля'!$F$5:$F$300,'ИТОГО Торговля'!$B$5:$B$300,$B45)+SUMIFS('ИТОГО Лэндинг'!$F$5:$F$300,'ИТОГО Лэндинг'!$B$5:$B$300,$B45)))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Лэндинг'!$B$5:$B$300,$B45),8))</f>
        <v/>
      </c>
      <c r="L45" s="177">
        <f>IF(K45="","",IF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45/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Лэндинг'!$B$5:$B$300,$B46)=0,"",SUMIFS('ИТОГО Торговля'!$C$5:$C$300,'ИТОГО Торговля'!$B$5:$B$300,$B46)+SUMIFS('ИТОГО Лэндинг'!$C$5:$C$300,'ИТОГО Лэндинг'!$B$5:$B$300,$B46)))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Лэндинг'!$B$5:$B$300,$B46)=0,"",SUMIFS('ИТОГО Торговля'!$F$5:$F$300,'ИТОГО Торговля'!$B$5:$B$300,$B46)+SUMIFS('ИТОГО Лэндинг'!$F$5:$F$300,'ИТОГО Лэндинг'!$B$5:$B$300,$B46)))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Лэндинг'!$B$5:$B$300,$B46),8))</f>
        <v/>
      </c>
      <c r="L46" s="183">
        <f>IF(K46="","",IF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46/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Лэндинг'!$B$5:$B$300,$B47)=0,"",SUMIFS('ИТОГО Торговля'!$C$5:$C$300,'ИТОГО Торговля'!$B$5:$B$300,$B47)+SUMIFS('ИТОГО Лэндинг'!$C$5:$C$300,'ИТОГО Лэндинг'!$B$5:$B$300,$B47)))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Лэндинг'!$B$5:$B$300,$B47)=0,"",SUMIFS('ИТОГО Торговля'!$F$5:$F$300,'ИТОГО Торговля'!$B$5:$B$300,$B47)+SUMIFS('ИТОГО Лэндинг'!$F$5:$F$300,'ИТОГО Лэндинг'!$B$5:$B$300,$B47)))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Лэндинг'!$B$5:$B$300,$B47),8))</f>
        <v/>
      </c>
      <c r="L47" s="177">
        <f>IF(K47="","",IF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47/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Лэндинг'!$B$5:$B$300,$B48)=0,"",SUMIFS('ИТОГО Торговля'!$C$5:$C$300,'ИТОГО Торговля'!$B$5:$B$300,$B48)+SUMIFS('ИТОГО Лэндинг'!$C$5:$C$300,'ИТОГО Лэндинг'!$B$5:$B$300,$B48)))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Лэндинг'!$B$5:$B$300,$B48)=0,"",SUMIFS('ИТОГО Торговля'!$F$5:$F$300,'ИТОГО Торговля'!$B$5:$B$300,$B48)+SUMIFS('ИТОГО Лэндинг'!$F$5:$F$300,'ИТОГО Лэндинг'!$B$5:$B$300,$B48)))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Лэндинг'!$B$5:$B$300,$B48),8))</f>
        <v/>
      </c>
      <c r="L48" s="183">
        <f>IF(K48="","",IF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48/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Лэндинг'!$B$5:$B$300,$B49)=0,"",SUMIFS('ИТОГО Торговля'!$C$5:$C$300,'ИТОГО Торговля'!$B$5:$B$300,$B49)+SUMIFS('ИТОГО Лэндинг'!$C$5:$C$300,'ИТОГО Лэндинг'!$B$5:$B$300,$B49)))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Лэндинг'!$B$5:$B$300,$B49)=0,"",SUMIFS('ИТОГО Торговля'!$F$5:$F$300,'ИТОГО Торговля'!$B$5:$B$300,$B49)+SUMIFS('ИТОГО Лэндинг'!$F$5:$F$300,'ИТОГО Лэндинг'!$B$5:$B$300,$B49)))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Лэндинг'!$B$5:$B$300,$B49),8))</f>
        <v/>
      </c>
      <c r="L49" s="177">
        <f>IF(K49="","",IF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49/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Лэндинг'!$B$5:$B$300,$B50)=0,"",SUMIFS('ИТОГО Торговля'!$C$5:$C$300,'ИТОГО Торговля'!$B$5:$B$300,$B50)+SUMIFS('ИТОГО Лэндинг'!$C$5:$C$300,'ИТОГО Лэндинг'!$B$5:$B$300,$B50)))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Лэндинг'!$B$5:$B$300,$B50)=0,"",SUMIFS('ИТОГО Торговля'!$F$5:$F$300,'ИТОГО Торговля'!$B$5:$B$300,$B50)+SUMIFS('ИТОГО Лэндинг'!$F$5:$F$300,'ИТОГО Лэндинг'!$B$5:$B$300,$B50)))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Лэндинг'!$B$5:$B$300,$B50),8))</f>
        <v/>
      </c>
      <c r="L50" s="183">
        <f>IF(K50="","",IF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50/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Лэндинг'!$B$5:$B$300,$B51)=0,"",SUMIFS('ИТОГО Торговля'!$C$5:$C$300,'ИТОГО Торговля'!$B$5:$B$300,$B51)+SUMIFS('ИТОГО Лэндинг'!$C$5:$C$300,'ИТОГО Лэндинг'!$B$5:$B$300,$B51)))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Лэндинг'!$B$5:$B$300,$B51)=0,"",SUMIFS('ИТОГО Торговля'!$F$5:$F$300,'ИТОГО Торговля'!$B$5:$B$300,$B51)+SUMIFS('ИТОГО Лэндинг'!$F$5:$F$300,'ИТОГО Лэндинг'!$B$5:$B$300,$B51)))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Лэндинг'!$B$5:$B$300,$B51),8))</f>
        <v/>
      </c>
      <c r="L51" s="177">
        <f>IF(K51="","",IF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51/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Лэндинг'!$B$5:$B$300,$B52)=0,"",SUMIFS('ИТОГО Торговля'!$C$5:$C$300,'ИТОГО Торговля'!$B$5:$B$300,$B52)+SUMIFS('ИТОГО Лэндинг'!$C$5:$C$300,'ИТОГО Лэндинг'!$B$5:$B$300,$B52)))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Лэндинг'!$B$5:$B$300,$B52)=0,"",SUMIFS('ИТОГО Торговля'!$F$5:$F$300,'ИТОГО Торговля'!$B$5:$B$300,$B52)+SUMIFS('ИТОГО Лэндинг'!$F$5:$F$300,'ИТОГО Лэндинг'!$B$5:$B$300,$B52)))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Лэндинг'!$B$5:$B$300,$B52),8))</f>
        <v/>
      </c>
      <c r="L52" s="183">
        <f>IF(K52="","",IF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52/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Лэндинг'!$B$5:$B$300,$B53)=0,"",SUMIFS('ИТОГО Торговля'!$C$5:$C$300,'ИТОГО Торговля'!$B$5:$B$300,$B53)+SUMIFS('ИТОГО Лэндинг'!$C$5:$C$300,'ИТОГО Лэндинг'!$B$5:$B$300,$B53)))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Лэндинг'!$B$5:$B$300,$B53)=0,"",SUMIFS('ИТОГО Торговля'!$F$5:$F$300,'ИТОГО Торговля'!$B$5:$B$300,$B53)+SUMIFS('ИТОГО Лэндинг'!$F$5:$F$300,'ИТОГО Лэндинг'!$B$5:$B$300,$B53)))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Лэндинг'!$B$5:$B$300,$B53),8))</f>
        <v/>
      </c>
      <c r="L53" s="177">
        <f>IF(K53="","",IF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53/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Лэндинг'!$B$5:$B$300,$B54)=0,"",SUMIFS('ИТОГО Торговля'!$C$5:$C$300,'ИТОГО Торговля'!$B$5:$B$300,$B54)+SUMIFS('ИТОГО Лэндинг'!$C$5:$C$300,'ИТОГО Лэндинг'!$B$5:$B$300,$B54)))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Лэндинг'!$B$5:$B$300,$B54)=0,"",SUMIFS('ИТОГО Торговля'!$F$5:$F$300,'ИТОГО Торговля'!$B$5:$B$300,$B54)+SUMIFS('ИТОГО Лэндинг'!$F$5:$F$300,'ИТОГО Лэндинг'!$B$5:$B$300,$B54)))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Лэндинг'!$B$5:$B$300,$B54),8))</f>
        <v/>
      </c>
      <c r="L54" s="183">
        <f>IF(K54="","",IF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54/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Лэндинг'!$B$5:$B$300,$B55)=0,"",SUMIFS('ИТОГО Торговля'!$C$5:$C$300,'ИТОГО Торговля'!$B$5:$B$300,$B55)+SUMIFS('ИТОГО Лэндинг'!$C$5:$C$300,'ИТОГО Лэндинг'!$B$5:$B$300,$B55)))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Лэндинг'!$B$5:$B$300,$B55)=0,"",SUMIFS('ИТОГО Торговля'!$F$5:$F$300,'ИТОГО Торговля'!$B$5:$B$300,$B55)+SUMIFS('ИТОГО Лэндинг'!$F$5:$F$300,'ИТОГО Лэндинг'!$B$5:$B$300,$B55)))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Лэндинг'!$B$5:$B$300,$B55),8))</f>
        <v/>
      </c>
      <c r="L55" s="177">
        <f>IF(K55="","",IF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55/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Лэндинг'!$B$5:$B$300,$B56)=0,"",SUMIFS('ИТОГО Торговля'!$C$5:$C$300,'ИТОГО Торговля'!$B$5:$B$300,$B56)+SUMIFS('ИТОГО Лэндинг'!$C$5:$C$300,'ИТОГО Лэндинг'!$B$5:$B$300,$B56)))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Лэндинг'!$B$5:$B$300,$B56)=0,"",SUMIFS('ИТОГО Торговля'!$F$5:$F$300,'ИТОГО Торговля'!$B$5:$B$300,$B56)+SUMIFS('ИТОГО Лэндинг'!$F$5:$F$300,'ИТОГО Лэндинг'!$B$5:$B$300,$B56)))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Лэндинг'!$B$5:$B$300,$B56),8))</f>
        <v/>
      </c>
      <c r="L56" s="183">
        <f>IF(K56="","",IF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56/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Лэндинг'!$B$5:$B$300,$B57)=0,"",SUMIFS('ИТОГО Торговля'!$C$5:$C$300,'ИТОГО Торговля'!$B$5:$B$300,$B57)+SUMIFS('ИТОГО Лэндинг'!$C$5:$C$300,'ИТОГО Лэндинг'!$B$5:$B$300,$B57)))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Лэндинг'!$B$5:$B$300,$B57)=0,"",SUMIFS('ИТОГО Торговля'!$F$5:$F$300,'ИТОГО Торговля'!$B$5:$B$300,$B57)+SUMIFS('ИТОГО Лэндинг'!$F$5:$F$300,'ИТОГО Лэндинг'!$B$5:$B$300,$B57)))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Лэндинг'!$B$5:$B$300,$B57),8))</f>
        <v/>
      </c>
      <c r="L57" s="177">
        <f>IF(K57="","",IF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57/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Лэндинг'!$B$5:$B$300,$B58)=0,"",SUMIFS('ИТОГО Торговля'!$C$5:$C$300,'ИТОГО Торговля'!$B$5:$B$300,$B58)+SUMIFS('ИТОГО Лэндинг'!$C$5:$C$300,'ИТОГО Лэндинг'!$B$5:$B$300,$B58)))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Лэндинг'!$B$5:$B$300,$B58)=0,"",SUMIFS('ИТОГО Торговля'!$F$5:$F$300,'ИТОГО Торговля'!$B$5:$B$300,$B58)+SUMIFS('ИТОГО Лэндинг'!$F$5:$F$300,'ИТОГО Лэндинг'!$B$5:$B$300,$B58)))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Лэндинг'!$B$5:$B$300,$B58),8))</f>
        <v/>
      </c>
      <c r="L58" s="183">
        <f>IF(K58="","",IF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58/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Лэндинг'!$B$5:$B$300,$B59)=0,"",SUMIFS('ИТОГО Торговля'!$C$5:$C$300,'ИТОГО Торговля'!$B$5:$B$300,$B59)+SUMIFS('ИТОГО Лэндинг'!$C$5:$C$300,'ИТОГО Лэндинг'!$B$5:$B$300,$B59)))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Лэндинг'!$B$5:$B$300,$B59)=0,"",SUMIFS('ИТОГО Торговля'!$F$5:$F$300,'ИТОГО Торговля'!$B$5:$B$300,$B59)+SUMIFS('ИТОГО Лэндинг'!$F$5:$F$300,'ИТОГО Лэндинг'!$B$5:$B$300,$B59)))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Лэндинг'!$B$5:$B$300,$B59),8))</f>
        <v/>
      </c>
      <c r="L59" s="177">
        <f>IF(K59="","",IF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59/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Лэндинг'!$B$5:$B$300,$B60)=0,"",SUMIFS('ИТОГО Торговля'!$C$5:$C$300,'ИТОГО Торговля'!$B$5:$B$300,$B60)+SUMIFS('ИТОГО Лэндинг'!$C$5:$C$300,'ИТОГО Лэндинг'!$B$5:$B$300,$B60)))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Лэндинг'!$B$5:$B$300,$B60)=0,"",SUMIFS('ИТОГО Торговля'!$F$5:$F$300,'ИТОГО Торговля'!$B$5:$B$300,$B60)+SUMIFS('ИТОГО Лэндинг'!$F$5:$F$300,'ИТОГО Лэндинг'!$B$5:$B$300,$B60)))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Лэндинг'!$B$5:$B$300,$B60),8))</f>
        <v/>
      </c>
      <c r="L60" s="183">
        <f>IF(K60="","",IF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60/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Лэндинг'!$B$5:$B$300,$B61)=0,"",SUMIFS('ИТОГО Торговля'!$C$5:$C$300,'ИТОГО Торговля'!$B$5:$B$300,$B61)+SUMIFS('ИТОГО Лэндинг'!$C$5:$C$300,'ИТОГО Лэндинг'!$B$5:$B$300,$B61)))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Лэндинг'!$B$5:$B$300,$B61)=0,"",SUMIFS('ИТОГО Торговля'!$F$5:$F$300,'ИТОГО Торговля'!$B$5:$B$300,$B61)+SUMIFS('ИТОГО Лэндинг'!$F$5:$F$300,'ИТОГО Лэндинг'!$B$5:$B$300,$B61)))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Лэндинг'!$B$5:$B$300,$B61),8))</f>
        <v/>
      </c>
      <c r="L61" s="177">
        <f>IF(K61="","",IF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61/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Лэндинг'!$B$5:$B$300,$B62)=0,"",SUMIFS('ИТОГО Торговля'!$C$5:$C$300,'ИТОГО Торговля'!$B$5:$B$300,$B62)+SUMIFS('ИТОГО Лэндинг'!$C$5:$C$300,'ИТОГО Лэндинг'!$B$5:$B$300,$B62)))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Лэндинг'!$B$5:$B$300,$B62)=0,"",SUMIFS('ИТОГО Торговля'!$F$5:$F$300,'ИТОГО Торговля'!$B$5:$B$300,$B62)+SUMIFS('ИТОГО Лэндинг'!$F$5:$F$300,'ИТОГО Лэндинг'!$B$5:$B$300,$B62)))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Лэндинг'!$B$5:$B$300,$B62),8))</f>
        <v/>
      </c>
      <c r="L62" s="183">
        <f>IF(K62="","",IF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62/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Лэндинг'!$B$5:$B$300,$B63)=0,"",SUMIFS('ИТОГО Торговля'!$C$5:$C$300,'ИТОГО Торговля'!$B$5:$B$300,$B63)+SUMIFS('ИТОГО Лэндинг'!$C$5:$C$300,'ИТОГО Лэндинг'!$B$5:$B$300,$B63)))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Лэндинг'!$B$5:$B$300,$B63)=0,"",SUMIFS('ИТОГО Торговля'!$F$5:$F$300,'ИТОГО Торговля'!$B$5:$B$300,$B63)+SUMIFS('ИТОГО Лэндинг'!$F$5:$F$300,'ИТОГО Лэндинг'!$B$5:$B$300,$B63)))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Лэндинг'!$B$5:$B$300,$B63),8))</f>
        <v/>
      </c>
      <c r="L63" s="177">
        <f>IF(K63="","",IF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63/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Лэндинг'!$B$5:$B$300,$B64)=0,"",SUMIFS('ИТОГО Торговля'!$C$5:$C$300,'ИТОГО Торговля'!$B$5:$B$300,$B64)+SUMIFS('ИТОГО Лэндинг'!$C$5:$C$300,'ИТОГО Лэндинг'!$B$5:$B$300,$B64)))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Лэндинг'!$B$5:$B$300,$B64)=0,"",SUMIFS('ИТОГО Торговля'!$F$5:$F$300,'ИТОГО Торговля'!$B$5:$B$300,$B64)+SUMIFS('ИТОГО Лэндинг'!$F$5:$F$300,'ИТОГО Лэндинг'!$B$5:$B$300,$B64)))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Лэндинг'!$B$5:$B$300,$B64),8))</f>
        <v/>
      </c>
      <c r="L64" s="183">
        <f>IF(K64="","",IF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64/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Лэндинг'!$B$5:$B$300,$B65)=0,"",SUMIFS('ИТОГО Торговля'!$C$5:$C$300,'ИТОГО Торговля'!$B$5:$B$300,$B65)+SUMIFS('ИТОГО Лэндинг'!$C$5:$C$300,'ИТОГО Лэндинг'!$B$5:$B$300,$B65)))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Лэндинг'!$B$5:$B$300,$B65)=0,"",SUMIFS('ИТОГО Торговля'!$F$5:$F$300,'ИТОГО Торговля'!$B$5:$B$300,$B65)+SUMIFS('ИТОГО Лэндинг'!$F$5:$F$300,'ИТОГО Лэндинг'!$B$5:$B$300,$B65)))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Лэндинг'!$B$5:$B$300,$B65),8))</f>
        <v/>
      </c>
      <c r="L65" s="177">
        <f>IF(K65="","",IF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65/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Лэндинг'!$B$5:$B$300,$B66)=0,"",SUMIFS('ИТОГО Торговля'!$C$5:$C$300,'ИТОГО Торговля'!$B$5:$B$300,$B66)+SUMIFS('ИТОГО Лэндинг'!$C$5:$C$300,'ИТОГО Лэндинг'!$B$5:$B$300,$B66)))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Лэндинг'!$B$5:$B$300,$B66)=0,"",SUMIFS('ИТОГО Торговля'!$F$5:$F$300,'ИТОГО Торговля'!$B$5:$B$300,$B66)+SUMIFS('ИТОГО Лэндинг'!$F$5:$F$300,'ИТОГО Лэндинг'!$B$5:$B$300,$B66)))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Лэндинг'!$B$5:$B$300,$B66),8))</f>
        <v/>
      </c>
      <c r="L66" s="183">
        <f>IF(K66="","",IF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66/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Лэндинг'!$B$5:$B$300,$B67)=0,"",SUMIFS('ИТОГО Торговля'!$C$5:$C$300,'ИТОГО Торговля'!$B$5:$B$300,$B67)+SUMIFS('ИТОГО Лэндинг'!$C$5:$C$300,'ИТОГО Лэндинг'!$B$5:$B$300,$B67)))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Лэндинг'!$B$5:$B$300,$B67)=0,"",SUMIFS('ИТОГО Торговля'!$F$5:$F$300,'ИТОГО Торговля'!$B$5:$B$300,$B67)+SUMIFS('ИТОГО Лэндинг'!$F$5:$F$300,'ИТОГО Лэндинг'!$B$5:$B$300,$B67)))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Лэндинг'!$B$5:$B$300,$B67),8))</f>
        <v/>
      </c>
      <c r="L67" s="177">
        <f>IF(K67="","",IF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67/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Лэндинг'!$B$5:$B$300,$B68)=0,"",SUMIFS('ИТОГО Торговля'!$C$5:$C$300,'ИТОГО Торговля'!$B$5:$B$300,$B68)+SUMIFS('ИТОГО Лэндинг'!$C$5:$C$300,'ИТОГО Лэндинг'!$B$5:$B$300,$B68)))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Лэндинг'!$B$5:$B$300,$B68)=0,"",SUMIFS('ИТОГО Торговля'!$F$5:$F$300,'ИТОГО Торговля'!$B$5:$B$300,$B68)+SUMIFS('ИТОГО Лэндинг'!$F$5:$F$300,'ИТОГО Лэндинг'!$B$5:$B$300,$B68)))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Лэндинг'!$B$5:$B$300,$B68),8))</f>
        <v/>
      </c>
      <c r="L68" s="183">
        <f>IF(K68="","",IF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68/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Лэндинг'!$B$5:$B$300,$B69)=0,"",SUMIFS('ИТОГО Торговля'!$C$5:$C$300,'ИТОГО Торговля'!$B$5:$B$300,$B69)+SUMIFS('ИТОГО Лэндинг'!$C$5:$C$300,'ИТОГО Лэндинг'!$B$5:$B$300,$B69)))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Лэндинг'!$B$5:$B$300,$B69)=0,"",SUMIFS('ИТОГО Торговля'!$F$5:$F$300,'ИТОГО Торговля'!$B$5:$B$300,$B69)+SUMIFS('ИТОГО Лэндинг'!$F$5:$F$300,'ИТОГО Лэндинг'!$B$5:$B$300,$B69)))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Лэндинг'!$B$5:$B$300,$B69),8))</f>
        <v/>
      </c>
      <c r="L69" s="177">
        <f>IF(K69="","",IF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69/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Лэндинг'!$B$5:$B$300,$B70)=0,"",SUMIFS('ИТОГО Торговля'!$C$5:$C$300,'ИТОГО Торговля'!$B$5:$B$300,$B70)+SUMIFS('ИТОГО Лэндинг'!$C$5:$C$300,'ИТОГО Лэндинг'!$B$5:$B$300,$B70)))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Лэндинг'!$B$5:$B$300,$B70)=0,"",SUMIFS('ИТОГО Торговля'!$F$5:$F$300,'ИТОГО Торговля'!$B$5:$B$300,$B70)+SUMIFS('ИТОГО Лэндинг'!$F$5:$F$300,'ИТОГО Лэндинг'!$B$5:$B$300,$B70)))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Лэндинг'!$B$5:$B$300,$B70),8))</f>
        <v/>
      </c>
      <c r="L70" s="183">
        <f>IF(K70="","",IF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70/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Лэндинг'!$B$5:$B$300,$B71)=0,"",SUMIFS('ИТОГО Торговля'!$C$5:$C$300,'ИТОГО Торговля'!$B$5:$B$300,$B71)+SUMIFS('ИТОГО Лэндинг'!$C$5:$C$300,'ИТОГО Лэндинг'!$B$5:$B$300,$B71)))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Лэндинг'!$B$5:$B$300,$B71)=0,"",SUMIFS('ИТОГО Торговля'!$F$5:$F$300,'ИТОГО Торговля'!$B$5:$B$300,$B71)+SUMIFS('ИТОГО Лэндинг'!$F$5:$F$300,'ИТОГО Лэндинг'!$B$5:$B$300,$B71)))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Лэндинг'!$B$5:$B$300,$B71),8))</f>
        <v/>
      </c>
      <c r="L71" s="177">
        <f>IF(K71="","",IF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71/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Лэндинг'!$B$5:$B$300,$B72)=0,"",SUMIFS('ИТОГО Торговля'!$C$5:$C$300,'ИТОГО Торговля'!$B$5:$B$300,$B72)+SUMIFS('ИТОГО Лэндинг'!$C$5:$C$300,'ИТОГО Лэндинг'!$B$5:$B$300,$B72)))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Лэндинг'!$B$5:$B$300,$B72)=0,"",SUMIFS('ИТОГО Торговля'!$F$5:$F$300,'ИТОГО Торговля'!$B$5:$B$300,$B72)+SUMIFS('ИТОГО Лэндинг'!$F$5:$F$300,'ИТОГО Лэндинг'!$B$5:$B$300,$B72)))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Лэндинг'!$B$5:$B$300,$B72),8))</f>
        <v/>
      </c>
      <c r="L72" s="183">
        <f>IF(K72="","",IF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72/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Лэндинг'!$B$5:$B$300,$B73)=0,"",SUMIFS('ИТОГО Торговля'!$C$5:$C$300,'ИТОГО Торговля'!$B$5:$B$300,$B73)+SUMIFS('ИТОГО Лэндинг'!$C$5:$C$300,'ИТОГО Лэндинг'!$B$5:$B$300,$B73)))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Лэндинг'!$B$5:$B$300,$B73)=0,"",SUMIFS('ИТОГО Торговля'!$F$5:$F$300,'ИТОГО Торговля'!$B$5:$B$300,$B73)+SUMIFS('ИТОГО Лэндинг'!$F$5:$F$300,'ИТОГО Лэндинг'!$B$5:$B$300,$B73)))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Лэндинг'!$B$5:$B$300,$B73),8))</f>
        <v/>
      </c>
      <c r="L73" s="177">
        <f>IF(K73="","",IF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73/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Лэндинг'!$B$5:$B$300,$B74)=0,"",SUMIFS('ИТОГО Торговля'!$C$5:$C$300,'ИТОГО Торговля'!$B$5:$B$300,$B74)+SUMIFS('ИТОГО Лэндинг'!$C$5:$C$300,'ИТОГО Лэндинг'!$B$5:$B$300,$B74)))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Лэндинг'!$B$5:$B$300,$B74)=0,"",SUMIFS('ИТОГО Торговля'!$F$5:$F$300,'ИТОГО Торговля'!$B$5:$B$300,$B74)+SUMIFS('ИТОГО Лэндинг'!$F$5:$F$300,'ИТОГО Лэндинг'!$B$5:$B$300,$B74)))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Лэндинг'!$B$5:$B$300,$B74),8))</f>
        <v/>
      </c>
      <c r="L74" s="183">
        <f>IF(K74="","",IF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74/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Лэндинг'!$B$5:$B$300,$B75)=0,"",SUMIFS('ИТОГО Торговля'!$C$5:$C$300,'ИТОГО Торговля'!$B$5:$B$300,$B75)+SUMIFS('ИТОГО Лэндинг'!$C$5:$C$300,'ИТОГО Лэндинг'!$B$5:$B$300,$B75)))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Лэндинг'!$B$5:$B$300,$B75)=0,"",SUMIFS('ИТОГО Торговля'!$F$5:$F$300,'ИТОГО Торговля'!$B$5:$B$300,$B75)+SUMIFS('ИТОГО Лэндинг'!$F$5:$F$300,'ИТОГО Лэндинг'!$B$5:$B$300,$B75)))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Лэндинг'!$B$5:$B$300,$B75),8))</f>
        <v/>
      </c>
      <c r="L75" s="177">
        <f>IF(K75="","",IF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75/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Лэндинг'!$B$5:$B$300,$B76)=0,"",SUMIFS('ИТОГО Торговля'!$C$5:$C$300,'ИТОГО Торговля'!$B$5:$B$300,$B76)+SUMIFS('ИТОГО Лэндинг'!$C$5:$C$300,'ИТОГО Лэндинг'!$B$5:$B$300,$B76)))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Лэндинг'!$B$5:$B$300,$B76)=0,"",SUMIFS('ИТОГО Торговля'!$F$5:$F$300,'ИТОГО Торговля'!$B$5:$B$300,$B76)+SUMIFS('ИТОГО Лэндинг'!$F$5:$F$300,'ИТОГО Лэндинг'!$B$5:$B$300,$B76)))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Лэндинг'!$B$5:$B$300,$B76),8))</f>
        <v/>
      </c>
      <c r="L76" s="183">
        <f>IF(K76="","",IF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76/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Лэндинг'!$B$5:$B$300,$B77)=0,"",SUMIFS('ИТОГО Торговля'!$C$5:$C$300,'ИТОГО Торговля'!$B$5:$B$300,$B77)+SUMIFS('ИТОГО Лэндинг'!$C$5:$C$300,'ИТОГО Лэндинг'!$B$5:$B$300,$B77)))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Лэндинг'!$B$5:$B$300,$B77)=0,"",SUMIFS('ИТОГО Торговля'!$F$5:$F$300,'ИТОГО Торговля'!$B$5:$B$300,$B77)+SUMIFS('ИТОГО Лэндинг'!$F$5:$F$300,'ИТОГО Лэндинг'!$B$5:$B$300,$B77)))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Лэндинг'!$B$5:$B$300,$B77),8))</f>
        <v/>
      </c>
      <c r="L77" s="177">
        <f>IF(K77="","",IF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77/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Лэндинг'!$B$5:$B$300,$B78)=0,"",SUMIFS('ИТОГО Торговля'!$C$5:$C$300,'ИТОГО Торговля'!$B$5:$B$300,$B78)+SUMIFS('ИТОГО Лэндинг'!$C$5:$C$300,'ИТОГО Лэндинг'!$B$5:$B$300,$B78)))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Лэндинг'!$B$5:$B$300,$B78)=0,"",SUMIFS('ИТОГО Торговля'!$F$5:$F$300,'ИТОГО Торговля'!$B$5:$B$300,$B78)+SUMIFS('ИТОГО Лэндинг'!$F$5:$F$300,'ИТОГО Лэндинг'!$B$5:$B$300,$B78)))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Лэндинг'!$B$5:$B$300,$B78),8))</f>
        <v/>
      </c>
      <c r="L78" s="183">
        <f>IF(K78="","",IF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78/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Лэндинг'!$B$5:$B$300,$B79)=0,"",SUMIFS('ИТОГО Торговля'!$C$5:$C$300,'ИТОГО Торговля'!$B$5:$B$300,$B79)+SUMIFS('ИТОГО Лэндинг'!$C$5:$C$300,'ИТОГО Лэндинг'!$B$5:$B$300,$B79)))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Лэндинг'!$B$5:$B$300,$B79)=0,"",SUMIFS('ИТОГО Торговля'!$F$5:$F$300,'ИТОГО Торговля'!$B$5:$B$300,$B79)+SUMIFS('ИТОГО Лэндинг'!$F$5:$F$300,'ИТОГО Лэндинг'!$B$5:$B$300,$B79)))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Лэндинг'!$B$5:$B$300,$B79),8))</f>
        <v/>
      </c>
      <c r="L79" s="177">
        <f>IF(K79="","",IF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79/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Лэндинг'!$B$5:$B$300,$B80)=0,"",SUMIFS('ИТОГО Торговля'!$C$5:$C$300,'ИТОГО Торговля'!$B$5:$B$300,$B80)+SUMIFS('ИТОГО Лэндинг'!$C$5:$C$300,'ИТОГО Лэндинг'!$B$5:$B$300,$B80)))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Лэндинг'!$B$5:$B$300,$B80)=0,"",SUMIFS('ИТОГО Торговля'!$F$5:$F$300,'ИТОГО Торговля'!$B$5:$B$300,$B80)+SUMIFS('ИТОГО Лэндинг'!$F$5:$F$300,'ИТОГО Лэндинг'!$B$5:$B$300,$B80)))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Лэндинг'!$B$5:$B$300,$B80),8))</f>
        <v/>
      </c>
      <c r="L80" s="183">
        <f>IF(K80="","",IF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80/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Лэндинг'!$B$5:$B$300,$B81)=0,"",SUMIFS('ИТОГО Торговля'!$C$5:$C$300,'ИТОГО Торговля'!$B$5:$B$300,$B81)+SUMIFS('ИТОГО Лэндинг'!$C$5:$C$300,'ИТОГО Лэндинг'!$B$5:$B$300,$B81)))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Лэндинг'!$B$5:$B$300,$B81)=0,"",SUMIFS('ИТОГО Торговля'!$F$5:$F$300,'ИТОГО Торговля'!$B$5:$B$300,$B81)+SUMIFS('ИТОГО Лэндинг'!$F$5:$F$300,'ИТОГО Лэндинг'!$B$5:$B$300,$B81)))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Лэндинг'!$B$5:$B$300,$B81),8))</f>
        <v/>
      </c>
      <c r="L81" s="177">
        <f>IF(K81="","",IF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81/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Лэндинг'!$B$5:$B$300,$B82)=0,"",SUMIFS('ИТОГО Торговля'!$C$5:$C$300,'ИТОГО Торговля'!$B$5:$B$300,$B82)+SUMIFS('ИТОГО Лэндинг'!$C$5:$C$300,'ИТОГО Лэндинг'!$B$5:$B$300,$B82)))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Лэндинг'!$B$5:$B$300,$B82)=0,"",SUMIFS('ИТОГО Торговля'!$F$5:$F$300,'ИТОГО Торговля'!$B$5:$B$300,$B82)+SUMIFS('ИТОГО Лэндинг'!$F$5:$F$300,'ИТОГО Лэндинг'!$B$5:$B$300,$B82)))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Лэндинг'!$B$5:$B$300,$B82),8))</f>
        <v/>
      </c>
      <c r="L82" s="183">
        <f>IF(K82="","",IF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82/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Лэндинг'!$B$5:$B$300,$B83)=0,"",SUMIFS('ИТОГО Торговля'!$C$5:$C$300,'ИТОГО Торговля'!$B$5:$B$300,$B83)+SUMIFS('ИТОГО Лэндинг'!$C$5:$C$300,'ИТОГО Лэндинг'!$B$5:$B$300,$B83)))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Лэндинг'!$B$5:$B$300,$B83)=0,"",SUMIFS('ИТОГО Торговля'!$F$5:$F$300,'ИТОГО Торговля'!$B$5:$B$300,$B83)+SUMIFS('ИТОГО Лэндинг'!$F$5:$F$300,'ИТОГО Лэндинг'!$B$5:$B$300,$B83)))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Лэндинг'!$B$5:$B$300,$B83),8))</f>
        <v/>
      </c>
      <c r="L83" s="177">
        <f>IF(K83="","",IF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83/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Лэндинг'!$B$5:$B$300,$B84)=0,"",SUMIFS('ИТОГО Торговля'!$C$5:$C$300,'ИТОГО Торговля'!$B$5:$B$300,$B84)+SUMIFS('ИТОГО Лэндинг'!$C$5:$C$300,'ИТОГО Лэндинг'!$B$5:$B$300,$B84)))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Лэндинг'!$B$5:$B$300,$B84)=0,"",SUMIFS('ИТОГО Торговля'!$F$5:$F$300,'ИТОГО Торговля'!$B$5:$B$300,$B84)+SUMIFS('ИТОГО Лэндинг'!$F$5:$F$300,'ИТОГО Лэндинг'!$B$5:$B$300,$B84)))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Лэндинг'!$B$5:$B$300,$B84),8))</f>
        <v/>
      </c>
      <c r="L84" s="183">
        <f>IF(K84="","",IF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84/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Лэндинг'!$B$5:$B$300,$B85)=0,"",SUMIFS('ИТОГО Торговля'!$C$5:$C$300,'ИТОГО Торговля'!$B$5:$B$300,$B85)+SUMIFS('ИТОГО Лэндинг'!$C$5:$C$300,'ИТОГО Лэндинг'!$B$5:$B$300,$B85)))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Лэндинг'!$B$5:$B$300,$B85)=0,"",SUMIFS('ИТОГО Торговля'!$F$5:$F$300,'ИТОГО Торговля'!$B$5:$B$300,$B85)+SUMIFS('ИТОГО Лэндинг'!$F$5:$F$300,'ИТОГО Лэндинг'!$B$5:$B$300,$B85)))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Лэндинг'!$B$5:$B$300,$B85),8))</f>
        <v/>
      </c>
      <c r="L85" s="177">
        <f>IF(K85="","",IF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85/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Лэндинг'!$B$5:$B$300,$B86)=0,"",SUMIFS('ИТОГО Торговля'!$C$5:$C$300,'ИТОГО Торговля'!$B$5:$B$300,$B86)+SUMIFS('ИТОГО Лэндинг'!$C$5:$C$300,'ИТОГО Лэндинг'!$B$5:$B$300,$B86)))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Лэндинг'!$B$5:$B$300,$B86)=0,"",SUMIFS('ИТОГО Торговля'!$F$5:$F$300,'ИТОГО Торговля'!$B$5:$B$300,$B86)+SUMIFS('ИТОГО Лэндинг'!$F$5:$F$300,'ИТОГО Лэндинг'!$B$5:$B$300,$B86)))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Лэндинг'!$B$5:$B$300,$B86),8))</f>
        <v/>
      </c>
      <c r="L86" s="183">
        <f>IF(K86="","",IF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86/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Лэндинг'!$B$5:$B$300,$B87)=0,"",SUMIFS('ИТОГО Торговля'!$C$5:$C$300,'ИТОГО Торговля'!$B$5:$B$300,$B87)+SUMIFS('ИТОГО Лэндинг'!$C$5:$C$300,'ИТОГО Лэндинг'!$B$5:$B$300,$B87)))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Лэндинг'!$B$5:$B$300,$B87)=0,"",SUMIFS('ИТОГО Торговля'!$F$5:$F$300,'ИТОГО Торговля'!$B$5:$B$300,$B87)+SUMIFS('ИТОГО Лэндинг'!$F$5:$F$300,'ИТОГО Лэндинг'!$B$5:$B$300,$B87)))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Лэндинг'!$B$5:$B$300,$B87),8))</f>
        <v/>
      </c>
      <c r="L87" s="177">
        <f>IF(K87="","",IF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87/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Лэндинг'!$B$5:$B$300,$B88)=0,"",SUMIFS('ИТОГО Торговля'!$C$5:$C$300,'ИТОГО Торговля'!$B$5:$B$300,$B88)+SUMIFS('ИТОГО Лэндинг'!$C$5:$C$300,'ИТОГО Лэндинг'!$B$5:$B$300,$B88)))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Лэндинг'!$B$5:$B$300,$B88)=0,"",SUMIFS('ИТОГО Торговля'!$F$5:$F$300,'ИТОГО Торговля'!$B$5:$B$300,$B88)+SUMIFS('ИТОГО Лэндинг'!$F$5:$F$300,'ИТОГО Лэндинг'!$B$5:$B$300,$B88)))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Лэндинг'!$B$5:$B$300,$B88),8))</f>
        <v/>
      </c>
      <c r="L88" s="183">
        <f>IF(K88="","",IF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88/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Лэндинг'!$B$5:$B$300,$B89)=0,"",SUMIFS('ИТОГО Торговля'!$C$5:$C$300,'ИТОГО Торговля'!$B$5:$B$300,$B89)+SUMIFS('ИТОГО Лэндинг'!$C$5:$C$300,'ИТОГО Лэндинг'!$B$5:$B$300,$B89)))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Лэндинг'!$B$5:$B$300,$B89)=0,"",SUMIFS('ИТОГО Торговля'!$F$5:$F$300,'ИТОГО Торговля'!$B$5:$B$300,$B89)+SUMIFS('ИТОГО Лэндинг'!$F$5:$F$300,'ИТОГО Лэндинг'!$B$5:$B$300,$B89)))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Лэндинг'!$B$5:$B$300,$B89),8))</f>
        <v/>
      </c>
      <c r="L89" s="177">
        <f>IF(K89="","",IF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89/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Лэндинг'!$B$5:$B$300,$B90)=0,"",SUMIFS('ИТОГО Торговля'!$C$5:$C$300,'ИТОГО Торговля'!$B$5:$B$300,$B90)+SUMIFS('ИТОГО Лэндинг'!$C$5:$C$300,'ИТОГО Лэндинг'!$B$5:$B$300,$B90)))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Лэндинг'!$B$5:$B$300,$B90)=0,"",SUMIFS('ИТОГО Торговля'!$F$5:$F$300,'ИТОГО Торговля'!$B$5:$B$300,$B90)+SUMIFS('ИТОГО Лэндинг'!$F$5:$F$300,'ИТОГО Лэндинг'!$B$5:$B$300,$B90)))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Лэндинг'!$B$5:$B$300,$B90),8))</f>
        <v/>
      </c>
      <c r="L90" s="183">
        <f>IF(K90="","",IF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90/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Лэндинг'!$B$5:$B$300,$B91)=0,"",SUMIFS('ИТОГО Торговля'!$C$5:$C$300,'ИТОГО Торговля'!$B$5:$B$300,$B91)+SUMIFS('ИТОГО Лэндинг'!$C$5:$C$300,'ИТОГО Лэндинг'!$B$5:$B$300,$B91)))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Лэндинг'!$B$5:$B$300,$B91)=0,"",SUMIFS('ИТОГО Торговля'!$F$5:$F$300,'ИТОГО Торговля'!$B$5:$B$300,$B91)+SUMIFS('ИТОГО Лэндинг'!$F$5:$F$300,'ИТОГО Лэндинг'!$B$5:$B$300,$B91)))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Лэндинг'!$B$5:$B$300,$B91),8))</f>
        <v/>
      </c>
      <c r="L91" s="177">
        <f>IF(K91="","",IF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91/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Лэндинг'!$B$5:$B$300,$B92)=0,"",SUMIFS('ИТОГО Торговля'!$C$5:$C$300,'ИТОГО Торговля'!$B$5:$B$300,$B92)+SUMIFS('ИТОГО Лэндинг'!$C$5:$C$300,'ИТОГО Лэндинг'!$B$5:$B$300,$B92)))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Лэндинг'!$B$5:$B$300,$B92)=0,"",SUMIFS('ИТОГО Торговля'!$F$5:$F$300,'ИТОГО Торговля'!$B$5:$B$300,$B92)+SUMIFS('ИТОГО Лэндинг'!$F$5:$F$300,'ИТОГО Лэндинг'!$B$5:$B$300,$B92)))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Лэндинг'!$B$5:$B$300,$B92),8))</f>
        <v/>
      </c>
      <c r="L92" s="183">
        <f>IF(K92="","",IF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92/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Лэндинг'!$B$5:$B$300,$B93)=0,"",SUMIFS('ИТОГО Торговля'!$C$5:$C$300,'ИТОГО Торговля'!$B$5:$B$300,$B93)+SUMIFS('ИТОГО Лэндинг'!$C$5:$C$300,'ИТОГО Лэндинг'!$B$5:$B$300,$B93)))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Лэндинг'!$B$5:$B$300,$B93)=0,"",SUMIFS('ИТОГО Торговля'!$F$5:$F$300,'ИТОГО Торговля'!$B$5:$B$300,$B93)+SUMIFS('ИТОГО Лэндинг'!$F$5:$F$300,'ИТОГО Лэндинг'!$B$5:$B$300,$B93)))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Лэндинг'!$B$5:$B$300,$B93),8))</f>
        <v/>
      </c>
      <c r="L93" s="177">
        <f>IF(K93="","",IF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93/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Лэндинг'!$B$5:$B$300,$B94)=0,"",SUMIFS('ИТОГО Торговля'!$C$5:$C$300,'ИТОГО Торговля'!$B$5:$B$300,$B94)+SUMIFS('ИТОГО Лэндинг'!$C$5:$C$300,'ИТОГО Лэндинг'!$B$5:$B$300,$B94)))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Лэндинг'!$B$5:$B$300,$B94)=0,"",SUMIFS('ИТОГО Торговля'!$F$5:$F$300,'ИТОГО Торговля'!$B$5:$B$300,$B94)+SUMIFS('ИТОГО Лэндинг'!$F$5:$F$300,'ИТОГО Лэндинг'!$B$5:$B$300,$B94)))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Лэндинг'!$B$5:$B$300,$B94),8))</f>
        <v/>
      </c>
      <c r="L94" s="183">
        <f>IF(K94="","",IF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94/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Лэндинг'!$B$5:$B$300,$B95)=0,"",SUMIFS('ИТОГО Торговля'!$C$5:$C$300,'ИТОГО Торговля'!$B$5:$B$300,$B95)+SUMIFS('ИТОГО Лэндинг'!$C$5:$C$300,'ИТОГО Лэндинг'!$B$5:$B$300,$B95)))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Лэндинг'!$B$5:$B$300,$B95)=0,"",SUMIFS('ИТОГО Торговля'!$F$5:$F$300,'ИТОГО Торговля'!$B$5:$B$300,$B95)+SUMIFS('ИТОГО Лэндинг'!$F$5:$F$300,'ИТОГО Лэндинг'!$B$5:$B$300,$B95)))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Лэндинг'!$B$5:$B$300,$B95),8))</f>
        <v/>
      </c>
      <c r="L95" s="177">
        <f>IF(K95="","",IF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95/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Лэндинг'!$B$5:$B$300,$B96)=0,"",SUMIFS('ИТОГО Торговля'!$C$5:$C$300,'ИТОГО Торговля'!$B$5:$B$300,$B96)+SUMIFS('ИТОГО Лэндинг'!$C$5:$C$300,'ИТОГО Лэндинг'!$B$5:$B$300,$B96)))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Лэндинг'!$B$5:$B$300,$B96)=0,"",SUMIFS('ИТОГО Торговля'!$F$5:$F$300,'ИТОГО Торговля'!$B$5:$B$300,$B96)+SUMIFS('ИТОГО Лэндинг'!$F$5:$F$300,'ИТОГО Лэндинг'!$B$5:$B$300,$B96)))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Лэндинг'!$B$5:$B$300,$B96),8))</f>
        <v/>
      </c>
      <c r="L96" s="183">
        <f>IF(K96="","",IF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96/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Лэндинг'!$B$5:$B$300,$B97)=0,"",SUMIFS('ИТОГО Торговля'!$C$5:$C$300,'ИТОГО Торговля'!$B$5:$B$300,$B97)+SUMIFS('ИТОГО Лэндинг'!$C$5:$C$300,'ИТОГО Лэндинг'!$B$5:$B$300,$B97)))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Лэндинг'!$B$5:$B$300,$B97)=0,"",SUMIFS('ИТОГО Торговля'!$F$5:$F$300,'ИТОГО Торговля'!$B$5:$B$300,$B97)+SUMIFS('ИТОГО Лэндинг'!$F$5:$F$300,'ИТОГО Лэндинг'!$B$5:$B$300,$B97)))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Лэндинг'!$B$5:$B$300,$B97),8))</f>
        <v/>
      </c>
      <c r="L97" s="177">
        <f>IF(K97="","",IF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97/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Лэндинг'!$B$5:$B$300,$B98)=0,"",SUMIFS('ИТОГО Торговля'!$C$5:$C$300,'ИТОГО Торговля'!$B$5:$B$300,$B98)+SUMIFS('ИТОГО Лэндинг'!$C$5:$C$300,'ИТОГО Лэндинг'!$B$5:$B$300,$B98)))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Лэндинг'!$B$5:$B$300,$B98)=0,"",SUMIFS('ИТОГО Торговля'!$F$5:$F$300,'ИТОГО Торговля'!$B$5:$B$300,$B98)+SUMIFS('ИТОГО Лэндинг'!$F$5:$F$300,'ИТОГО Лэндинг'!$B$5:$B$300,$B98)))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Лэндинг'!$B$5:$B$300,$B98),8))</f>
        <v/>
      </c>
      <c r="L98" s="183">
        <f>IF(K98="","",IF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98/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Лэндинг'!$B$5:$B$300,$B99)=0,"",SUMIFS('ИТОГО Торговля'!$C$5:$C$300,'ИТОГО Торговля'!$B$5:$B$300,$B99)+SUMIFS('ИТОГО Лэндинг'!$C$5:$C$300,'ИТОГО Лэндинг'!$B$5:$B$300,$B99)))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Лэндинг'!$B$5:$B$300,$B99)=0,"",SUMIFS('ИТОГО Торговля'!$F$5:$F$300,'ИТОГО Торговля'!$B$5:$B$300,$B99)+SUMIFS('ИТОГО Лэндинг'!$F$5:$F$300,'ИТОГО Лэндинг'!$B$5:$B$300,$B99)))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Лэндинг'!$B$5:$B$300,$B99),8))</f>
        <v/>
      </c>
      <c r="L99" s="177">
        <f>IF(K99="","",IF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99/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Лэндинг'!$B$5:$B$300,$B100)=0,"",SUMIFS('ИТОГО Торговля'!$C$5:$C$300,'ИТОГО Торговля'!$B$5:$B$300,$B100)+SUMIFS('ИТОГО Лэндинг'!$C$5:$C$300,'ИТОГО Лэндинг'!$B$5:$B$300,$B100)))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Лэндинг'!$B$5:$B$300,$B100)=0,"",SUMIFS('ИТОГО Торговля'!$F$5:$F$300,'ИТОГО Торговля'!$B$5:$B$300,$B100)+SUMIFS('ИТОГО Лэндинг'!$F$5:$F$300,'ИТОГО Лэндинг'!$B$5:$B$300,$B100)))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Лэндинг'!$B$5:$B$300,$B100),8))</f>
        <v/>
      </c>
      <c r="L100" s="183">
        <f>IF(K100="","",IF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100/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Лэндинг'!$B$5:$B$300,$B101)=0,"",SUMIFS('ИТОГО Торговля'!$C$5:$C$300,'ИТОГО Торговля'!$B$5:$B$300,$B101)+SUMIFS('ИТОГО Лэндинг'!$C$5:$C$300,'ИТОГО Лэндинг'!$B$5:$B$300,$B101)))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Лэндинг'!$B$5:$B$300,$B101)=0,"",SUMIFS('ИТОГО Торговля'!$F$5:$F$300,'ИТОГО Торговля'!$B$5:$B$300,$B101)+SUMIFS('ИТОГО Лэндинг'!$F$5:$F$300,'ИТОГО Лэндинг'!$B$5:$B$300,$B101)))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Лэндинг'!$B$5:$B$300,$B101),8))</f>
        <v/>
      </c>
      <c r="L101" s="177">
        <f>IF(K101="","",IF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101/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Лэндинг'!$B$5:$B$300,$B102)=0,"",SUMIFS('ИТОГО Торговля'!$C$5:$C$300,'ИТОГО Торговля'!$B$5:$B$300,$B102)+SUMIFS('ИТОГО Лэндинг'!$C$5:$C$300,'ИТОГО Лэндинг'!$B$5:$B$300,$B102)))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Лэндинг'!$B$5:$B$300,$B102)=0,"",SUMIFS('ИТОГО Торговля'!$F$5:$F$300,'ИТОГО Торговля'!$B$5:$B$300,$B102)+SUMIFS('ИТОГО Лэндинг'!$F$5:$F$300,'ИТОГО Лэндинг'!$B$5:$B$300,$B102)))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Лэндинг'!$B$5:$B$300,$B102),8))</f>
        <v/>
      </c>
      <c r="L102" s="183">
        <f>IF(K102="","",IF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102/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Лэндинг'!$B$5:$B$300,$B103)=0,"",SUMIFS('ИТОГО Торговля'!$C$5:$C$300,'ИТОГО Торговля'!$B$5:$B$300,$B103)+SUMIFS('ИТОГО Лэндинг'!$C$5:$C$300,'ИТОГО Лэндинг'!$B$5:$B$300,$B103)))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Лэндинг'!$B$5:$B$300,$B103)=0,"",SUMIFS('ИТОГО Торговля'!$F$5:$F$300,'ИТОГО Торговля'!$B$5:$B$300,$B103)+SUMIFS('ИТОГО Лэндинг'!$F$5:$F$300,'ИТОГО Лэндинг'!$B$5:$B$300,$B103)))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Лэндинг'!$B$5:$B$300,$B103),8))</f>
        <v/>
      </c>
      <c r="L103" s="177">
        <f>IF(K103="","",IF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103/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Лэндинг'!$B$5:$B$300,$B104)=0,"",SUMIFS('ИТОГО Торговля'!$C$5:$C$300,'ИТОГО Торговля'!$B$5:$B$300,$B104)+SUMIFS('ИТОГО Лэндинг'!$C$5:$C$300,'ИТОГО Лэндинг'!$B$5:$B$300,$B104)))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Лэндинг'!$B$5:$B$300,$B104)=0,"",SUMIFS('ИТОГО Торговля'!$F$5:$F$300,'ИТОГО Торговля'!$B$5:$B$300,$B104)+SUMIFS('ИТОГО Лэндинг'!$F$5:$F$300,'ИТОГО Лэндинг'!$B$5:$B$300,$B104)))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Лэндинг'!$B$5:$B$300,$B104),8))</f>
        <v/>
      </c>
      <c r="L104" s="183">
        <f>IF(K104="","",IF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104/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Лэндинг'!$B$5:$B$300,$B105)=0,"",SUMIFS('ИТОГО Торговля'!$C$5:$C$300,'ИТОГО Торговля'!$B$5:$B$300,$B105)+SUMIFS('ИТОГО Лэндинг'!$C$5:$C$300,'ИТОГО Лэндинг'!$B$5:$B$300,$B105)))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Лэндинг'!$B$5:$B$300,$B105)=0,"",SUMIFS('ИТОГО Торговля'!$F$5:$F$300,'ИТОГО Торговля'!$B$5:$B$300,$B105)+SUMIFS('ИТОГО Лэндинг'!$F$5:$F$300,'ИТОГО Лэндинг'!$B$5:$B$300,$B105)))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Лэндинг'!$B$5:$B$300,$B105),8))</f>
        <v/>
      </c>
      <c r="L105" s="177">
        <f>IF(K105="","",IF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105/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Лэндинг'!$B$5:$B$300,$B106)=0,"",SUMIFS('ИТОГО Торговля'!$C$5:$C$300,'ИТОГО Торговля'!$B$5:$B$300,$B106)+SUMIFS('ИТОГО Лэндинг'!$C$5:$C$300,'ИТОГО Лэндинг'!$B$5:$B$300,$B106)))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Лэндинг'!$B$5:$B$300,$B106)=0,"",SUMIFS('ИТОГО Торговля'!$F$5:$F$300,'ИТОГО Торговля'!$B$5:$B$300,$B106)+SUMIFS('ИТОГО Лэндинг'!$F$5:$F$300,'ИТОГО Лэндинг'!$B$5:$B$300,$B106)))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Лэндинг'!$B$5:$B$300,$B106),8))</f>
        <v/>
      </c>
      <c r="L106" s="183">
        <f>IF(K106="","",IF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106/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Лэндинг'!$B$5:$B$300,$B107)=0,"",SUMIFS('ИТОГО Торговля'!$C$5:$C$300,'ИТОГО Торговля'!$B$5:$B$300,$B107)+SUMIFS('ИТОГО Лэндинг'!$C$5:$C$300,'ИТОГО Лэндинг'!$B$5:$B$300,$B107)))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Лэндинг'!$B$5:$B$300,$B107)=0,"",SUMIFS('ИТОГО Торговля'!$F$5:$F$300,'ИТОГО Торговля'!$B$5:$B$300,$B107)+SUMIFS('ИТОГО Лэндинг'!$F$5:$F$300,'ИТОГО Лэндинг'!$B$5:$B$300,$B107)))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Лэндинг'!$B$5:$B$300,$B107),8))</f>
        <v/>
      </c>
      <c r="L107" s="177">
        <f>IF(K107="","",IF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107/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Лэндинг'!$B$5:$B$300,$B108)=0,"",SUMIFS('ИТОГО Торговля'!$C$5:$C$300,'ИТОГО Торговля'!$B$5:$B$300,$B108)+SUMIFS('ИТОГО Лэндинг'!$C$5:$C$300,'ИТОГО Лэндинг'!$B$5:$B$300,$B108)))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Лэндинг'!$B$5:$B$300,$B108)=0,"",SUMIFS('ИТОГО Торговля'!$F$5:$F$300,'ИТОГО Торговля'!$B$5:$B$300,$B108)+SUMIFS('ИТОГО Лэндинг'!$F$5:$F$300,'ИТОГО Лэндинг'!$B$5:$B$300,$B108)))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Лэндинг'!$B$5:$B$300,$B108),8))</f>
        <v/>
      </c>
      <c r="L108" s="183">
        <f>IF(K108="","",IF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108/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Лэндинг'!$B$5:$B$300,$B109)=0,"",SUMIFS('ИТОГО Торговля'!$C$5:$C$300,'ИТОГО Торговля'!$B$5:$B$300,$B109)+SUMIFS('ИТОГО Лэндинг'!$C$5:$C$300,'ИТОГО Лэндинг'!$B$5:$B$300,$B109)))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Лэндинг'!$B$5:$B$300,$B109)=0,"",SUMIFS('ИТОГО Торговля'!$F$5:$F$300,'ИТОГО Торговля'!$B$5:$B$300,$B109)+SUMIFS('ИТОГО Лэндинг'!$F$5:$F$300,'ИТОГО Лэндинг'!$B$5:$B$300,$B109)))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Лэндинг'!$B$5:$B$300,$B109),8))</f>
        <v/>
      </c>
      <c r="L109" s="177">
        <f>IF(K109="","",IF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109/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Лэндинг'!$B$5:$B$300,$B110)=0,"",SUMIFS('ИТОГО Торговля'!$C$5:$C$300,'ИТОГО Торговля'!$B$5:$B$300,$B110)+SUMIFS('ИТОГО Лэндинг'!$C$5:$C$300,'ИТОГО Лэндинг'!$B$5:$B$300,$B110)))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Лэндинг'!$B$5:$B$300,$B110)=0,"",SUMIFS('ИТОГО Торговля'!$F$5:$F$300,'ИТОГО Торговля'!$B$5:$B$300,$B110)+SUMIFS('ИТОГО Лэндинг'!$F$5:$F$300,'ИТОГО Лэндинг'!$B$5:$B$300,$B110)))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Лэндинг'!$B$5:$B$300,$B110),8))</f>
        <v/>
      </c>
      <c r="L110" s="183">
        <f>IF(K110="","",IF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110/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Лэндинг'!$B$5:$B$300,$B111)=0,"",SUMIFS('ИТОГО Торговля'!$C$5:$C$300,'ИТОГО Торговля'!$B$5:$B$300,$B111)+SUMIFS('ИТОГО Лэндинг'!$C$5:$C$300,'ИТОГО Лэндинг'!$B$5:$B$300,$B111)))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Лэндинг'!$B$5:$B$300,$B111)=0,"",SUMIFS('ИТОГО Торговля'!$F$5:$F$300,'ИТОГО Торговля'!$B$5:$B$300,$B111)+SUMIFS('ИТОГО Лэндинг'!$F$5:$F$300,'ИТОГО Лэндинг'!$B$5:$B$300,$B111)))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Лэндинг'!$B$5:$B$300,$B111),8))</f>
        <v/>
      </c>
      <c r="L111" s="177">
        <f>IF(K111="","",IF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111/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Лэндинг'!$B$5:$B$300,$B112)=0,"",SUMIFS('ИТОГО Торговля'!$C$5:$C$300,'ИТОГО Торговля'!$B$5:$B$300,$B112)+SUMIFS('ИТОГО Лэндинг'!$C$5:$C$300,'ИТОГО Лэндинг'!$B$5:$B$300,$B112)))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Лэндинг'!$B$5:$B$300,$B112)=0,"",SUMIFS('ИТОГО Торговля'!$F$5:$F$300,'ИТОГО Торговля'!$B$5:$B$300,$B112)+SUMIFS('ИТОГО Лэндинг'!$F$5:$F$300,'ИТОГО Лэндинг'!$B$5:$B$300,$B112)))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Лэндинг'!$B$5:$B$300,$B112),8))</f>
        <v/>
      </c>
      <c r="L112" s="183">
        <f>IF(K112="","",IF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112/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Лэндинг'!$B$5:$B$300,$B113)=0,"",SUMIFS('ИТОГО Торговля'!$C$5:$C$300,'ИТОГО Торговля'!$B$5:$B$300,$B113)+SUMIFS('ИТОГО Лэндинг'!$C$5:$C$300,'ИТОГО Лэндинг'!$B$5:$B$300,$B113)))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Лэндинг'!$B$5:$B$300,$B113)=0,"",SUMIFS('ИТОГО Торговля'!$F$5:$F$300,'ИТОГО Торговля'!$B$5:$B$300,$B113)+SUMIFS('ИТОГО Лэндинг'!$F$5:$F$300,'ИТОГО Лэндинг'!$B$5:$B$300,$B113)))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Лэндинг'!$B$5:$B$300,$B113),8))</f>
        <v/>
      </c>
      <c r="L113" s="177">
        <f>IF(K113="","",IF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113/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Лэндинг'!$B$5:$B$300,$B114)=0,"",SUMIFS('ИТОГО Торговля'!$C$5:$C$300,'ИТОГО Торговля'!$B$5:$B$300,$B114)+SUMIFS('ИТОГО Лэндинг'!$C$5:$C$300,'ИТОГО Лэндинг'!$B$5:$B$300,$B114)))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Лэндинг'!$B$5:$B$300,$B114)=0,"",SUMIFS('ИТОГО Торговля'!$F$5:$F$300,'ИТОГО Торговля'!$B$5:$B$300,$B114)+SUMIFS('ИТОГО Лэндинг'!$F$5:$F$300,'ИТОГО Лэндинг'!$B$5:$B$300,$B114)))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Лэндинг'!$B$5:$B$300,$B114),8))</f>
        <v/>
      </c>
      <c r="L114" s="183">
        <f>IF(K114="","",IF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114/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Лэндинг'!$B$5:$B$300,$B115)=0,"",SUMIFS('ИТОГО Торговля'!$C$5:$C$300,'ИТОГО Торговля'!$B$5:$B$300,$B115)+SUMIFS('ИТОГО Лэндинг'!$C$5:$C$300,'ИТОГО Лэндинг'!$B$5:$B$300,$B115)))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Лэндинг'!$B$5:$B$300,$B115)=0,"",SUMIFS('ИТОГО Торговля'!$F$5:$F$300,'ИТОГО Торговля'!$B$5:$B$300,$B115)+SUMIFS('ИТОГО Лэндинг'!$F$5:$F$300,'ИТОГО Лэндинг'!$B$5:$B$300,$B115)))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Лэндинг'!$B$5:$B$300,$B115),8))</f>
        <v/>
      </c>
      <c r="L115" s="177">
        <f>IF(K115="","",IF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115/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Лэндинг'!$B$5:$B$300,$B116)=0,"",SUMIFS('ИТОГО Торговля'!$C$5:$C$300,'ИТОГО Торговля'!$B$5:$B$300,$B116)+SUMIFS('ИТОГО Лэндинг'!$C$5:$C$300,'ИТОГО Лэндинг'!$B$5:$B$300,$B116)))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Лэндинг'!$B$5:$B$300,$B116)=0,"",SUMIFS('ИТОГО Торговля'!$F$5:$F$300,'ИТОГО Торговля'!$B$5:$B$300,$B116)+SUMIFS('ИТОГО Лэндинг'!$F$5:$F$300,'ИТОГО Лэндинг'!$B$5:$B$300,$B116)))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Лэндинг'!$B$5:$B$300,$B116),8))</f>
        <v/>
      </c>
      <c r="L116" s="183">
        <f>IF(K116="","",IF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116/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Лэндинг'!$B$5:$B$300,$B117)=0,"",SUMIFS('ИТОГО Торговля'!$C$5:$C$300,'ИТОГО Торговля'!$B$5:$B$300,$B117)+SUMIFS('ИТОГО Лэндинг'!$C$5:$C$300,'ИТОГО Лэндинг'!$B$5:$B$300,$B117)))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Лэндинг'!$B$5:$B$300,$B117)=0,"",SUMIFS('ИТОГО Торговля'!$F$5:$F$300,'ИТОГО Торговля'!$B$5:$B$300,$B117)+SUMIFS('ИТОГО Лэндинг'!$F$5:$F$300,'ИТОГО Лэндинг'!$B$5:$B$300,$B117)))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Лэндинг'!$B$5:$B$300,$B117),8))</f>
        <v/>
      </c>
      <c r="L117" s="177">
        <f>IF(K117="","",IF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117/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Лэндинг'!$B$5:$B$300,$B118)=0,"",SUMIFS('ИТОГО Торговля'!$C$5:$C$300,'ИТОГО Торговля'!$B$5:$B$300,$B118)+SUMIFS('ИТОГО Лэндинг'!$C$5:$C$300,'ИТОГО Лэндинг'!$B$5:$B$300,$B118)))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Лэндинг'!$B$5:$B$300,$B118)=0,"",SUMIFS('ИТОГО Торговля'!$F$5:$F$300,'ИТОГО Торговля'!$B$5:$B$300,$B118)+SUMIFS('ИТОГО Лэндинг'!$F$5:$F$300,'ИТОГО Лэндинг'!$B$5:$B$300,$B118)))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Лэндинг'!$B$5:$B$300,$B118),8))</f>
        <v/>
      </c>
      <c r="L118" s="183">
        <f>IF(K118="","",IF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118/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Лэндинг'!$B$5:$B$300,$B119)=0,"",SUMIFS('ИТОГО Торговля'!$C$5:$C$300,'ИТОГО Торговля'!$B$5:$B$300,$B119)+SUMIFS('ИТОГО Лэндинг'!$C$5:$C$300,'ИТОГО Лэндинг'!$B$5:$B$300,$B119)))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Лэндинг'!$B$5:$B$300,$B119)=0,"",SUMIFS('ИТОГО Торговля'!$F$5:$F$300,'ИТОГО Торговля'!$B$5:$B$300,$B119)+SUMIFS('ИТОГО Лэндинг'!$F$5:$F$300,'ИТОГО Лэндинг'!$B$5:$B$300,$B119)))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Лэндинг'!$B$5:$B$300,$B119),8))</f>
        <v/>
      </c>
      <c r="L119" s="177">
        <f>IF(K119="","",IF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119/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Лэндинг'!$B$5:$B$300,$B120)=0,"",SUMIFS('ИТОГО Торговля'!$C$5:$C$300,'ИТОГО Торговля'!$B$5:$B$300,$B120)+SUMIFS('ИТОГО Лэндинг'!$C$5:$C$300,'ИТОГО Лэндинг'!$B$5:$B$300,$B120)))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Лэндинг'!$B$5:$B$300,$B120)=0,"",SUMIFS('ИТОГО Торговля'!$F$5:$F$300,'ИТОГО Торговля'!$B$5:$B$300,$B120)+SUMIFS('ИТОГО Лэндинг'!$F$5:$F$300,'ИТОГО Лэндинг'!$B$5:$B$300,$B120)))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Лэндинг'!$B$5:$B$300,$B120),8))</f>
        <v/>
      </c>
      <c r="L120" s="183">
        <f>IF(K120="","",IF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120/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Лэндинг'!$B$5:$B$300,$B121)=0,"",SUMIFS('ИТОГО Торговля'!$C$5:$C$300,'ИТОГО Торговля'!$B$5:$B$300,$B121)+SUMIFS('ИТОГО Лэндинг'!$C$5:$C$300,'ИТОГО Лэндинг'!$B$5:$B$300,$B121)))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Лэндинг'!$B$5:$B$300,$B121)=0,"",SUMIFS('ИТОГО Торговля'!$F$5:$F$300,'ИТОГО Торговля'!$B$5:$B$300,$B121)+SUMIFS('ИТОГО Лэндинг'!$F$5:$F$300,'ИТОГО Лэндинг'!$B$5:$B$300,$B121)))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Лэндинг'!$B$5:$B$300,$B121),8))</f>
        <v/>
      </c>
      <c r="L121" s="177">
        <f>IF(K121="","",IF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121/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Лэндинг'!$B$5:$B$300,$B122)=0,"",SUMIFS('ИТОГО Торговля'!$C$5:$C$300,'ИТОГО Торговля'!$B$5:$B$300,$B122)+SUMIFS('ИТОГО Лэндинг'!$C$5:$C$300,'ИТОГО Лэндинг'!$B$5:$B$300,$B122)))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Лэндинг'!$B$5:$B$300,$B122)=0,"",SUMIFS('ИТОГО Торговля'!$F$5:$F$300,'ИТОГО Торговля'!$B$5:$B$300,$B122)+SUMIFS('ИТОГО Лэндинг'!$F$5:$F$300,'ИТОГО Лэндинг'!$B$5:$B$300,$B122)))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Лэндинг'!$B$5:$B$300,$B122),8))</f>
        <v/>
      </c>
      <c r="L122" s="183">
        <f>IF(K122="","",IF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122/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Лэндинг'!$B$5:$B$300,$B123)=0,"",SUMIFS('ИТОГО Торговля'!$C$5:$C$300,'ИТОГО Торговля'!$B$5:$B$300,$B123)+SUMIFS('ИТОГО Лэндинг'!$C$5:$C$300,'ИТОГО Лэндинг'!$B$5:$B$300,$B123)))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Лэндинг'!$B$5:$B$300,$B123)=0,"",SUMIFS('ИТОГО Торговля'!$F$5:$F$300,'ИТОГО Торговля'!$B$5:$B$300,$B123)+SUMIFS('ИТОГО Лэндинг'!$F$5:$F$300,'ИТОГО Лэндинг'!$B$5:$B$300,$B123)))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Лэндинг'!$B$5:$B$300,$B123),8))</f>
        <v/>
      </c>
      <c r="L123" s="177">
        <f>IF(K123="","",IF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123/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Лэндинг'!$B$5:$B$300,$B124)=0,"",SUMIFS('ИТОГО Торговля'!$C$5:$C$300,'ИТОГО Торговля'!$B$5:$B$300,$B124)+SUMIFS('ИТОГО Лэндинг'!$C$5:$C$300,'ИТОГО Лэндинг'!$B$5:$B$300,$B124)))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Лэндинг'!$B$5:$B$300,$B124)=0,"",SUMIFS('ИТОГО Торговля'!$F$5:$F$300,'ИТОГО Торговля'!$B$5:$B$300,$B124)+SUMIFS('ИТОГО Лэндинг'!$F$5:$F$300,'ИТОГО Лэндинг'!$B$5:$B$300,$B124)))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Лэндинг'!$B$5:$B$300,$B124),8))</f>
        <v/>
      </c>
      <c r="L124" s="183">
        <f>IF(K124="","",IF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124/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Лэндинг'!$B$5:$B$300,$B125)=0,"",SUMIFS('ИТОГО Торговля'!$C$5:$C$300,'ИТОГО Торговля'!$B$5:$B$300,$B125)+SUMIFS('ИТОГО Лэндинг'!$C$5:$C$300,'ИТОГО Лэндинг'!$B$5:$B$300,$B125)))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Лэндинг'!$B$5:$B$300,$B125)=0,"",SUMIFS('ИТОГО Торговля'!$F$5:$F$300,'ИТОГО Торговля'!$B$5:$B$300,$B125)+SUMIFS('ИТОГО Лэндинг'!$F$5:$F$300,'ИТОГО Лэндинг'!$B$5:$B$300,$B125)))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Лэндинг'!$B$5:$B$300,$B125),8))</f>
        <v/>
      </c>
      <c r="L125" s="177">
        <f>IF(K125="","",IF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125/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Лэндинг'!$B$5:$B$300,$B126)=0,"",SUMIFS('ИТОГО Торговля'!$C$5:$C$300,'ИТОГО Торговля'!$B$5:$B$300,$B126)+SUMIFS('ИТОГО Лэндинг'!$C$5:$C$300,'ИТОГО Лэндинг'!$B$5:$B$300,$B126)))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Лэндинг'!$B$5:$B$300,$B126)=0,"",SUMIFS('ИТОГО Торговля'!$F$5:$F$300,'ИТОГО Торговля'!$B$5:$B$300,$B126)+SUMIFS('ИТОГО Лэндинг'!$F$5:$F$300,'ИТОГО Лэндинг'!$B$5:$B$300,$B126)))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Лэндинг'!$B$5:$B$300,$B126),8))</f>
        <v/>
      </c>
      <c r="L126" s="183">
        <f>IF(K126="","",IF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126/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Лэндинг'!$B$5:$B$300,$B127)=0,"",SUMIFS('ИТОГО Торговля'!$C$5:$C$300,'ИТОГО Торговля'!$B$5:$B$300,$B127)+SUMIFS('ИТОГО Лэндинг'!$C$5:$C$300,'ИТОГО Лэндинг'!$B$5:$B$300,$B127)))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Лэндинг'!$B$5:$B$300,$B127)=0,"",SUMIFS('ИТОГО Торговля'!$F$5:$F$300,'ИТОГО Торговля'!$B$5:$B$300,$B127)+SUMIFS('ИТОГО Лэндинг'!$F$5:$F$300,'ИТОГО Лэндинг'!$B$5:$B$300,$B127)))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Лэндинг'!$B$5:$B$300,$B127),8))</f>
        <v/>
      </c>
      <c r="L127" s="177">
        <f>IF(K127="","",IF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127/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Лэндинг'!$B$5:$B$300,$B128)=0,"",SUMIFS('ИТОГО Торговля'!$C$5:$C$300,'ИТОГО Торговля'!$B$5:$B$300,$B128)+SUMIFS('ИТОГО Лэндинг'!$C$5:$C$300,'ИТОГО Лэндинг'!$B$5:$B$300,$B128)))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Лэндинг'!$B$5:$B$300,$B128)=0,"",SUMIFS('ИТОГО Торговля'!$F$5:$F$300,'ИТОГО Торговля'!$B$5:$B$300,$B128)+SUMIFS('ИТОГО Лэндинг'!$F$5:$F$300,'ИТОГО Лэндинг'!$B$5:$B$300,$B128)))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Лэндинг'!$B$5:$B$300,$B128),8))</f>
        <v/>
      </c>
      <c r="L128" s="183">
        <f>IF(K128="","",IF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128/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Лэндинг'!$B$5:$B$300,$B129)=0,"",SUMIFS('ИТОГО Торговля'!$C$5:$C$300,'ИТОГО Торговля'!$B$5:$B$300,$B129)+SUMIFS('ИТОГО Лэндинг'!$C$5:$C$300,'ИТОГО Лэндинг'!$B$5:$B$300,$B129)))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Лэндинг'!$B$5:$B$300,$B129)=0,"",SUMIFS('ИТОГО Торговля'!$F$5:$F$300,'ИТОГО Торговля'!$B$5:$B$300,$B129)+SUMIFS('ИТОГО Лэндинг'!$F$5:$F$300,'ИТОГО Лэндинг'!$B$5:$B$300,$B129)))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Лэндинг'!$B$5:$B$300,$B129),8))</f>
        <v/>
      </c>
      <c r="L129" s="177">
        <f>IF(K129="","",IF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129/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Лэндинг'!$B$5:$B$300,$B130)=0,"",SUMIFS('ИТОГО Торговля'!$C$5:$C$300,'ИТОГО Торговля'!$B$5:$B$300,$B130)+SUMIFS('ИТОГО Лэндинг'!$C$5:$C$300,'ИТОГО Лэндинг'!$B$5:$B$300,$B130)))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Лэндинг'!$B$5:$B$300,$B130)=0,"",SUMIFS('ИТОГО Торговля'!$F$5:$F$300,'ИТОГО Торговля'!$B$5:$B$300,$B130)+SUMIFS('ИТОГО Лэндинг'!$F$5:$F$300,'ИТОГО Лэндинг'!$B$5:$B$300,$B130)))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Лэндинг'!$B$5:$B$300,$B130),8))</f>
        <v/>
      </c>
      <c r="L130" s="183">
        <f>IF(K130="","",IF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130/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Лэндинг'!$B$5:$B$300,$B131)=0,"",SUMIFS('ИТОГО Торговля'!$C$5:$C$300,'ИТОГО Торговля'!$B$5:$B$300,$B131)+SUMIFS('ИТОГО Лэндинг'!$C$5:$C$300,'ИТОГО Лэндинг'!$B$5:$B$300,$B131)))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Лэндинг'!$B$5:$B$300,$B131)=0,"",SUMIFS('ИТОГО Торговля'!$F$5:$F$300,'ИТОГО Торговля'!$B$5:$B$300,$B131)+SUMIFS('ИТОГО Лэндинг'!$F$5:$F$300,'ИТОГО Лэндинг'!$B$5:$B$300,$B131)))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Лэндинг'!$B$5:$B$300,$B131),8))</f>
        <v/>
      </c>
      <c r="L131" s="177">
        <f>IF(K131="","",IF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131/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Лэндинг'!$B$5:$B$300,$B132)=0,"",SUMIFS('ИТОГО Торговля'!$C$5:$C$300,'ИТОГО Торговля'!$B$5:$B$300,$B132)+SUMIFS('ИТОГО Лэндинг'!$C$5:$C$300,'ИТОГО Лэндинг'!$B$5:$B$300,$B132)))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Лэндинг'!$B$5:$B$300,$B132)=0,"",SUMIFS('ИТОГО Торговля'!$F$5:$F$300,'ИТОГО Торговля'!$B$5:$B$300,$B132)+SUMIFS('ИТОГО Лэндинг'!$F$5:$F$300,'ИТОГО Лэндинг'!$B$5:$B$300,$B132)))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Лэндинг'!$B$5:$B$300,$B132),8))</f>
        <v/>
      </c>
      <c r="L132" s="183">
        <f>IF(K132="","",IF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132/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Лэндинг'!$B$5:$B$300,$B133)=0,"",SUMIFS('ИТОГО Торговля'!$C$5:$C$300,'ИТОГО Торговля'!$B$5:$B$300,$B133)+SUMIFS('ИТОГО Лэндинг'!$C$5:$C$300,'ИТОГО Лэндинг'!$B$5:$B$300,$B133)))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Лэндинг'!$B$5:$B$300,$B133)=0,"",SUMIFS('ИТОГО Торговля'!$F$5:$F$300,'ИТОГО Торговля'!$B$5:$B$300,$B133)+SUMIFS('ИТОГО Лэндинг'!$F$5:$F$300,'ИТОГО Лэндинг'!$B$5:$B$300,$B133)))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Лэндинг'!$B$5:$B$300,$B133),8))</f>
        <v/>
      </c>
      <c r="L133" s="177">
        <f>IF(K133="","",IF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133/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Лэндинг'!$B$5:$B$300,$B134)=0,"",SUMIFS('ИТОГО Торговля'!$C$5:$C$300,'ИТОГО Торговля'!$B$5:$B$300,$B134)+SUMIFS('ИТОГО Лэндинг'!$C$5:$C$300,'ИТОГО Лэндинг'!$B$5:$B$300,$B134)))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Лэндинг'!$B$5:$B$300,$B134)=0,"",SUMIFS('ИТОГО Торговля'!$F$5:$F$300,'ИТОГО Торговля'!$B$5:$B$300,$B134)+SUMIFS('ИТОГО Лэндинг'!$F$5:$F$300,'ИТОГО Лэндинг'!$B$5:$B$300,$B134)))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Лэндинг'!$B$5:$B$300,$B134),8))</f>
        <v/>
      </c>
      <c r="L134" s="183">
        <f>IF(K134="","",IF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134/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Лэндинг'!$B$5:$B$300,$B135)=0,"",SUMIFS('ИТОГО Торговля'!$C$5:$C$300,'ИТОГО Торговля'!$B$5:$B$300,$B135)+SUMIFS('ИТОГО Лэндинг'!$C$5:$C$300,'ИТОГО Лэндинг'!$B$5:$B$300,$B135)))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Лэндинг'!$B$5:$B$300,$B135)=0,"",SUMIFS('ИТОГО Торговля'!$F$5:$F$300,'ИТОГО Торговля'!$B$5:$B$300,$B135)+SUMIFS('ИТОГО Лэндинг'!$F$5:$F$300,'ИТОГО Лэндинг'!$B$5:$B$300,$B135)))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Лэндинг'!$B$5:$B$300,$B135),8))</f>
        <v/>
      </c>
      <c r="L135" s="177">
        <f>IF(K135="","",IF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135/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Лэндинг'!$B$5:$B$300,$B136)=0,"",SUMIFS('ИТОГО Торговля'!$C$5:$C$300,'ИТОГО Торговля'!$B$5:$B$300,$B136)+SUMIFS('ИТОГО Лэндинг'!$C$5:$C$300,'ИТОГО Лэндинг'!$B$5:$B$300,$B136)))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Лэндинг'!$B$5:$B$300,$B136)=0,"",SUMIFS('ИТОГО Торговля'!$F$5:$F$300,'ИТОГО Торговля'!$B$5:$B$300,$B136)+SUMIFS('ИТОГО Лэндинг'!$F$5:$F$300,'ИТОГО Лэндинг'!$B$5:$B$300,$B136)))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Лэндинг'!$B$5:$B$300,$B136),8))</f>
        <v/>
      </c>
      <c r="L136" s="183">
        <f>IF(K136="","",IF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136/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Лэндинг'!$B$5:$B$300,$B137)=0,"",SUMIFS('ИТОГО Торговля'!$C$5:$C$300,'ИТОГО Торговля'!$B$5:$B$300,$B137)+SUMIFS('ИТОГО Лэндинг'!$C$5:$C$300,'ИТОГО Лэндинг'!$B$5:$B$300,$B137)))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Лэндинг'!$B$5:$B$300,$B137)=0,"",SUMIFS('ИТОГО Торговля'!$F$5:$F$300,'ИТОГО Торговля'!$B$5:$B$300,$B137)+SUMIFS('ИТОГО Лэндинг'!$F$5:$F$300,'ИТОГО Лэндинг'!$B$5:$B$300,$B137)))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Лэндинг'!$B$5:$B$300,$B137),8))</f>
        <v/>
      </c>
      <c r="L137" s="177">
        <f>IF(K137="","",IF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137/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Лэндинг'!$B$5:$B$300,$B138)=0,"",SUMIFS('ИТОГО Торговля'!$C$5:$C$300,'ИТОГО Торговля'!$B$5:$B$300,$B138)+SUMIFS('ИТОГО Лэндинг'!$C$5:$C$300,'ИТОГО Лэндинг'!$B$5:$B$300,$B138)))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Лэндинг'!$B$5:$B$300,$B138)=0,"",SUMIFS('ИТОГО Торговля'!$F$5:$F$300,'ИТОГО Торговля'!$B$5:$B$300,$B138)+SUMIFS('ИТОГО Лэндинг'!$F$5:$F$300,'ИТОГО Лэндинг'!$B$5:$B$300,$B138)))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Лэндинг'!$B$5:$B$300,$B138),8))</f>
        <v/>
      </c>
      <c r="L138" s="183">
        <f>IF(K138="","",IF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138/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Лэндинг'!$B$5:$B$300,$B139)=0,"",SUMIFS('ИТОГО Торговля'!$C$5:$C$300,'ИТОГО Торговля'!$B$5:$B$300,$B139)+SUMIFS('ИТОГО Лэндинг'!$C$5:$C$300,'ИТОГО Лэндинг'!$B$5:$B$300,$B139)))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Лэндинг'!$B$5:$B$300,$B139)=0,"",SUMIFS('ИТОГО Торговля'!$F$5:$F$300,'ИТОГО Торговля'!$B$5:$B$300,$B139)+SUMIFS('ИТОГО Лэндинг'!$F$5:$F$300,'ИТОГО Лэндинг'!$B$5:$B$300,$B139)))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Лэндинг'!$B$5:$B$300,$B139),8))</f>
        <v/>
      </c>
      <c r="L139" s="177">
        <f>IF(K139="","",IF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139/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Лэндинг'!$B$5:$B$300,$B140)=0,"",SUMIFS('ИТОГО Торговля'!$C$5:$C$300,'ИТОГО Торговля'!$B$5:$B$300,$B140)+SUMIFS('ИТОГО Лэндинг'!$C$5:$C$300,'ИТОГО Лэндинг'!$B$5:$B$300,$B140)))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Лэндинг'!$B$5:$B$300,$B140)=0,"",SUMIFS('ИТОГО Торговля'!$F$5:$F$300,'ИТОГО Торговля'!$B$5:$B$300,$B140)+SUMIFS('ИТОГО Лэндинг'!$F$5:$F$300,'ИТОГО Лэндинг'!$B$5:$B$300,$B140)))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Лэндинг'!$B$5:$B$300,$B140),8))</f>
        <v/>
      </c>
      <c r="L140" s="183">
        <f>IF(K140="","",IF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140/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Лэндинг'!$B$5:$B$300,$B141)=0,"",SUMIFS('ИТОГО Торговля'!$C$5:$C$300,'ИТОГО Торговля'!$B$5:$B$300,$B141)+SUMIFS('ИТОГО Лэндинг'!$C$5:$C$300,'ИТОГО Лэндинг'!$B$5:$B$300,$B141)))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Лэндинг'!$B$5:$B$300,$B141)=0,"",SUMIFS('ИТОГО Торговля'!$F$5:$F$300,'ИТОГО Торговля'!$B$5:$B$300,$B141)+SUMIFS('ИТОГО Лэндинг'!$F$5:$F$300,'ИТОГО Лэндинг'!$B$5:$B$300,$B141)))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Лэндинг'!$B$5:$B$300,$B141),8))</f>
        <v/>
      </c>
      <c r="L141" s="177">
        <f>IF(K141="","",IF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141/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Лэндинг'!$B$5:$B$300,$B142)=0,"",SUMIFS('ИТОГО Торговля'!$C$5:$C$300,'ИТОГО Торговля'!$B$5:$B$300,$B142)+SUMIFS('ИТОГО Лэндинг'!$C$5:$C$300,'ИТОГО Лэндинг'!$B$5:$B$300,$B142)))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Лэндинг'!$B$5:$B$300,$B142)=0,"",SUMIFS('ИТОГО Торговля'!$F$5:$F$300,'ИТОГО Торговля'!$B$5:$B$300,$B142)+SUMIFS('ИТОГО Лэндинг'!$F$5:$F$300,'ИТОГО Лэндинг'!$B$5:$B$300,$B142)))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Лэндинг'!$B$5:$B$300,$B142),8))</f>
        <v/>
      </c>
      <c r="L142" s="183">
        <f>IF(K142="","",IF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142/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Лэндинг'!$B$5:$B$300,$B143)=0,"",SUMIFS('ИТОГО Торговля'!$C$5:$C$300,'ИТОГО Торговля'!$B$5:$B$300,$B143)+SUMIFS('ИТОГО Лэндинг'!$C$5:$C$300,'ИТОГО Лэндинг'!$B$5:$B$300,$B143)))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Лэндинг'!$B$5:$B$300,$B143)=0,"",SUMIFS('ИТОГО Торговля'!$F$5:$F$300,'ИТОГО Торговля'!$B$5:$B$300,$B143)+SUMIFS('ИТОГО Лэндинг'!$F$5:$F$300,'ИТОГО Лэндинг'!$B$5:$B$300,$B143)))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Лэндинг'!$B$5:$B$300,$B143),8))</f>
        <v/>
      </c>
      <c r="L143" s="177">
        <f>IF(K143="","",IF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143/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Лэндинг'!$B$5:$B$300,$B144)=0,"",SUMIFS('ИТОГО Торговля'!$C$5:$C$300,'ИТОГО Торговля'!$B$5:$B$300,$B144)+SUMIFS('ИТОГО Лэндинг'!$C$5:$C$300,'ИТОГО Лэндинг'!$B$5:$B$300,$B144)))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Лэндинг'!$B$5:$B$300,$B144)=0,"",SUMIFS('ИТОГО Торговля'!$F$5:$F$300,'ИТОГО Торговля'!$B$5:$B$300,$B144)+SUMIFS('ИТОГО Лэндинг'!$F$5:$F$300,'ИТОГО Лэндинг'!$B$5:$B$300,$B144)))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Лэндинг'!$B$5:$B$300,$B144),8))</f>
        <v/>
      </c>
      <c r="L144" s="183">
        <f>IF(K144="","",IF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144/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Лэндинг'!$B$5:$B$300,$B145)=0,"",SUMIFS('ИТОГО Торговля'!$C$5:$C$300,'ИТОГО Торговля'!$B$5:$B$300,$B145)+SUMIFS('ИТОГО Лэндинг'!$C$5:$C$300,'ИТОГО Лэндинг'!$B$5:$B$300,$B145)))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Лэндинг'!$B$5:$B$300,$B145)=0,"",SUMIFS('ИТОГО Торговля'!$F$5:$F$300,'ИТОГО Торговля'!$B$5:$B$300,$B145)+SUMIFS('ИТОГО Лэндинг'!$F$5:$F$300,'ИТОГО Лэндинг'!$B$5:$B$300,$B145)))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Лэндинг'!$B$5:$B$300,$B145),8))</f>
        <v/>
      </c>
      <c r="L145" s="177">
        <f>IF(K145="","",IF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145/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Лэндинг'!$B$5:$B$300,$B146)=0,"",SUMIFS('ИТОГО Торговля'!$C$5:$C$300,'ИТОГО Торговля'!$B$5:$B$300,$B146)+SUMIFS('ИТОГО Лэндинг'!$C$5:$C$300,'ИТОГО Лэндинг'!$B$5:$B$300,$B146)))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Лэндинг'!$B$5:$B$300,$B146)=0,"",SUMIFS('ИТОГО Торговля'!$F$5:$F$300,'ИТОГО Торговля'!$B$5:$B$300,$B146)+SUMIFS('ИТОГО Лэндинг'!$F$5:$F$300,'ИТОГО Лэндинг'!$B$5:$B$300,$B146)))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Лэндинг'!$B$5:$B$300,$B146),8))</f>
        <v/>
      </c>
      <c r="L146" s="183">
        <f>IF(K146="","",IF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146/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Лэндинг'!$B$5:$B$300,$B147)=0,"",SUMIFS('ИТОГО Торговля'!$C$5:$C$300,'ИТОГО Торговля'!$B$5:$B$300,$B147)+SUMIFS('ИТОГО Лэндинг'!$C$5:$C$300,'ИТОГО Лэндинг'!$B$5:$B$300,$B147)))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Лэндинг'!$B$5:$B$300,$B147)=0,"",SUMIFS('ИТОГО Торговля'!$F$5:$F$300,'ИТОГО Торговля'!$B$5:$B$300,$B147)+SUMIFS('ИТОГО Лэндинг'!$F$5:$F$300,'ИТОГО Лэндинг'!$B$5:$B$300,$B147)))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Лэндинг'!$B$5:$B$300,$B147),8))</f>
        <v/>
      </c>
      <c r="L147" s="177">
        <f>IF(K147="","",IF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147/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Лэндинг'!$B$5:$B$300,$B148)=0,"",SUMIFS('ИТОГО Торговля'!$C$5:$C$300,'ИТОГО Торговля'!$B$5:$B$300,$B148)+SUMIFS('ИТОГО Лэндинг'!$C$5:$C$300,'ИТОГО Лэндинг'!$B$5:$B$300,$B148)))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Лэндинг'!$B$5:$B$300,$B148)=0,"",SUMIFS('ИТОГО Торговля'!$F$5:$F$300,'ИТОГО Торговля'!$B$5:$B$300,$B148)+SUMIFS('ИТОГО Лэндинг'!$F$5:$F$300,'ИТОГО Лэндинг'!$B$5:$B$300,$B148)))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Лэндинг'!$B$5:$B$300,$B148),8))</f>
        <v/>
      </c>
      <c r="L148" s="183">
        <f>IF(K148="","",IF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148/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Лэндинг'!$B$5:$B$300,$B149)=0,"",SUMIFS('ИТОГО Торговля'!$C$5:$C$300,'ИТОГО Торговля'!$B$5:$B$300,$B149)+SUMIFS('ИТОГО Лэндинг'!$C$5:$C$300,'ИТОГО Лэндинг'!$B$5:$B$300,$B149)))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Лэндинг'!$B$5:$B$300,$B149)=0,"",SUMIFS('ИТОГО Торговля'!$F$5:$F$300,'ИТОГО Торговля'!$B$5:$B$300,$B149)+SUMIFS('ИТОГО Лэндинг'!$F$5:$F$300,'ИТОГО Лэндинг'!$B$5:$B$300,$B149)))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Лэндинг'!$B$5:$B$300,$B149),8))</f>
        <v/>
      </c>
      <c r="L149" s="177">
        <f>IF(K149="","",IF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149/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Лэндинг'!$B$5:$B$300,$B150)=0,"",SUMIFS('ИТОГО Торговля'!$C$5:$C$300,'ИТОГО Торговля'!$B$5:$B$300,$B150)+SUMIFS('ИТОГО Лэндинг'!$C$5:$C$300,'ИТОГО Лэндинг'!$B$5:$B$300,$B150)))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Лэндинг'!$B$5:$B$300,$B150)=0,"",SUMIFS('ИТОГО Торговля'!$F$5:$F$300,'ИТОГО Торговля'!$B$5:$B$300,$B150)+SUMIFS('ИТОГО Лэндинг'!$F$5:$F$300,'ИТОГО Лэндинг'!$B$5:$B$300,$B150)))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Лэндинг'!$B$5:$B$300,$B150),8))</f>
        <v/>
      </c>
      <c r="L150" s="183">
        <f>IF(K150="","",IF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150/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Лэндинг'!$B$5:$B$300,$B151)=0,"",SUMIFS('ИТОГО Торговля'!$C$5:$C$300,'ИТОГО Торговля'!$B$5:$B$300,$B151)+SUMIFS('ИТОГО Лэндинг'!$C$5:$C$300,'ИТОГО Лэндинг'!$B$5:$B$300,$B151)))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Лэндинг'!$B$5:$B$300,$B151)=0,"",SUMIFS('ИТОГО Торговля'!$F$5:$F$300,'ИТОГО Торговля'!$B$5:$B$300,$B151)+SUMIFS('ИТОГО Лэндинг'!$F$5:$F$300,'ИТОГО Лэндинг'!$B$5:$B$300,$B151)))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Лэндинг'!$B$5:$B$300,$B151),8))</f>
        <v/>
      </c>
      <c r="L151" s="177">
        <f>IF(K151="","",IF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151/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Лэндинг'!$B$5:$B$300,$B152)=0,"",SUMIFS('ИТОГО Торговля'!$C$5:$C$300,'ИТОГО Торговля'!$B$5:$B$300,$B152)+SUMIFS('ИТОГО Лэндинг'!$C$5:$C$300,'ИТОГО Лэндинг'!$B$5:$B$300,$B152)))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Лэндинг'!$B$5:$B$300,$B152)=0,"",SUMIFS('ИТОГО Торговля'!$F$5:$F$300,'ИТОГО Торговля'!$B$5:$B$300,$B152)+SUMIFS('ИТОГО Лэндинг'!$F$5:$F$300,'ИТОГО Лэндинг'!$B$5:$B$300,$B152)))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Лэндинг'!$B$5:$B$300,$B152),8))</f>
        <v/>
      </c>
      <c r="L152" s="183">
        <f>IF(K152="","",IF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152/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Лэндинг'!$B$5:$B$300,$B153)=0,"",SUMIFS('ИТОГО Торговля'!$C$5:$C$300,'ИТОГО Торговля'!$B$5:$B$300,$B153)+SUMIFS('ИТОГО Лэндинг'!$C$5:$C$300,'ИТОГО Лэндинг'!$B$5:$B$300,$B153)))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Лэндинг'!$B$5:$B$300,$B153)=0,"",SUMIFS('ИТОГО Торговля'!$F$5:$F$300,'ИТОГО Торговля'!$B$5:$B$300,$B153)+SUMIFS('ИТОГО Лэндинг'!$F$5:$F$300,'ИТОГО Лэндинг'!$B$5:$B$300,$B153)))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Лэндинг'!$B$5:$B$300,$B153),8))</f>
        <v/>
      </c>
      <c r="L153" s="177">
        <f>IF(K153="","",IF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153/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Лэндинг'!$B$5:$B$300,$B154)=0,"",SUMIFS('ИТОГО Торговля'!$C$5:$C$300,'ИТОГО Торговля'!$B$5:$B$300,$B154)+SUMIFS('ИТОГО Лэндинг'!$C$5:$C$300,'ИТОГО Лэндинг'!$B$5:$B$300,$B154)))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Лэндинг'!$B$5:$B$300,$B154)=0,"",SUMIFS('ИТОГО Торговля'!$F$5:$F$300,'ИТОГО Торговля'!$B$5:$B$300,$B154)+SUMIFS('ИТОГО Лэндинг'!$F$5:$F$300,'ИТОГО Лэндинг'!$B$5:$B$300,$B154)))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Лэндинг'!$B$5:$B$300,$B154),8))</f>
        <v/>
      </c>
      <c r="L154" s="183">
        <f>IF(K154="","",IF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154/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Лэндинг'!$B$5:$B$300,$B155)=0,"",SUMIFS('ИТОГО Торговля'!$C$5:$C$300,'ИТОГО Торговля'!$B$5:$B$300,$B155)+SUMIFS('ИТОГО Лэндинг'!$C$5:$C$300,'ИТОГО Лэндинг'!$B$5:$B$300,$B155)))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Лэндинг'!$B$5:$B$300,$B155)=0,"",SUMIFS('ИТОГО Торговля'!$F$5:$F$300,'ИТОГО Торговля'!$B$5:$B$300,$B155)+SUMIFS('ИТОГО Лэндинг'!$F$5:$F$300,'ИТОГО Лэндинг'!$B$5:$B$300,$B155)))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Лэндинг'!$B$5:$B$300,$B155),8))</f>
        <v/>
      </c>
      <c r="L155" s="177">
        <f>IF(K155="","",IF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155/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Лэндинг'!$B$5:$B$300,$B156)=0,"",SUMIFS('ИТОГО Торговля'!$C$5:$C$300,'ИТОГО Торговля'!$B$5:$B$300,$B156)+SUMIFS('ИТОГО Лэндинг'!$C$5:$C$300,'ИТОГО Лэндинг'!$B$5:$B$300,$B156)))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Лэндинг'!$B$5:$B$300,$B156)=0,"",SUMIFS('ИТОГО Торговля'!$F$5:$F$300,'ИТОГО Торговля'!$B$5:$B$300,$B156)+SUMIFS('ИТОГО Лэндинг'!$F$5:$F$300,'ИТОГО Лэндинг'!$B$5:$B$300,$B156)))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Лэндинг'!$B$5:$B$300,$B156),8))</f>
        <v/>
      </c>
      <c r="L156" s="183">
        <f>IF(K156="","",IF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156/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Лэндинг'!$B$5:$B$300,$B157)=0,"",SUMIFS('ИТОГО Торговля'!$C$5:$C$300,'ИТОГО Торговля'!$B$5:$B$300,$B157)+SUMIFS('ИТОГО Лэндинг'!$C$5:$C$300,'ИТОГО Лэндинг'!$B$5:$B$300,$B157)))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Лэндинг'!$B$5:$B$300,$B157)=0,"",SUMIFS('ИТОГО Торговля'!$F$5:$F$300,'ИТОГО Торговля'!$B$5:$B$300,$B157)+SUMIFS('ИТОГО Лэндинг'!$F$5:$F$300,'ИТОГО Лэндинг'!$B$5:$B$300,$B157)))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Лэндинг'!$B$5:$B$300,$B157),8))</f>
        <v/>
      </c>
      <c r="L157" s="177">
        <f>IF(K157="","",IF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157/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Лэндинг'!$B$5:$B$300,$B158)=0,"",SUMIFS('ИТОГО Торговля'!$C$5:$C$300,'ИТОГО Торговля'!$B$5:$B$300,$B158)+SUMIFS('ИТОГО Лэндинг'!$C$5:$C$300,'ИТОГО Лэндинг'!$B$5:$B$300,$B158)))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Лэндинг'!$B$5:$B$300,$B158)=0,"",SUMIFS('ИТОГО Торговля'!$F$5:$F$300,'ИТОГО Торговля'!$B$5:$B$300,$B158)+SUMIFS('ИТОГО Лэндинг'!$F$5:$F$300,'ИТОГО Лэндинг'!$B$5:$B$300,$B158)))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Лэндинг'!$B$5:$B$300,$B158),8))</f>
        <v/>
      </c>
      <c r="L158" s="183">
        <f>IF(K158="","",IF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158/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Лэндинг'!$B$5:$B$300,$B159)=0,"",SUMIFS('ИТОГО Торговля'!$C$5:$C$300,'ИТОГО Торговля'!$B$5:$B$300,$B159)+SUMIFS('ИТОГО Лэндинг'!$C$5:$C$300,'ИТОГО Лэндинг'!$B$5:$B$300,$B159)))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Лэндинг'!$B$5:$B$300,$B159)=0,"",SUMIFS('ИТОГО Торговля'!$F$5:$F$300,'ИТОГО Торговля'!$B$5:$B$300,$B159)+SUMIFS('ИТОГО Лэндинг'!$F$5:$F$300,'ИТОГО Лэндинг'!$B$5:$B$300,$B159)))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Лэндинг'!$B$5:$B$300,$B159),8))</f>
        <v/>
      </c>
      <c r="L159" s="177">
        <f>IF(K159="","",IF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159/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Лэндинг'!$B$5:$B$300,$B160)=0,"",SUMIFS('ИТОГО Торговля'!$C$5:$C$300,'ИТОГО Торговля'!$B$5:$B$300,$B160)+SUMIFS('ИТОГО Лэндинг'!$C$5:$C$300,'ИТОГО Лэндинг'!$B$5:$B$300,$B160)))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Лэндинг'!$B$5:$B$300,$B160)=0,"",SUMIFS('ИТОГО Торговля'!$F$5:$F$300,'ИТОГО Торговля'!$B$5:$B$300,$B160)+SUMIFS('ИТОГО Лэндинг'!$F$5:$F$300,'ИТОГО Лэндинг'!$B$5:$B$300,$B160)))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Лэндинг'!$B$5:$B$300,$B160),8))</f>
        <v/>
      </c>
      <c r="L160" s="183">
        <f>IF(K160="","",IF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160/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Лэндинг'!$B$5:$B$300,$B161)=0,"",SUMIFS('ИТОГО Торговля'!$C$5:$C$300,'ИТОГО Торговля'!$B$5:$B$300,$B161)+SUMIFS('ИТОГО Лэндинг'!$C$5:$C$300,'ИТОГО Лэндинг'!$B$5:$B$300,$B161)))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Лэндинг'!$B$5:$B$300,$B161)=0,"",SUMIFS('ИТОГО Торговля'!$F$5:$F$300,'ИТОГО Торговля'!$B$5:$B$300,$B161)+SUMIFS('ИТОГО Лэндинг'!$F$5:$F$300,'ИТОГО Лэндинг'!$B$5:$B$300,$B161)))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Лэндинг'!$B$5:$B$300,$B161),8))</f>
        <v/>
      </c>
      <c r="L161" s="177">
        <f>IF(K161="","",IF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161/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Лэндинг'!$B$5:$B$300,$B162)=0,"",SUMIFS('ИТОГО Торговля'!$C$5:$C$300,'ИТОГО Торговля'!$B$5:$B$300,$B162)+SUMIFS('ИТОГО Лэндинг'!$C$5:$C$300,'ИТОГО Лэндинг'!$B$5:$B$300,$B162)))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Лэндинг'!$B$5:$B$300,$B162)=0,"",SUMIFS('ИТОГО Торговля'!$F$5:$F$300,'ИТОГО Торговля'!$B$5:$B$300,$B162)+SUMIFS('ИТОГО Лэндинг'!$F$5:$F$300,'ИТОГО Лэндинг'!$B$5:$B$300,$B162)))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Лэндинг'!$B$5:$B$300,$B162),8))</f>
        <v/>
      </c>
      <c r="L162" s="183">
        <f>IF(K162="","",IF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162/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Лэндинг'!$B$5:$B$300,$B163)=0,"",SUMIFS('ИТОГО Торговля'!$C$5:$C$300,'ИТОГО Торговля'!$B$5:$B$300,$B163)+SUMIFS('ИТОГО Лэндинг'!$C$5:$C$300,'ИТОГО Лэндинг'!$B$5:$B$300,$B163)))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Лэндинг'!$B$5:$B$300,$B163)=0,"",SUMIFS('ИТОГО Торговля'!$F$5:$F$300,'ИТОГО Торговля'!$B$5:$B$300,$B163)+SUMIFS('ИТОГО Лэндинг'!$F$5:$F$300,'ИТОГО Лэндинг'!$B$5:$B$300,$B163)))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Лэндинг'!$B$5:$B$300,$B163),8))</f>
        <v/>
      </c>
      <c r="L163" s="177">
        <f>IF(K163="","",IF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163/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Лэндинг'!$B$5:$B$300,$B164)=0,"",SUMIFS('ИТОГО Торговля'!$C$5:$C$300,'ИТОГО Торговля'!$B$5:$B$300,$B164)+SUMIFS('ИТОГО Лэндинг'!$C$5:$C$300,'ИТОГО Лэндинг'!$B$5:$B$300,$B164)))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Лэндинг'!$B$5:$B$300,$B164)=0,"",SUMIFS('ИТОГО Торговля'!$F$5:$F$300,'ИТОГО Торговля'!$B$5:$B$300,$B164)+SUMIFS('ИТОГО Лэндинг'!$F$5:$F$300,'ИТОГО Лэндинг'!$B$5:$B$300,$B164)))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Лэндинг'!$B$5:$B$300,$B164),8))</f>
        <v/>
      </c>
      <c r="L164" s="183">
        <f>IF(K164="","",IF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164/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Лэндинг'!$B$5:$B$300,$B165)=0,"",SUMIFS('ИТОГО Торговля'!$C$5:$C$300,'ИТОГО Торговля'!$B$5:$B$300,$B165)+SUMIFS('ИТОГО Лэндинг'!$C$5:$C$300,'ИТОГО Лэндинг'!$B$5:$B$300,$B165)))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Лэндинг'!$B$5:$B$300,$B165)=0,"",SUMIFS('ИТОГО Торговля'!$F$5:$F$300,'ИТОГО Торговля'!$B$5:$B$300,$B165)+SUMIFS('ИТОГО Лэндинг'!$F$5:$F$300,'ИТОГО Лэндинг'!$B$5:$B$300,$B165)))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Лэндинг'!$B$5:$B$300,$B165),8))</f>
        <v/>
      </c>
      <c r="L165" s="177">
        <f>IF(K165="","",IF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165/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Лэндинг'!$B$5:$B$300,$B166)=0,"",SUMIFS('ИТОГО Торговля'!$C$5:$C$300,'ИТОГО Торговля'!$B$5:$B$300,$B166)+SUMIFS('ИТОГО Лэндинг'!$C$5:$C$300,'ИТОГО Лэндинг'!$B$5:$B$300,$B166)))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Лэндинг'!$B$5:$B$300,$B166)=0,"",SUMIFS('ИТОГО Торговля'!$F$5:$F$300,'ИТОГО Торговля'!$B$5:$B$300,$B166)+SUMIFS('ИТОГО Лэндинг'!$F$5:$F$300,'ИТОГО Лэндинг'!$B$5:$B$300,$B166)))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Лэндинг'!$B$5:$B$300,$B166),8))</f>
        <v/>
      </c>
      <c r="L166" s="183">
        <f>IF(K166="","",IF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166/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Лэндинг'!$B$5:$B$300,$B167)=0,"",SUMIFS('ИТОГО Торговля'!$C$5:$C$300,'ИТОГО Торговля'!$B$5:$B$300,$B167)+SUMIFS('ИТОГО Лэндинг'!$C$5:$C$300,'ИТОГО Лэндинг'!$B$5:$B$300,$B167)))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Лэндинг'!$B$5:$B$300,$B167)=0,"",SUMIFS('ИТОГО Торговля'!$F$5:$F$300,'ИТОГО Торговля'!$B$5:$B$300,$B167)+SUMIFS('ИТОГО Лэндинг'!$F$5:$F$300,'ИТОГО Лэндинг'!$B$5:$B$300,$B167)))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Лэндинг'!$B$5:$B$300,$B167),8))</f>
        <v/>
      </c>
      <c r="L167" s="177">
        <f>IF(K167="","",IF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167/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Лэндинг'!$B$5:$B$300,$B168)=0,"",SUMIFS('ИТОГО Торговля'!$C$5:$C$300,'ИТОГО Торговля'!$B$5:$B$300,$B168)+SUMIFS('ИТОГО Лэндинг'!$C$5:$C$300,'ИТОГО Лэндинг'!$B$5:$B$300,$B168)))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Лэндинг'!$B$5:$B$300,$B168)=0,"",SUMIFS('ИТОГО Торговля'!$F$5:$F$300,'ИТОГО Торговля'!$B$5:$B$300,$B168)+SUMIFS('ИТОГО Лэндинг'!$F$5:$F$300,'ИТОГО Лэндинг'!$B$5:$B$300,$B168)))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Лэндинг'!$B$5:$B$300,$B168),8))</f>
        <v/>
      </c>
      <c r="L168" s="183">
        <f>IF(K168="","",IF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168/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Лэндинг'!$B$5:$B$300,$B169)=0,"",SUMIFS('ИТОГО Торговля'!$C$5:$C$300,'ИТОГО Торговля'!$B$5:$B$300,$B169)+SUMIFS('ИТОГО Лэндинг'!$C$5:$C$300,'ИТОГО Лэндинг'!$B$5:$B$300,$B169)))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Лэндинг'!$B$5:$B$300,$B169)=0,"",SUMIFS('ИТОГО Торговля'!$F$5:$F$300,'ИТОГО Торговля'!$B$5:$B$300,$B169)+SUMIFS('ИТОГО Лэндинг'!$F$5:$F$300,'ИТОГО Лэндинг'!$B$5:$B$300,$B169)))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Лэндинг'!$B$5:$B$300,$B169),8))</f>
        <v/>
      </c>
      <c r="L169" s="177">
        <f>IF(K169="","",IF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169/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Лэндинг'!$B$5:$B$300,$B170)=0,"",SUMIFS('ИТОГО Торговля'!$C$5:$C$300,'ИТОГО Торговля'!$B$5:$B$300,$B170)+SUMIFS('ИТОГО Лэндинг'!$C$5:$C$300,'ИТОГО Лэндинг'!$B$5:$B$300,$B170)))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Лэндинг'!$B$5:$B$300,$B170)=0,"",SUMIFS('ИТОГО Торговля'!$F$5:$F$300,'ИТОГО Торговля'!$B$5:$B$300,$B170)+SUMIFS('ИТОГО Лэндинг'!$F$5:$F$300,'ИТОГО Лэндинг'!$B$5:$B$300,$B170)))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Лэндинг'!$B$5:$B$300,$B170),8))</f>
        <v/>
      </c>
      <c r="L170" s="183">
        <f>IF(K170="","",IF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170/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Лэндинг'!$B$5:$B$300,$B171)=0,"",SUMIFS('ИТОГО Торговля'!$C$5:$C$300,'ИТОГО Торговля'!$B$5:$B$300,$B171)+SUMIFS('ИТОГО Лэндинг'!$C$5:$C$300,'ИТОГО Лэндинг'!$B$5:$B$300,$B171)))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Лэндинг'!$B$5:$B$300,$B171)=0,"",SUMIFS('ИТОГО Торговля'!$F$5:$F$300,'ИТОГО Торговля'!$B$5:$B$300,$B171)+SUMIFS('ИТОГО Лэндинг'!$F$5:$F$300,'ИТОГО Лэндинг'!$B$5:$B$300,$B171)))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Лэндинг'!$B$5:$B$300,$B171),8))</f>
        <v/>
      </c>
      <c r="L171" s="177">
        <f>IF(K171="","",IF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171/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Лэндинг'!$B$5:$B$300,$B172)=0,"",SUMIFS('ИТОГО Торговля'!$C$5:$C$300,'ИТОГО Торговля'!$B$5:$B$300,$B172)+SUMIFS('ИТОГО Лэндинг'!$C$5:$C$300,'ИТОГО Лэндинг'!$B$5:$B$300,$B172)))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Лэндинг'!$B$5:$B$300,$B172)=0,"",SUMIFS('ИТОГО Торговля'!$F$5:$F$300,'ИТОГО Торговля'!$B$5:$B$300,$B172)+SUMIFS('ИТОГО Лэндинг'!$F$5:$F$300,'ИТОГО Лэндинг'!$B$5:$B$300,$B172)))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Лэндинг'!$B$5:$B$300,$B172),8))</f>
        <v/>
      </c>
      <c r="L172" s="183">
        <f>IF(K172="","",IF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172/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Лэндинг'!$B$5:$B$300,$B173)=0,"",SUMIFS('ИТОГО Торговля'!$C$5:$C$300,'ИТОГО Торговля'!$B$5:$B$300,$B173)+SUMIFS('ИТОГО Лэндинг'!$C$5:$C$300,'ИТОГО Лэндинг'!$B$5:$B$300,$B173)))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Лэндинг'!$B$5:$B$300,$B173)=0,"",SUMIFS('ИТОГО Торговля'!$F$5:$F$300,'ИТОГО Торговля'!$B$5:$B$300,$B173)+SUMIFS('ИТОГО Лэндинг'!$F$5:$F$300,'ИТОГО Лэндинг'!$B$5:$B$300,$B173)))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Лэндинг'!$B$5:$B$300,$B173),8))</f>
        <v/>
      </c>
      <c r="L173" s="177">
        <f>IF(K173="","",IF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173/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Лэндинг'!$B$5:$B$300,$B174)=0,"",SUMIFS('ИТОГО Торговля'!$C$5:$C$300,'ИТОГО Торговля'!$B$5:$B$300,$B174)+SUMIFS('ИТОГО Лэндинг'!$C$5:$C$300,'ИТОГО Лэндинг'!$B$5:$B$300,$B174)))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Лэндинг'!$B$5:$B$300,$B174)=0,"",SUMIFS('ИТОГО Торговля'!$F$5:$F$300,'ИТОГО Торговля'!$B$5:$B$300,$B174)+SUMIFS('ИТОГО Лэндинг'!$F$5:$F$300,'ИТОГО Лэндинг'!$B$5:$B$300,$B174)))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Лэндинг'!$B$5:$B$300,$B174),8))</f>
        <v/>
      </c>
      <c r="L174" s="183">
        <f>IF(K174="","",IF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174/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Лэндинг'!$B$5:$B$300,$B175)=0,"",SUMIFS('ИТОГО Торговля'!$C$5:$C$300,'ИТОГО Торговля'!$B$5:$B$300,$B175)+SUMIFS('ИТОГО Лэндинг'!$C$5:$C$300,'ИТОГО Лэндинг'!$B$5:$B$300,$B175)))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Лэндинг'!$B$5:$B$300,$B175)=0,"",SUMIFS('ИТОГО Торговля'!$F$5:$F$300,'ИТОГО Торговля'!$B$5:$B$300,$B175)+SUMIFS('ИТОГО Лэндинг'!$F$5:$F$300,'ИТОГО Лэндинг'!$B$5:$B$300,$B175)))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Лэндинг'!$B$5:$B$300,$B175),8))</f>
        <v/>
      </c>
      <c r="L175" s="177">
        <f>IF(K175="","",IF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175/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Лэндинг'!$B$5:$B$300,$B176)=0,"",SUMIFS('ИТОГО Торговля'!$C$5:$C$300,'ИТОГО Торговля'!$B$5:$B$300,$B176)+SUMIFS('ИТОГО Лэндинг'!$C$5:$C$300,'ИТОГО Лэндинг'!$B$5:$B$300,$B176)))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Лэндинг'!$B$5:$B$300,$B176)=0,"",SUMIFS('ИТОГО Торговля'!$F$5:$F$300,'ИТОГО Торговля'!$B$5:$B$300,$B176)+SUMIFS('ИТОГО Лэндинг'!$F$5:$F$300,'ИТОГО Лэндинг'!$B$5:$B$300,$B176)))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Лэндинг'!$B$5:$B$300,$B176),8))</f>
        <v/>
      </c>
      <c r="L176" s="183">
        <f>IF(K176="","",IF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176/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Лэндинг'!$B$5:$B$300,$B177)=0,"",SUMIFS('ИТОГО Торговля'!$C$5:$C$300,'ИТОГО Торговля'!$B$5:$B$300,$B177)+SUMIFS('ИТОГО Лэндинг'!$C$5:$C$300,'ИТОГО Лэндинг'!$B$5:$B$300,$B177)))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Лэндинг'!$B$5:$B$300,$B177)=0,"",SUMIFS('ИТОГО Торговля'!$F$5:$F$300,'ИТОГО Торговля'!$B$5:$B$300,$B177)+SUMIFS('ИТОГО Лэндинг'!$F$5:$F$300,'ИТОГО Лэндинг'!$B$5:$B$300,$B177)))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Лэндинг'!$B$5:$B$300,$B177),8))</f>
        <v/>
      </c>
      <c r="L177" s="177">
        <f>IF(K177="","",IF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177/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Лэндинг'!$B$5:$B$300,$B178)=0,"",SUMIFS('ИТОГО Торговля'!$C$5:$C$300,'ИТОГО Торговля'!$B$5:$B$300,$B178)+SUMIFS('ИТОГО Лэндинг'!$C$5:$C$300,'ИТОГО Лэндинг'!$B$5:$B$300,$B178)))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Лэндинг'!$B$5:$B$300,$B178)=0,"",SUMIFS('ИТОГО Торговля'!$F$5:$F$300,'ИТОГО Торговля'!$B$5:$B$300,$B178)+SUMIFS('ИТОГО Лэндинг'!$F$5:$F$300,'ИТОГО Лэндинг'!$B$5:$B$300,$B178)))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Лэндинг'!$B$5:$B$300,$B178),8))</f>
        <v/>
      </c>
      <c r="L178" s="183">
        <f>IF(K178="","",IF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178/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Лэндинг'!$B$5:$B$300,$B179)=0,"",SUMIFS('ИТОГО Торговля'!$C$5:$C$300,'ИТОГО Торговля'!$B$5:$B$300,$B179)+SUMIFS('ИТОГО Лэндинг'!$C$5:$C$300,'ИТОГО Лэндинг'!$B$5:$B$300,$B179)))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Лэндинг'!$B$5:$B$300,$B179)=0,"",SUMIFS('ИТОГО Торговля'!$F$5:$F$300,'ИТОГО Торговля'!$B$5:$B$300,$B179)+SUMIFS('ИТОГО Лэндинг'!$F$5:$F$300,'ИТОГО Лэндинг'!$B$5:$B$300,$B179)))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Лэндинг'!$B$5:$B$300,$B179),8))</f>
        <v/>
      </c>
      <c r="L179" s="177">
        <f>IF(K179="","",IF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179/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Лэндинг'!$B$5:$B$300,$B180)=0,"",SUMIFS('ИТОГО Торговля'!$C$5:$C$300,'ИТОГО Торговля'!$B$5:$B$300,$B180)+SUMIFS('ИТОГО Лэндинг'!$C$5:$C$300,'ИТОГО Лэндинг'!$B$5:$B$300,$B180)))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Лэндинг'!$B$5:$B$300,$B180)=0,"",SUMIFS('ИТОГО Торговля'!$F$5:$F$300,'ИТОГО Торговля'!$B$5:$B$300,$B180)+SUMIFS('ИТОГО Лэндинг'!$F$5:$F$300,'ИТОГО Лэндинг'!$B$5:$B$300,$B180)))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Лэндинг'!$B$5:$B$300,$B180),8))</f>
        <v/>
      </c>
      <c r="L180" s="183">
        <f>IF(K180="","",IF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180/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Лэндинг'!$B$5:$B$300,$B181)=0,"",SUMIFS('ИТОГО Торговля'!$C$5:$C$300,'ИТОГО Торговля'!$B$5:$B$300,$B181)+SUMIFS('ИТОГО Лэндинг'!$C$5:$C$300,'ИТОГО Лэндинг'!$B$5:$B$300,$B181)))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Лэндинг'!$B$5:$B$300,$B181)=0,"",SUMIFS('ИТОГО Торговля'!$F$5:$F$300,'ИТОГО Торговля'!$B$5:$B$300,$B181)+SUMIFS('ИТОГО Лэндинг'!$F$5:$F$300,'ИТОГО Лэндинг'!$B$5:$B$300,$B181)))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Лэндинг'!$B$5:$B$300,$B181),8))</f>
        <v/>
      </c>
      <c r="L181" s="177">
        <f>IF(K181="","",IF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181/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Лэндинг'!$B$5:$B$300,$B182)=0,"",SUMIFS('ИТОГО Торговля'!$C$5:$C$300,'ИТОГО Торговля'!$B$5:$B$300,$B182)+SUMIFS('ИТОГО Лэндинг'!$C$5:$C$300,'ИТОГО Лэндинг'!$B$5:$B$300,$B182)))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Лэндинг'!$B$5:$B$300,$B182)=0,"",SUMIFS('ИТОГО Торговля'!$F$5:$F$300,'ИТОГО Торговля'!$B$5:$B$300,$B182)+SUMIFS('ИТОГО Лэндинг'!$F$5:$F$300,'ИТОГО Лэндинг'!$B$5:$B$300,$B182)))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Лэндинг'!$B$5:$B$300,$B182),8))</f>
        <v/>
      </c>
      <c r="L182" s="183">
        <f>IF(K182="","",IF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182/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Лэндинг'!$B$5:$B$300,$B183)=0,"",SUMIFS('ИТОГО Торговля'!$C$5:$C$300,'ИТОГО Торговля'!$B$5:$B$300,$B183)+SUMIFS('ИТОГО Лэндинг'!$C$5:$C$300,'ИТОГО Лэндинг'!$B$5:$B$300,$B183)))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Лэндинг'!$B$5:$B$300,$B183)=0,"",SUMIFS('ИТОГО Торговля'!$F$5:$F$300,'ИТОГО Торговля'!$B$5:$B$300,$B183)+SUMIFS('ИТОГО Лэндинг'!$F$5:$F$300,'ИТОГО Лэндинг'!$B$5:$B$300,$B183)))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Лэндинг'!$B$5:$B$300,$B183),8))</f>
        <v/>
      </c>
      <c r="L183" s="177">
        <f>IF(K183="","",IF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183/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Лэндинг'!$B$5:$B$300,$B184)=0,"",SUMIFS('ИТОГО Торговля'!$C$5:$C$300,'ИТОГО Торговля'!$B$5:$B$300,$B184)+SUMIFS('ИТОГО Лэндинг'!$C$5:$C$300,'ИТОГО Лэндинг'!$B$5:$B$300,$B184)))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Лэндинг'!$B$5:$B$300,$B184)=0,"",SUMIFS('ИТОГО Торговля'!$F$5:$F$300,'ИТОГО Торговля'!$B$5:$B$300,$B184)+SUMIFS('ИТОГО Лэндинг'!$F$5:$F$300,'ИТОГО Лэндинг'!$B$5:$B$300,$B184)))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Лэндинг'!$B$5:$B$300,$B184),8))</f>
        <v/>
      </c>
      <c r="L184" s="183">
        <f>IF(K184="","",IF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184/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Лэндинг'!$B$5:$B$300,$B185)=0,"",SUMIFS('ИТОГО Торговля'!$C$5:$C$300,'ИТОГО Торговля'!$B$5:$B$300,$B185)+SUMIFS('ИТОГО Лэндинг'!$C$5:$C$300,'ИТОГО Лэндинг'!$B$5:$B$300,$B185)))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Лэндинг'!$B$5:$B$300,$B185)=0,"",SUMIFS('ИТОГО Торговля'!$F$5:$F$300,'ИТОГО Торговля'!$B$5:$B$300,$B185)+SUMIFS('ИТОГО Лэндинг'!$F$5:$F$300,'ИТОГО Лэндинг'!$B$5:$B$300,$B185)))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Лэндинг'!$B$5:$B$300,$B185),8))</f>
        <v/>
      </c>
      <c r="L185" s="177">
        <f>IF(K185="","",IF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185/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Лэндинг'!$B$5:$B$300,$B186)=0,"",SUMIFS('ИТОГО Торговля'!$C$5:$C$300,'ИТОГО Торговля'!$B$5:$B$300,$B186)+SUMIFS('ИТОГО Лэндинг'!$C$5:$C$300,'ИТОГО Лэндинг'!$B$5:$B$300,$B186)))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Лэндинг'!$B$5:$B$300,$B186)=0,"",SUMIFS('ИТОГО Торговля'!$F$5:$F$300,'ИТОГО Торговля'!$B$5:$B$300,$B186)+SUMIFS('ИТОГО Лэндинг'!$F$5:$F$300,'ИТОГО Лэндинг'!$B$5:$B$300,$B186)))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Лэндинг'!$B$5:$B$300,$B186),8))</f>
        <v/>
      </c>
      <c r="L186" s="183">
        <f>IF(K186="","",IF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186/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Лэндинг'!$B$5:$B$300,$B187)=0,"",SUMIFS('ИТОГО Торговля'!$C$5:$C$300,'ИТОГО Торговля'!$B$5:$B$300,$B187)+SUMIFS('ИТОГО Лэндинг'!$C$5:$C$300,'ИТОГО Лэндинг'!$B$5:$B$300,$B187)))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Лэндинг'!$B$5:$B$300,$B187)=0,"",SUMIFS('ИТОГО Торговля'!$F$5:$F$300,'ИТОГО Торговля'!$B$5:$B$300,$B187)+SUMIFS('ИТОГО Лэндинг'!$F$5:$F$300,'ИТОГО Лэндинг'!$B$5:$B$300,$B187)))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Лэндинг'!$B$5:$B$300,$B187),8))</f>
        <v/>
      </c>
      <c r="L187" s="177">
        <f>IF(K187="","",IF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187/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Лэндинг'!$B$5:$B$300,$B188)=0,"",SUMIFS('ИТОГО Торговля'!$C$5:$C$300,'ИТОГО Торговля'!$B$5:$B$300,$B188)+SUMIFS('ИТОГО Лэндинг'!$C$5:$C$300,'ИТОГО Лэндинг'!$B$5:$B$300,$B188)))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Лэндинг'!$B$5:$B$300,$B188)=0,"",SUMIFS('ИТОГО Торговля'!$F$5:$F$300,'ИТОГО Торговля'!$B$5:$B$300,$B188)+SUMIFS('ИТОГО Лэндинг'!$F$5:$F$300,'ИТОГО Лэндинг'!$B$5:$B$300,$B188)))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Лэндинг'!$B$5:$B$300,$B188),8))</f>
        <v/>
      </c>
      <c r="L188" s="183">
        <f>IF(K188="","",IF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188/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Лэндинг'!$B$5:$B$300,$B189)=0,"",SUMIFS('ИТОГО Торговля'!$C$5:$C$300,'ИТОГО Торговля'!$B$5:$B$300,$B189)+SUMIFS('ИТОГО Лэндинг'!$C$5:$C$300,'ИТОГО Лэндинг'!$B$5:$B$300,$B189)))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Лэндинг'!$B$5:$B$300,$B189)=0,"",SUMIFS('ИТОГО Торговля'!$F$5:$F$300,'ИТОГО Торговля'!$B$5:$B$300,$B189)+SUMIFS('ИТОГО Лэндинг'!$F$5:$F$300,'ИТОГО Лэндинг'!$B$5:$B$300,$B189)))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Лэндинг'!$B$5:$B$300,$B189),8))</f>
        <v/>
      </c>
      <c r="L189" s="177">
        <f>IF(K189="","",IF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189/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Лэндинг'!$B$5:$B$300,$B190)=0,"",SUMIFS('ИТОГО Торговля'!$C$5:$C$300,'ИТОГО Торговля'!$B$5:$B$300,$B190)+SUMIFS('ИТОГО Лэндинг'!$C$5:$C$300,'ИТОГО Лэндинг'!$B$5:$B$300,$B190)))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Лэндинг'!$B$5:$B$300,$B190)=0,"",SUMIFS('ИТОГО Торговля'!$F$5:$F$300,'ИТОГО Торговля'!$B$5:$B$300,$B190)+SUMIFS('ИТОГО Лэндинг'!$F$5:$F$300,'ИТОГО Лэндинг'!$B$5:$B$300,$B190)))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Лэндинг'!$B$5:$B$300,$B190),8))</f>
        <v/>
      </c>
      <c r="L190" s="183">
        <f>IF(K190="","",IF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190/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Лэндинг'!$B$5:$B$300,$B191)=0,"",SUMIFS('ИТОГО Торговля'!$C$5:$C$300,'ИТОГО Торговля'!$B$5:$B$300,$B191)+SUMIFS('ИТОГО Лэндинг'!$C$5:$C$300,'ИТОГО Лэндинг'!$B$5:$B$300,$B191)))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Лэндинг'!$B$5:$B$300,$B191)=0,"",SUMIFS('ИТОГО Торговля'!$F$5:$F$300,'ИТОГО Торговля'!$B$5:$B$300,$B191)+SUMIFS('ИТОГО Лэндинг'!$F$5:$F$300,'ИТОГО Лэндинг'!$B$5:$B$300,$B191)))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Лэндинг'!$B$5:$B$300,$B191),8))</f>
        <v/>
      </c>
      <c r="L191" s="177">
        <f>IF(K191="","",IF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191/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Лэндинг'!$B$5:$B$300,$B192)=0,"",SUMIFS('ИТОГО Торговля'!$C$5:$C$300,'ИТОГО Торговля'!$B$5:$B$300,$B192)+SUMIFS('ИТОГО Лэндинг'!$C$5:$C$300,'ИТОГО Лэндинг'!$B$5:$B$300,$B192)))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Лэндинг'!$B$5:$B$300,$B192)=0,"",SUMIFS('ИТОГО Торговля'!$F$5:$F$300,'ИТОГО Торговля'!$B$5:$B$300,$B192)+SUMIFS('ИТОГО Лэндинг'!$F$5:$F$300,'ИТОГО Лэндинг'!$B$5:$B$300,$B192)))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Лэндинг'!$B$5:$B$300,$B192),8))</f>
        <v/>
      </c>
      <c r="L192" s="183">
        <f>IF(K192="","",IF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192/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Лэндинг'!$B$5:$B$300,$B193)=0,"",SUMIFS('ИТОГО Торговля'!$C$5:$C$300,'ИТОГО Торговля'!$B$5:$B$300,$B193)+SUMIFS('ИТОГО Лэндинг'!$C$5:$C$300,'ИТОГО Лэндинг'!$B$5:$B$300,$B193)))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Лэндинг'!$B$5:$B$300,$B193)=0,"",SUMIFS('ИТОГО Торговля'!$F$5:$F$300,'ИТОГО Торговля'!$B$5:$B$300,$B193)+SUMIFS('ИТОГО Лэндинг'!$F$5:$F$300,'ИТОГО Лэндинг'!$B$5:$B$300,$B193)))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Лэндинг'!$B$5:$B$300,$B193),8))</f>
        <v/>
      </c>
      <c r="L193" s="177">
        <f>IF(K193="","",IF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193/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Лэндинг'!$B$5:$B$300,$B194)=0,"",SUMIFS('ИТОГО Торговля'!$C$5:$C$300,'ИТОГО Торговля'!$B$5:$B$300,$B194)+SUMIFS('ИТОГО Лэндинг'!$C$5:$C$300,'ИТОГО Лэндинг'!$B$5:$B$300,$B194)))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Лэндинг'!$B$5:$B$300,$B194)=0,"",SUMIFS('ИТОГО Торговля'!$F$5:$F$300,'ИТОГО Торговля'!$B$5:$B$300,$B194)+SUMIFS('ИТОГО Лэндинг'!$F$5:$F$300,'ИТОГО Лэндинг'!$B$5:$B$300,$B194)))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Лэндинг'!$B$5:$B$300,$B194),8))</f>
        <v/>
      </c>
      <c r="L194" s="183">
        <f>IF(K194="","",IF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194/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Лэндинг'!$B$5:$B$300,$B195)=0,"",SUMIFS('ИТОГО Торговля'!$C$5:$C$300,'ИТОГО Торговля'!$B$5:$B$300,$B195)+SUMIFS('ИТОГО Лэндинг'!$C$5:$C$300,'ИТОГО Лэндинг'!$B$5:$B$300,$B195)))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Лэндинг'!$B$5:$B$300,$B195)=0,"",SUMIFS('ИТОГО Торговля'!$F$5:$F$300,'ИТОГО Торговля'!$B$5:$B$300,$B195)+SUMIFS('ИТОГО Лэндинг'!$F$5:$F$300,'ИТОГО Лэндинг'!$B$5:$B$300,$B195)))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Лэндинг'!$B$5:$B$300,$B195),8))</f>
        <v/>
      </c>
      <c r="L195" s="177">
        <f>IF(K195="","",IF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195/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Лэндинг'!$B$5:$B$300,$B196)=0,"",SUMIFS('ИТОГО Торговля'!$C$5:$C$300,'ИТОГО Торговля'!$B$5:$B$300,$B196)+SUMIFS('ИТОГО Лэндинг'!$C$5:$C$300,'ИТОГО Лэндинг'!$B$5:$B$300,$B196)))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Лэндинг'!$B$5:$B$300,$B196)=0,"",SUMIFS('ИТОГО Торговля'!$F$5:$F$300,'ИТОГО Торговля'!$B$5:$B$300,$B196)+SUMIFS('ИТОГО Лэндинг'!$F$5:$F$300,'ИТОГО Лэндинг'!$B$5:$B$300,$B196)))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Лэндинг'!$B$5:$B$300,$B196),8))</f>
        <v/>
      </c>
      <c r="L196" s="183">
        <f>IF(K196="","",IF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196/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Лэндинг'!$B$5:$B$300,$B197)=0,"",SUMIFS('ИТОГО Торговля'!$C$5:$C$300,'ИТОГО Торговля'!$B$5:$B$300,$B197)+SUMIFS('ИТОГО Лэндинг'!$C$5:$C$300,'ИТОГО Лэндинг'!$B$5:$B$300,$B197)))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Лэндинг'!$B$5:$B$300,$B197)=0,"",SUMIFS('ИТОГО Торговля'!$F$5:$F$300,'ИТОГО Торговля'!$B$5:$B$300,$B197)+SUMIFS('ИТОГО Лэндинг'!$F$5:$F$300,'ИТОГО Лэндинг'!$B$5:$B$300,$B197)))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Лэндинг'!$B$5:$B$300,$B197),8))</f>
        <v/>
      </c>
      <c r="L197" s="177">
        <f>IF(K197="","",IF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197/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Лэндинг'!$B$5:$B$300,$B198)=0,"",SUMIFS('ИТОГО Торговля'!$C$5:$C$300,'ИТОГО Торговля'!$B$5:$B$300,$B198)+SUMIFS('ИТОГО Лэндинг'!$C$5:$C$300,'ИТОГО Лэндинг'!$B$5:$B$300,$B198)))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Лэндинг'!$B$5:$B$300,$B198)=0,"",SUMIFS('ИТОГО Торговля'!$F$5:$F$300,'ИТОГО Торговля'!$B$5:$B$300,$B198)+SUMIFS('ИТОГО Лэндинг'!$F$5:$F$300,'ИТОГО Лэндинг'!$B$5:$B$300,$B198)))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Лэндинг'!$B$5:$B$300,$B198),8))</f>
        <v/>
      </c>
      <c r="L198" s="183">
        <f>IF(K198="","",IF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198/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Лэндинг'!$B$5:$B$300,$B199)=0,"",SUMIFS('ИТОГО Торговля'!$C$5:$C$300,'ИТОГО Торговля'!$B$5:$B$300,$B199)+SUMIFS('ИТОГО Лэндинг'!$C$5:$C$300,'ИТОГО Лэндинг'!$B$5:$B$300,$B199)))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Лэндинг'!$B$5:$B$300,$B199)=0,"",SUMIFS('ИТОГО Торговля'!$F$5:$F$300,'ИТОГО Торговля'!$B$5:$B$300,$B199)+SUMIFS('ИТОГО Лэндинг'!$F$5:$F$300,'ИТОГО Лэндинг'!$B$5:$B$300,$B199)))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Лэндинг'!$B$5:$B$300,$B199),8))</f>
        <v/>
      </c>
      <c r="L199" s="177">
        <f>IF(K199="","",IF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199/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Лэндинг'!$B$5:$B$300,$B200)=0,"",SUMIFS('ИТОГО Торговля'!$C$5:$C$300,'ИТОГО Торговля'!$B$5:$B$300,$B200)+SUMIFS('ИТОГО Лэндинг'!$C$5:$C$300,'ИТОГО Лэндинг'!$B$5:$B$300,$B200)))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Лэндинг'!$B$5:$B$300,$B200)=0,"",SUMIFS('ИТОГО Торговля'!$F$5:$F$300,'ИТОГО Торговля'!$B$5:$B$300,$B200)+SUMIFS('ИТОГО Лэндинг'!$F$5:$F$300,'ИТОГО Лэндинг'!$B$5:$B$300,$B200)))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Лэндинг'!$B$5:$B$300,$B200),8))</f>
        <v/>
      </c>
      <c r="L200" s="183">
        <f>IF(K200="","",IF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200/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Лэндинг'!$B$5:$B$300,$B201)=0,"",SUMIFS('ИТОГО Торговля'!$C$5:$C$300,'ИТОГО Торговля'!$B$5:$B$300,$B201)+SUMIFS('ИТОГО Лэндинг'!$C$5:$C$300,'ИТОГО Лэндинг'!$B$5:$B$300,$B201)))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Лэндинг'!$B$5:$B$300,$B201)=0,"",SUMIFS('ИТОГО Торговля'!$F$5:$F$300,'ИТОГО Торговля'!$B$5:$B$300,$B201)+SUMIFS('ИТОГО Лэндинг'!$F$5:$F$300,'ИТОГО Лэндинг'!$B$5:$B$300,$B201)))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Лэндинг'!$B$5:$B$300,$B201),8))</f>
        <v/>
      </c>
      <c r="L201" s="177">
        <f>IF(K201="","",IF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201/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Лэндинг'!$B$5:$B$300,$B202)=0,"",SUMIFS('ИТОГО Торговля'!$C$5:$C$300,'ИТОГО Торговля'!$B$5:$B$300,$B202)+SUMIFS('ИТОГО Лэндинг'!$C$5:$C$300,'ИТОГО Лэндинг'!$B$5:$B$300,$B202)))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Лэндинг'!$B$5:$B$300,$B202)=0,"",SUMIFS('ИТОГО Торговля'!$F$5:$F$300,'ИТОГО Торговля'!$B$5:$B$300,$B202)+SUMIFS('ИТОГО Лэндинг'!$F$5:$F$300,'ИТОГО Лэндинг'!$B$5:$B$300,$B202)))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Лэндинг'!$B$5:$B$300,$B202),8))</f>
        <v/>
      </c>
      <c r="L202" s="183">
        <f>IF(K202="","",IF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202/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Лэндинг'!$B$5:$B$300,$B203)=0,"",SUMIFS('ИТОГО Торговля'!$C$5:$C$300,'ИТОГО Торговля'!$B$5:$B$300,$B203)+SUMIFS('ИТОГО Лэндинг'!$C$5:$C$300,'ИТОГО Лэндинг'!$B$5:$B$300,$B203)))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Лэндинг'!$B$5:$B$300,$B203)=0,"",SUMIFS('ИТОГО Торговля'!$F$5:$F$300,'ИТОГО Торговля'!$B$5:$B$300,$B203)+SUMIFS('ИТОГО Лэндинг'!$F$5:$F$300,'ИТОГО Лэндинг'!$B$5:$B$300,$B203)))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Лэндинг'!$B$5:$B$300,$B203),8))</f>
        <v/>
      </c>
      <c r="L203" s="177">
        <f>IF(K203="","",IF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203/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Лэндинг'!$B$5:$B$300,$B204)=0,"",SUMIFS('ИТОГО Торговля'!$C$5:$C$300,'ИТОГО Торговля'!$B$5:$B$300,$B204)+SUMIFS('ИТОГО Лэндинг'!$C$5:$C$300,'ИТОГО Лэндинг'!$B$5:$B$300,$B204)))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Лэндинг'!$B$5:$B$300,$B204)=0,"",SUMIFS('ИТОГО Торговля'!$F$5:$F$300,'ИТОГО Торговля'!$B$5:$B$300,$B204)+SUMIFS('ИТОГО Лэндинг'!$F$5:$F$300,'ИТОГО Лэндинг'!$B$5:$B$300,$B204)))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Лэндинг'!$B$5:$B$300,$B204),8))</f>
        <v/>
      </c>
      <c r="L204" s="183">
        <f>IF(K204="","",IF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204/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Лэндинг'!$B$5:$B$300,$B205)=0,"",SUMIFS('ИТОГО Торговля'!$C$5:$C$300,'ИТОГО Торговля'!$B$5:$B$300,$B205)+SUMIFS('ИТОГО Лэндинг'!$C$5:$C$300,'ИТОГО Лэндинг'!$B$5:$B$300,$B205)))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Лэндинг'!$B$5:$B$300,$B205)=0,"",SUMIFS('ИТОГО Торговля'!$F$5:$F$300,'ИТОГО Торговля'!$B$5:$B$300,$B205)+SUMIFS('ИТОГО Лэндинг'!$F$5:$F$300,'ИТОГО Лэндинг'!$B$5:$B$300,$B205)))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Лэндинг'!$B$5:$B$300,$B205),8))</f>
        <v/>
      </c>
      <c r="L205" s="177">
        <f>IF(K205="","",IF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205/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Лэндинг'!$B$5:$B$300,$B206)=0,"",SUMIFS('ИТОГО Торговля'!$C$5:$C$300,'ИТОГО Торговля'!$B$5:$B$300,$B206)+SUMIFS('ИТОГО Лэндинг'!$C$5:$C$300,'ИТОГО Лэндинг'!$B$5:$B$300,$B206)))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Лэндинг'!$B$5:$B$300,$B206)=0,"",SUMIFS('ИТОГО Торговля'!$F$5:$F$300,'ИТОГО Торговля'!$B$5:$B$300,$B206)+SUMIFS('ИТОГО Лэндинг'!$F$5:$F$300,'ИТОГО Лэндинг'!$B$5:$B$300,$B206)))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Лэндинг'!$B$5:$B$300,$B206),8))</f>
        <v/>
      </c>
      <c r="L206" s="183">
        <f>IF(K206="","",IF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206/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Лэндинг'!$B$5:$B$300,$B207)=0,"",SUMIFS('ИТОГО Торговля'!$C$5:$C$300,'ИТОГО Торговля'!$B$5:$B$300,$B207)+SUMIFS('ИТОГО Лэндинг'!$C$5:$C$300,'ИТОГО Лэндинг'!$B$5:$B$300,$B207)))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Лэндинг'!$B$5:$B$300,$B207)=0,"",SUMIFS('ИТОГО Торговля'!$F$5:$F$300,'ИТОГО Торговля'!$B$5:$B$300,$B207)+SUMIFS('ИТОГО Лэндинг'!$F$5:$F$300,'ИТОГО Лэндинг'!$B$5:$B$300,$B207)))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Лэндинг'!$B$5:$B$300,$B207),8))</f>
        <v/>
      </c>
      <c r="L207" s="177">
        <f>IF(K207="","",IF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207/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Лэндинг'!$B$5:$B$300,$B208)=0,"",SUMIFS('ИТОГО Торговля'!$C$5:$C$300,'ИТОГО Торговля'!$B$5:$B$300,$B208)+SUMIFS('ИТОГО Лэндинг'!$C$5:$C$300,'ИТОГО Лэндинг'!$B$5:$B$300,$B208)))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Лэндинг'!$B$5:$B$300,$B208)=0,"",SUMIFS('ИТОГО Торговля'!$F$5:$F$300,'ИТОГО Торговля'!$B$5:$B$300,$B208)+SUMIFS('ИТОГО Лэндинг'!$F$5:$F$300,'ИТОГО Лэндинг'!$B$5:$B$300,$B208)))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Лэндинг'!$B$5:$B$300,$B208),8))</f>
        <v/>
      </c>
      <c r="L208" s="183">
        <f>IF(K208="","",IF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208/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Лэндинг'!$B$5:$B$300,$B209)=0,"",SUMIFS('ИТОГО Торговля'!$C$5:$C$300,'ИТОГО Торговля'!$B$5:$B$300,$B209)+SUMIFS('ИТОГО Лэндинг'!$C$5:$C$300,'ИТОГО Лэндинг'!$B$5:$B$300,$B209)))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Лэндинг'!$B$5:$B$300,$B209)=0,"",SUMIFS('ИТОГО Торговля'!$F$5:$F$300,'ИТОГО Торговля'!$B$5:$B$300,$B209)+SUMIFS('ИТОГО Лэндинг'!$F$5:$F$300,'ИТОГО Лэндинг'!$B$5:$B$300,$B209)))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Лэндинг'!$B$5:$B$300,$B209),8))</f>
        <v/>
      </c>
      <c r="L209" s="177">
        <f>IF(K209="","",IF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209/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Лэндинг'!$B$5:$B$300,$B210)=0,"",SUMIFS('ИТОГО Торговля'!$C$5:$C$300,'ИТОГО Торговля'!$B$5:$B$300,$B210)+SUMIFS('ИТОГО Лэндинг'!$C$5:$C$300,'ИТОГО Лэндинг'!$B$5:$B$300,$B210)))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Лэндинг'!$B$5:$B$300,$B210)=0,"",SUMIFS('ИТОГО Торговля'!$F$5:$F$300,'ИТОГО Торговля'!$B$5:$B$300,$B210)+SUMIFS('ИТОГО Лэндинг'!$F$5:$F$300,'ИТОГО Лэндинг'!$B$5:$B$300,$B210)))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Лэндинг'!$B$5:$B$300,$B210),8))</f>
        <v/>
      </c>
      <c r="L210" s="183">
        <f>IF(K210="","",IF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210/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Лэндинг'!$B$5:$B$300,$B211)=0,"",SUMIFS('ИТОГО Торговля'!$C$5:$C$300,'ИТОГО Торговля'!$B$5:$B$300,$B211)+SUMIFS('ИТОГО Лэндинг'!$C$5:$C$300,'ИТОГО Лэндинг'!$B$5:$B$300,$B211)))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Лэндинг'!$B$5:$B$300,$B211)=0,"",SUMIFS('ИТОГО Торговля'!$F$5:$F$300,'ИТОГО Торговля'!$B$5:$B$300,$B211)+SUMIFS('ИТОГО Лэндинг'!$F$5:$F$300,'ИТОГО Лэндинг'!$B$5:$B$300,$B211)))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Лэндинг'!$B$5:$B$300,$B211),8))</f>
        <v/>
      </c>
      <c r="L211" s="177">
        <f>IF(K211="","",IF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211/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Лэндинг'!$B$5:$B$300,$B212)=0,"",SUMIFS('ИТОГО Торговля'!$C$5:$C$300,'ИТОГО Торговля'!$B$5:$B$300,$B212)+SUMIFS('ИТОГО Лэндинг'!$C$5:$C$300,'ИТОГО Лэндинг'!$B$5:$B$300,$B212)))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Лэндинг'!$B$5:$B$300,$B212)=0,"",SUMIFS('ИТОГО Торговля'!$F$5:$F$300,'ИТОГО Торговля'!$B$5:$B$300,$B212)+SUMIFS('ИТОГО Лэндинг'!$F$5:$F$300,'ИТОГО Лэндинг'!$B$5:$B$300,$B212)))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Лэндинг'!$B$5:$B$300,$B212),8))</f>
        <v/>
      </c>
      <c r="L212" s="183">
        <f>IF(K212="","",IF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212/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Лэндинг'!$B$5:$B$300,$B213)=0,"",SUMIFS('ИТОГО Торговля'!$C$5:$C$300,'ИТОГО Торговля'!$B$5:$B$300,$B213)+SUMIFS('ИТОГО Лэндинг'!$C$5:$C$300,'ИТОГО Лэндинг'!$B$5:$B$300,$B213)))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Лэндинг'!$B$5:$B$300,$B213)=0,"",SUMIFS('ИТОГО Торговля'!$F$5:$F$300,'ИТОГО Торговля'!$B$5:$B$300,$B213)+SUMIFS('ИТОГО Лэндинг'!$F$5:$F$300,'ИТОГО Лэндинг'!$B$5:$B$300,$B213)))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Лэндинг'!$B$5:$B$300,$B213),8))</f>
        <v/>
      </c>
      <c r="L213" s="177">
        <f>IF(K213="","",IF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213/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Лэндинг'!$B$5:$B$300,$B214)=0,"",SUMIFS('ИТОГО Торговля'!$C$5:$C$300,'ИТОГО Торговля'!$B$5:$B$300,$B214)+SUMIFS('ИТОГО Лэндинг'!$C$5:$C$300,'ИТОГО Лэндинг'!$B$5:$B$300,$B214)))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Лэндинг'!$B$5:$B$300,$B214)=0,"",SUMIFS('ИТОГО Торговля'!$F$5:$F$300,'ИТОГО Торговля'!$B$5:$B$300,$B214)+SUMIFS('ИТОГО Лэндинг'!$F$5:$F$300,'ИТОГО Лэндинг'!$B$5:$B$300,$B214)))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Лэндинг'!$B$5:$B$300,$B214),8))</f>
        <v/>
      </c>
      <c r="L214" s="183">
        <f>IF(K214="","",IF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214/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Лэндинг'!$B$5:$B$300,$B215)=0,"",SUMIFS('ИТОГО Торговля'!$C$5:$C$300,'ИТОГО Торговля'!$B$5:$B$300,$B215)+SUMIFS('ИТОГО Лэндинг'!$C$5:$C$300,'ИТОГО Лэндинг'!$B$5:$B$300,$B215)))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Лэндинг'!$B$5:$B$300,$B215)=0,"",SUMIFS('ИТОГО Торговля'!$F$5:$F$300,'ИТОГО Торговля'!$B$5:$B$300,$B215)+SUMIFS('ИТОГО Лэндинг'!$F$5:$F$300,'ИТОГО Лэндинг'!$B$5:$B$300,$B215)))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Лэндинг'!$B$5:$B$300,$B215),8))</f>
        <v/>
      </c>
      <c r="L215" s="177">
        <f>IF(K215="","",IF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215/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Лэндинг'!$B$5:$B$300,$B216)=0,"",SUMIFS('ИТОГО Торговля'!$C$5:$C$300,'ИТОГО Торговля'!$B$5:$B$300,$B216)+SUMIFS('ИТОГО Лэндинг'!$C$5:$C$300,'ИТОГО Лэндинг'!$B$5:$B$300,$B216)))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Лэндинг'!$B$5:$B$300,$B216)=0,"",SUMIFS('ИТОГО Торговля'!$F$5:$F$300,'ИТОГО Торговля'!$B$5:$B$300,$B216)+SUMIFS('ИТОГО Лэндинг'!$F$5:$F$300,'ИТОГО Лэндинг'!$B$5:$B$300,$B216)))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Лэндинг'!$B$5:$B$300,$B216),8))</f>
        <v/>
      </c>
      <c r="L216" s="183">
        <f>IF(K216="","",IF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216/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Лэндинг'!$B$5:$B$300,$B217)=0,"",SUMIFS('ИТОГО Торговля'!$C$5:$C$300,'ИТОГО Торговля'!$B$5:$B$300,$B217)+SUMIFS('ИТОГО Лэндинг'!$C$5:$C$300,'ИТОГО Лэндинг'!$B$5:$B$300,$B217)))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Лэндинг'!$B$5:$B$300,$B217)=0,"",SUMIFS('ИТОГО Торговля'!$F$5:$F$300,'ИТОГО Торговля'!$B$5:$B$300,$B217)+SUMIFS('ИТОГО Лэндинг'!$F$5:$F$300,'ИТОГО Лэндинг'!$B$5:$B$300,$B217)))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Лэндинг'!$B$5:$B$300,$B217),8))</f>
        <v/>
      </c>
      <c r="L217" s="177">
        <f>IF(K217="","",IF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217/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Лэндинг'!$B$5:$B$300,$B218)=0,"",SUMIFS('ИТОГО Торговля'!$C$5:$C$300,'ИТОГО Торговля'!$B$5:$B$300,$B218)+SUMIFS('ИТОГО Лэндинг'!$C$5:$C$300,'ИТОГО Лэндинг'!$B$5:$B$300,$B218)))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Лэндинг'!$B$5:$B$300,$B218)=0,"",SUMIFS('ИТОГО Торговля'!$F$5:$F$300,'ИТОГО Торговля'!$B$5:$B$300,$B218)+SUMIFS('ИТОГО Лэндинг'!$F$5:$F$300,'ИТОГО Лэндинг'!$B$5:$B$300,$B218)))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Лэндинг'!$B$5:$B$300,$B218),8))</f>
        <v/>
      </c>
      <c r="L218" s="183">
        <f>IF(K218="","",IF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218/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Лэндинг'!$B$5:$B$300,$B219)=0,"",SUMIFS('ИТОГО Торговля'!$C$5:$C$300,'ИТОГО Торговля'!$B$5:$B$300,$B219)+SUMIFS('ИТОГО Лэндинг'!$C$5:$C$300,'ИТОГО Лэндинг'!$B$5:$B$300,$B219)))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Лэндинг'!$B$5:$B$300,$B219)=0,"",SUMIFS('ИТОГО Торговля'!$F$5:$F$300,'ИТОГО Торговля'!$B$5:$B$300,$B219)+SUMIFS('ИТОГО Лэндинг'!$F$5:$F$300,'ИТОГО Лэндинг'!$B$5:$B$300,$B219)))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Лэндинг'!$B$5:$B$300,$B219),8))</f>
        <v/>
      </c>
      <c r="L219" s="177">
        <f>IF(K219="","",IF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219/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Лэндинг'!$B$5:$B$300,$B220)=0,"",SUMIFS('ИТОГО Торговля'!$C$5:$C$300,'ИТОГО Торговля'!$B$5:$B$300,$B220)+SUMIFS('ИТОГО Лэндинг'!$C$5:$C$300,'ИТОГО Лэндинг'!$B$5:$B$300,$B220)))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Лэндинг'!$B$5:$B$300,$B220)=0,"",SUMIFS('ИТОГО Торговля'!$F$5:$F$300,'ИТОГО Торговля'!$B$5:$B$300,$B220)+SUMIFS('ИТОГО Лэндинг'!$F$5:$F$300,'ИТОГО Лэндинг'!$B$5:$B$300,$B220)))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Лэндинг'!$B$5:$B$300,$B220),8))</f>
        <v/>
      </c>
      <c r="L220" s="183">
        <f>IF(K220="","",IF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220/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Лэндинг'!$B$5:$B$300,$B221)=0,"",SUMIFS('ИТОГО Торговля'!$C$5:$C$300,'ИТОГО Торговля'!$B$5:$B$300,$B221)+SUMIFS('ИТОГО Лэндинг'!$C$5:$C$300,'ИТОГО Лэндинг'!$B$5:$B$300,$B221)))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Лэндинг'!$B$5:$B$300,$B221)=0,"",SUMIFS('ИТОГО Торговля'!$F$5:$F$300,'ИТОГО Торговля'!$B$5:$B$300,$B221)+SUMIFS('ИТОГО Лэндинг'!$F$5:$F$300,'ИТОГО Лэндинг'!$B$5:$B$300,$B221)))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Лэндинг'!$B$5:$B$300,$B221),8))</f>
        <v/>
      </c>
      <c r="L221" s="177">
        <f>IF(K221="","",IF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221/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Лэндинг'!$B$5:$B$300,$B222)=0,"",SUMIFS('ИТОГО Торговля'!$C$5:$C$300,'ИТОГО Торговля'!$B$5:$B$300,$B222)+SUMIFS('ИТОГО Лэндинг'!$C$5:$C$300,'ИТОГО Лэндинг'!$B$5:$B$300,$B222)))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Лэндинг'!$B$5:$B$300,$B222)=0,"",SUMIFS('ИТОГО Торговля'!$F$5:$F$300,'ИТОГО Торговля'!$B$5:$B$300,$B222)+SUMIFS('ИТОГО Лэндинг'!$F$5:$F$300,'ИТОГО Лэндинг'!$B$5:$B$300,$B222)))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Лэндинг'!$B$5:$B$300,$B222),8))</f>
        <v/>
      </c>
      <c r="L222" s="183">
        <f>IF(K222="","",IF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222/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Лэндинг'!$B$5:$B$300,$B223)=0,"",SUMIFS('ИТОГО Торговля'!$C$5:$C$300,'ИТОГО Торговля'!$B$5:$B$300,$B223)+SUMIFS('ИТОГО Лэндинг'!$C$5:$C$300,'ИТОГО Лэндинг'!$B$5:$B$300,$B223)))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Лэндинг'!$B$5:$B$300,$B223)=0,"",SUMIFS('ИТОГО Торговля'!$F$5:$F$300,'ИТОГО Торговля'!$B$5:$B$300,$B223)+SUMIFS('ИТОГО Лэндинг'!$F$5:$F$300,'ИТОГО Лэндинг'!$B$5:$B$300,$B223)))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Лэндинг'!$B$5:$B$300,$B223),8))</f>
        <v/>
      </c>
      <c r="L223" s="177">
        <f>IF(K223="","",IF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223/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Лэндинг'!$B$5:$B$300,$B224)=0,"",SUMIFS('ИТОГО Торговля'!$C$5:$C$300,'ИТОГО Торговля'!$B$5:$B$300,$B224)+SUMIFS('ИТОГО Лэндинг'!$C$5:$C$300,'ИТОГО Лэндинг'!$B$5:$B$300,$B224)))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Лэндинг'!$B$5:$B$300,$B224)=0,"",SUMIFS('ИТОГО Торговля'!$F$5:$F$300,'ИТОГО Торговля'!$B$5:$B$300,$B224)+SUMIFS('ИТОГО Лэндинг'!$F$5:$F$300,'ИТОГО Лэндинг'!$B$5:$B$300,$B224)))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Лэндинг'!$B$5:$B$300,$B224),8))</f>
        <v/>
      </c>
      <c r="L224" s="183">
        <f>IF(K224="","",IF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224/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Лэндинг'!$B$5:$B$300,$B225)=0,"",SUMIFS('ИТОГО Торговля'!$C$5:$C$300,'ИТОГО Торговля'!$B$5:$B$300,$B225)+SUMIFS('ИТОГО Лэндинг'!$C$5:$C$300,'ИТОГО Лэндинг'!$B$5:$B$300,$B225)))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Лэндинг'!$B$5:$B$300,$B225)=0,"",SUMIFS('ИТОГО Торговля'!$F$5:$F$300,'ИТОГО Торговля'!$B$5:$B$300,$B225)+SUMIFS('ИТОГО Лэндинг'!$F$5:$F$300,'ИТОГО Лэндинг'!$B$5:$B$300,$B225)))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Лэндинг'!$B$5:$B$300,$B225),8))</f>
        <v/>
      </c>
      <c r="L225" s="177">
        <f>IF(K225="","",IF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225/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Лэндинг'!$B$5:$B$300,$B226)=0,"",SUMIFS('ИТОГО Торговля'!$C$5:$C$300,'ИТОГО Торговля'!$B$5:$B$300,$B226)+SUMIFS('ИТОГО Лэндинг'!$C$5:$C$300,'ИТОГО Лэндинг'!$B$5:$B$300,$B226)))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Лэндинг'!$B$5:$B$300,$B226)=0,"",SUMIFS('ИТОГО Торговля'!$F$5:$F$300,'ИТОГО Торговля'!$B$5:$B$300,$B226)+SUMIFS('ИТОГО Лэндинг'!$F$5:$F$300,'ИТОГО Лэндинг'!$B$5:$B$300,$B226)))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Лэндинг'!$B$5:$B$300,$B226),8))</f>
        <v/>
      </c>
      <c r="L226" s="183">
        <f>IF(K226="","",IF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226/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Лэндинг'!$B$5:$B$300,$B227)=0,"",SUMIFS('ИТОГО Торговля'!$C$5:$C$300,'ИТОГО Торговля'!$B$5:$B$300,$B227)+SUMIFS('ИТОГО Лэндинг'!$C$5:$C$300,'ИТОГО Лэндинг'!$B$5:$B$300,$B227)))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Лэндинг'!$B$5:$B$300,$B227)=0,"",SUMIFS('ИТОГО Торговля'!$F$5:$F$300,'ИТОГО Торговля'!$B$5:$B$300,$B227)+SUMIFS('ИТОГО Лэндинг'!$F$5:$F$300,'ИТОГО Лэндинг'!$B$5:$B$300,$B227)))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Лэндинг'!$B$5:$B$300,$B227),8))</f>
        <v/>
      </c>
      <c r="L227" s="177">
        <f>IF(K227="","",IF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227/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Лэндинг'!$B$5:$B$300,$B228)=0,"",SUMIFS('ИТОГО Торговля'!$C$5:$C$300,'ИТОГО Торговля'!$B$5:$B$300,$B228)+SUMIFS('ИТОГО Лэндинг'!$C$5:$C$300,'ИТОГО Лэндинг'!$B$5:$B$300,$B228)))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Лэндинг'!$B$5:$B$300,$B228)=0,"",SUMIFS('ИТОГО Торговля'!$F$5:$F$300,'ИТОГО Торговля'!$B$5:$B$300,$B228)+SUMIFS('ИТОГО Лэндинг'!$F$5:$F$300,'ИТОГО Лэндинг'!$B$5:$B$300,$B228)))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Лэндинг'!$B$5:$B$300,$B228),8))</f>
        <v/>
      </c>
      <c r="L228" s="183">
        <f>IF(K228="","",IF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228/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Лэндинг'!$B$5:$B$300,$B229)=0,"",SUMIFS('ИТОГО Торговля'!$C$5:$C$300,'ИТОГО Торговля'!$B$5:$B$300,$B229)+SUMIFS('ИТОГО Лэндинг'!$C$5:$C$300,'ИТОГО Лэндинг'!$B$5:$B$300,$B229)))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Лэндинг'!$B$5:$B$300,$B229)=0,"",SUMIFS('ИТОГО Торговля'!$F$5:$F$300,'ИТОГО Торговля'!$B$5:$B$300,$B229)+SUMIFS('ИТОГО Лэндинг'!$F$5:$F$300,'ИТОГО Лэндинг'!$B$5:$B$300,$B229)))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Лэндинг'!$B$5:$B$300,$B229),8))</f>
        <v/>
      </c>
      <c r="L229" s="177">
        <f>IF(K229="","",IF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229/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Лэндинг'!$B$5:$B$300,$B230)=0,"",SUMIFS('ИТОГО Торговля'!$C$5:$C$300,'ИТОГО Торговля'!$B$5:$B$300,$B230)+SUMIFS('ИТОГО Лэндинг'!$C$5:$C$300,'ИТОГО Лэндинг'!$B$5:$B$300,$B230)))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Лэндинг'!$B$5:$B$300,$B230)=0,"",SUMIFS('ИТОГО Торговля'!$F$5:$F$300,'ИТОГО Торговля'!$B$5:$B$300,$B230)+SUMIFS('ИТОГО Лэндинг'!$F$5:$F$300,'ИТОГО Лэндинг'!$B$5:$B$300,$B230)))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Лэндинг'!$B$5:$B$300,$B230),8))</f>
        <v/>
      </c>
      <c r="L230" s="183">
        <f>IF(K230="","",IF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230/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Лэндинг'!$B$5:$B$300,$B231)=0,"",SUMIFS('ИТОГО Торговля'!$C$5:$C$300,'ИТОГО Торговля'!$B$5:$B$300,$B231)+SUMIFS('ИТОГО Лэндинг'!$C$5:$C$300,'ИТОГО Лэндинг'!$B$5:$B$300,$B231)))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Лэндинг'!$B$5:$B$300,$B231)=0,"",SUMIFS('ИТОГО Торговля'!$F$5:$F$300,'ИТОГО Торговля'!$B$5:$B$300,$B231)+SUMIFS('ИТОГО Лэндинг'!$F$5:$F$300,'ИТОГО Лэндинг'!$B$5:$B$300,$B231)))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Лэндинг'!$B$5:$B$300,$B231),8))</f>
        <v/>
      </c>
      <c r="L231" s="177">
        <f>IF(K231="","",IF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231/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Лэндинг'!$B$5:$B$300,$B232)=0,"",SUMIFS('ИТОГО Торговля'!$C$5:$C$300,'ИТОГО Торговля'!$B$5:$B$300,$B232)+SUMIFS('ИТОГО Лэндинг'!$C$5:$C$300,'ИТОГО Лэндинг'!$B$5:$B$300,$B232)))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Лэндинг'!$B$5:$B$300,$B232)=0,"",SUMIFS('ИТОГО Торговля'!$F$5:$F$300,'ИТОГО Торговля'!$B$5:$B$300,$B232)+SUMIFS('ИТОГО Лэндинг'!$F$5:$F$300,'ИТОГО Лэндинг'!$B$5:$B$300,$B232)))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Лэндинг'!$B$5:$B$300,$B232),8))</f>
        <v/>
      </c>
      <c r="L232" s="183">
        <f>IF(K232="","",IF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232/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Лэндинг'!$B$5:$B$300,$B233)=0,"",SUMIFS('ИТОГО Торговля'!$C$5:$C$300,'ИТОГО Торговля'!$B$5:$B$300,$B233)+SUMIFS('ИТОГО Лэндинг'!$C$5:$C$300,'ИТОГО Лэндинг'!$B$5:$B$300,$B233)))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Лэндинг'!$B$5:$B$300,$B233)=0,"",SUMIFS('ИТОГО Торговля'!$F$5:$F$300,'ИТОГО Торговля'!$B$5:$B$300,$B233)+SUMIFS('ИТОГО Лэндинг'!$F$5:$F$300,'ИТОГО Лэндинг'!$B$5:$B$300,$B233)))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Лэндинг'!$B$5:$B$300,$B233),8))</f>
        <v/>
      </c>
      <c r="L233" s="177">
        <f>IF(K233="","",IF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233/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Лэндинг'!$B$5:$B$300,$B234)=0,"",SUMIFS('ИТОГО Торговля'!$C$5:$C$300,'ИТОГО Торговля'!$B$5:$B$300,$B234)+SUMIFS('ИТОГО Лэндинг'!$C$5:$C$300,'ИТОГО Лэндинг'!$B$5:$B$300,$B234)))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Лэндинг'!$B$5:$B$300,$B234)=0,"",SUMIFS('ИТОГО Торговля'!$F$5:$F$300,'ИТОГО Торговля'!$B$5:$B$300,$B234)+SUMIFS('ИТОГО Лэндинг'!$F$5:$F$300,'ИТОГО Лэндинг'!$B$5:$B$300,$B234)))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Лэндинг'!$B$5:$B$300,$B234),8))</f>
        <v/>
      </c>
      <c r="L234" s="183">
        <f>IF(K234="","",IF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234/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Лэндинг'!$B$5:$B$300,$B235)=0,"",SUMIFS('ИТОГО Торговля'!$C$5:$C$300,'ИТОГО Торговля'!$B$5:$B$300,$B235)+SUMIFS('ИТОГО Лэндинг'!$C$5:$C$300,'ИТОГО Лэндинг'!$B$5:$B$300,$B235)))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Лэндинг'!$B$5:$B$300,$B235)=0,"",SUMIFS('ИТОГО Торговля'!$F$5:$F$300,'ИТОГО Торговля'!$B$5:$B$300,$B235)+SUMIFS('ИТОГО Лэндинг'!$F$5:$F$300,'ИТОГО Лэндинг'!$B$5:$B$300,$B235)))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Лэндинг'!$B$5:$B$300,$B235),8))</f>
        <v/>
      </c>
      <c r="L235" s="177">
        <f>IF(K235="","",IF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235/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Лэндинг'!$B$5:$B$300,$B236)=0,"",SUMIFS('ИТОГО Торговля'!$C$5:$C$300,'ИТОГО Торговля'!$B$5:$B$300,$B236)+SUMIFS('ИТОГО Лэндинг'!$C$5:$C$300,'ИТОГО Лэндинг'!$B$5:$B$300,$B236)))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Лэндинг'!$B$5:$B$300,$B236)=0,"",SUMIFS('ИТОГО Торговля'!$F$5:$F$300,'ИТОГО Торговля'!$B$5:$B$300,$B236)+SUMIFS('ИТОГО Лэндинг'!$F$5:$F$300,'ИТОГО Лэндинг'!$B$5:$B$300,$B236)))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Лэндинг'!$B$5:$B$300,$B236),8))</f>
        <v/>
      </c>
      <c r="L236" s="183">
        <f>IF(K236="","",IF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236/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Лэндинг'!$B$5:$B$300,$B237)=0,"",SUMIFS('ИТОГО Торговля'!$C$5:$C$300,'ИТОГО Торговля'!$B$5:$B$300,$B237)+SUMIFS('ИТОГО Лэндинг'!$C$5:$C$300,'ИТОГО Лэндинг'!$B$5:$B$300,$B237)))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Лэндинг'!$B$5:$B$300,$B237)=0,"",SUMIFS('ИТОГО Торговля'!$F$5:$F$300,'ИТОГО Торговля'!$B$5:$B$300,$B237)+SUMIFS('ИТОГО Лэндинг'!$F$5:$F$300,'ИТОГО Лэндинг'!$B$5:$B$300,$B237)))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Лэндинг'!$B$5:$B$300,$B237),8))</f>
        <v/>
      </c>
      <c r="L237" s="177">
        <f>IF(K237="","",IF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237/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Лэндинг'!$B$5:$B$300,$B238)=0,"",SUMIFS('ИТОГО Торговля'!$C$5:$C$300,'ИТОГО Торговля'!$B$5:$B$300,$B238)+SUMIFS('ИТОГО Лэндинг'!$C$5:$C$300,'ИТОГО Лэндинг'!$B$5:$B$300,$B238)))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Лэндинг'!$B$5:$B$300,$B238)=0,"",SUMIFS('ИТОГО Торговля'!$F$5:$F$300,'ИТОГО Торговля'!$B$5:$B$300,$B238)+SUMIFS('ИТОГО Лэндинг'!$F$5:$F$300,'ИТОГО Лэндинг'!$B$5:$B$300,$B238)))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Лэндинг'!$B$5:$B$300,$B238),8))</f>
        <v/>
      </c>
      <c r="L238" s="183">
        <f>IF(K238="","",IF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238/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Лэндинг'!$B$5:$B$300,$B239)=0,"",SUMIFS('ИТОГО Торговля'!$C$5:$C$300,'ИТОГО Торговля'!$B$5:$B$300,$B239)+SUMIFS('ИТОГО Лэндинг'!$C$5:$C$300,'ИТОГО Лэндинг'!$B$5:$B$300,$B239)))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Лэндинг'!$B$5:$B$300,$B239)=0,"",SUMIFS('ИТОГО Торговля'!$F$5:$F$300,'ИТОГО Торговля'!$B$5:$B$300,$B239)+SUMIFS('ИТОГО Лэндинг'!$F$5:$F$300,'ИТОГО Лэндинг'!$B$5:$B$300,$B239)))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Лэндинг'!$B$5:$B$300,$B239),8))</f>
        <v/>
      </c>
      <c r="L239" s="177">
        <f>IF(K239="","",IF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239/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Лэндинг'!$B$5:$B$300,$B240)=0,"",SUMIFS('ИТОГО Торговля'!$C$5:$C$300,'ИТОГО Торговля'!$B$5:$B$300,$B240)+SUMIFS('ИТОГО Лэндинг'!$C$5:$C$300,'ИТОГО Лэндинг'!$B$5:$B$300,$B240)))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Лэндинг'!$B$5:$B$300,$B240)=0,"",SUMIFS('ИТОГО Торговля'!$F$5:$F$300,'ИТОГО Торговля'!$B$5:$B$300,$B240)+SUMIFS('ИТОГО Лэндинг'!$F$5:$F$300,'ИТОГО Лэндинг'!$B$5:$B$300,$B240)))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Лэндинг'!$B$5:$B$300,$B240),8))</f>
        <v/>
      </c>
      <c r="L240" s="183">
        <f>IF(K240="","",IF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240/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Лэндинг'!$B$5:$B$300,$B241)=0,"",SUMIFS('ИТОГО Торговля'!$C$5:$C$300,'ИТОГО Торговля'!$B$5:$B$300,$B241)+SUMIFS('ИТОГО Лэндинг'!$C$5:$C$300,'ИТОГО Лэндинг'!$B$5:$B$300,$B241)))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Лэндинг'!$B$5:$B$300,$B241)=0,"",SUMIFS('ИТОГО Торговля'!$F$5:$F$300,'ИТОГО Торговля'!$B$5:$B$300,$B241)+SUMIFS('ИТОГО Лэндинг'!$F$5:$F$300,'ИТОГО Лэндинг'!$B$5:$B$300,$B241)))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Лэндинг'!$B$5:$B$300,$B241),8))</f>
        <v/>
      </c>
      <c r="L241" s="177">
        <f>IF(K241="","",IF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241/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Лэндинг'!$B$5:$B$300,$B242)=0,"",SUMIFS('ИТОГО Торговля'!$C$5:$C$300,'ИТОГО Торговля'!$B$5:$B$300,$B242)+SUMIFS('ИТОГО Лэндинг'!$C$5:$C$300,'ИТОГО Лэндинг'!$B$5:$B$300,$B242)))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Лэндинг'!$B$5:$B$300,$B242)=0,"",SUMIFS('ИТОГО Торговля'!$F$5:$F$300,'ИТОГО Торговля'!$B$5:$B$300,$B242)+SUMIFS('ИТОГО Лэндинг'!$F$5:$F$300,'ИТОГО Лэндинг'!$B$5:$B$300,$B242)))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Лэндинг'!$B$5:$B$300,$B242),8))</f>
        <v/>
      </c>
      <c r="L242" s="183">
        <f>IF(K242="","",IF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242/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Лэндинг'!$B$5:$B$300,$B243)=0,"",SUMIFS('ИТОГО Торговля'!$C$5:$C$300,'ИТОГО Торговля'!$B$5:$B$300,$B243)+SUMIFS('ИТОГО Лэндинг'!$C$5:$C$300,'ИТОГО Лэндинг'!$B$5:$B$300,$B243)))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Лэндинг'!$B$5:$B$300,$B243)=0,"",SUMIFS('ИТОГО Торговля'!$F$5:$F$300,'ИТОГО Торговля'!$B$5:$B$300,$B243)+SUMIFS('ИТОГО Лэндинг'!$F$5:$F$300,'ИТОГО Лэндинг'!$B$5:$B$300,$B243)))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Лэндинг'!$B$5:$B$300,$B243),8))</f>
        <v/>
      </c>
      <c r="L243" s="177">
        <f>IF(K243="","",IF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243/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Лэндинг'!$B$5:$B$300,$B244)=0,"",SUMIFS('ИТОГО Торговля'!$C$5:$C$300,'ИТОГО Торговля'!$B$5:$B$300,$B244)+SUMIFS('ИТОГО Лэндинг'!$C$5:$C$300,'ИТОГО Лэндинг'!$B$5:$B$300,$B244)))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Лэндинг'!$B$5:$B$300,$B244)=0,"",SUMIFS('ИТОГО Торговля'!$F$5:$F$300,'ИТОГО Торговля'!$B$5:$B$300,$B244)+SUMIFS('ИТОГО Лэндинг'!$F$5:$F$300,'ИТОГО Лэндинг'!$B$5:$B$300,$B244)))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Лэндинг'!$B$5:$B$300,$B244),8))</f>
        <v/>
      </c>
      <c r="L244" s="183">
        <f>IF(K244="","",IF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244/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Лэндинг'!$B$5:$B$300,$B245)=0,"",SUMIFS('ИТОГО Торговля'!$C$5:$C$300,'ИТОГО Торговля'!$B$5:$B$300,$B245)+SUMIFS('ИТОГО Лэндинг'!$C$5:$C$300,'ИТОГО Лэндинг'!$B$5:$B$300,$B245)))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Лэндинг'!$B$5:$B$300,$B245)=0,"",SUMIFS('ИТОГО Торговля'!$F$5:$F$300,'ИТОГО Торговля'!$B$5:$B$300,$B245)+SUMIFS('ИТОГО Лэндинг'!$F$5:$F$300,'ИТОГО Лэндинг'!$B$5:$B$300,$B245)))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Лэндинг'!$B$5:$B$300,$B245),8))</f>
        <v/>
      </c>
      <c r="L245" s="177">
        <f>IF(K245="","",IF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245/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Лэндинг'!$B$5:$B$300,$B246)=0,"",SUMIFS('ИТОГО Торговля'!$C$5:$C$300,'ИТОГО Торговля'!$B$5:$B$300,$B246)+SUMIFS('ИТОГО Лэндинг'!$C$5:$C$300,'ИТОГО Лэндинг'!$B$5:$B$300,$B246)))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Лэндинг'!$B$5:$B$300,$B246)=0,"",SUMIFS('ИТОГО Торговля'!$F$5:$F$300,'ИТОГО Торговля'!$B$5:$B$300,$B246)+SUMIFS('ИТОГО Лэндинг'!$F$5:$F$300,'ИТОГО Лэндинг'!$B$5:$B$300,$B246)))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Лэндинг'!$B$5:$B$300,$B246),8))</f>
        <v/>
      </c>
      <c r="L246" s="183">
        <f>IF(K246="","",IF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246/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Лэндинг'!$B$5:$B$300,$B247)=0,"",SUMIFS('ИТОГО Торговля'!$C$5:$C$300,'ИТОГО Торговля'!$B$5:$B$300,$B247)+SUMIFS('ИТОГО Лэндинг'!$C$5:$C$300,'ИТОГО Лэндинг'!$B$5:$B$300,$B247)))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Лэндинг'!$B$5:$B$300,$B247)=0,"",SUMIFS('ИТОГО Торговля'!$F$5:$F$300,'ИТОГО Торговля'!$B$5:$B$300,$B247)+SUMIFS('ИТОГО Лэндинг'!$F$5:$F$300,'ИТОГО Лэндинг'!$B$5:$B$300,$B247)))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Лэндинг'!$B$5:$B$300,$B247),8))</f>
        <v/>
      </c>
      <c r="L247" s="177">
        <f>IF(K247="","",IF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247/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Лэндинг'!$B$5:$B$300,$B248)=0,"",SUMIFS('ИТОГО Торговля'!$C$5:$C$300,'ИТОГО Торговля'!$B$5:$B$300,$B248)+SUMIFS('ИТОГО Лэндинг'!$C$5:$C$300,'ИТОГО Лэндинг'!$B$5:$B$300,$B248)))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Лэндинг'!$B$5:$B$300,$B248)=0,"",SUMIFS('ИТОГО Торговля'!$F$5:$F$300,'ИТОГО Торговля'!$B$5:$B$300,$B248)+SUMIFS('ИТОГО Лэндинг'!$F$5:$F$300,'ИТОГО Лэндинг'!$B$5:$B$300,$B248)))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Лэндинг'!$B$5:$B$300,$B248),8))</f>
        <v/>
      </c>
      <c r="L248" s="183">
        <f>IF(K248="","",IF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248/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Лэндинг'!$B$5:$B$300,$B249)=0,"",SUMIFS('ИТОГО Торговля'!$C$5:$C$300,'ИТОГО Торговля'!$B$5:$B$300,$B249)+SUMIFS('ИТОГО Лэндинг'!$C$5:$C$300,'ИТОГО Лэндинг'!$B$5:$B$300,$B249)))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Лэндинг'!$B$5:$B$300,$B249)=0,"",SUMIFS('ИТОГО Торговля'!$F$5:$F$300,'ИТОГО Торговля'!$B$5:$B$300,$B249)+SUMIFS('ИТОГО Лэндинг'!$F$5:$F$300,'ИТОГО Лэндинг'!$B$5:$B$300,$B249)))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Лэндинг'!$B$5:$B$300,$B249),8))</f>
        <v/>
      </c>
      <c r="L249" s="177">
        <f>IF(K249="","",IF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249/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Лэндинг'!$B$5:$B$300,$B250)=0,"",SUMIFS('ИТОГО Торговля'!$C$5:$C$300,'ИТОГО Торговля'!$B$5:$B$300,$B250)+SUMIFS('ИТОГО Лэндинг'!$C$5:$C$300,'ИТОГО Лэндинг'!$B$5:$B$300,$B250)))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Лэндинг'!$B$5:$B$300,$B250)=0,"",SUMIFS('ИТОГО Торговля'!$F$5:$F$300,'ИТОГО Торговля'!$B$5:$B$300,$B250)+SUMIFS('ИТОГО Лэндинг'!$F$5:$F$300,'ИТОГО Лэндинг'!$B$5:$B$300,$B250)))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Лэндинг'!$B$5:$B$300,$B250),8))</f>
        <v/>
      </c>
      <c r="L250" s="183">
        <f>IF(K250="","",IF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250/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Лэндинг'!$B$5:$B$300,$B251)=0,"",SUMIFS('ИТОГО Торговля'!$C$5:$C$300,'ИТОГО Торговля'!$B$5:$B$300,$B251)+SUMIFS('ИТОГО Лэндинг'!$C$5:$C$300,'ИТОГО Лэндинг'!$B$5:$B$300,$B251)))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Лэндинг'!$B$5:$B$300,$B251)=0,"",SUMIFS('ИТОГО Торговля'!$F$5:$F$300,'ИТОГО Торговля'!$B$5:$B$300,$B251)+SUMIFS('ИТОГО Лэндинг'!$F$5:$F$300,'ИТОГО Лэндинг'!$B$5:$B$300,$B251)))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Лэндинг'!$B$5:$B$300,$B251),8))</f>
        <v/>
      </c>
      <c r="L251" s="177">
        <f>IF(K251="","",IF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251/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Лэндинг'!$B$5:$B$300,$B252)=0,"",SUMIFS('ИТОГО Торговля'!$C$5:$C$300,'ИТОГО Торговля'!$B$5:$B$300,$B252)+SUMIFS('ИТОГО Лэндинг'!$C$5:$C$300,'ИТОГО Лэндинг'!$B$5:$B$300,$B252)))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Лэндинг'!$B$5:$B$300,$B252)=0,"",SUMIFS('ИТОГО Торговля'!$F$5:$F$300,'ИТОГО Торговля'!$B$5:$B$300,$B252)+SUMIFS('ИТОГО Лэндинг'!$F$5:$F$300,'ИТОГО Лэндинг'!$B$5:$B$300,$B252)))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Лэндинг'!$B$5:$B$300,$B252),8))</f>
        <v/>
      </c>
      <c r="L252" s="183">
        <f>IF(K252="","",IF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252/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Лэндинг'!$B$5:$B$300,$B253)=0,"",SUMIFS('ИТОГО Торговля'!$C$5:$C$300,'ИТОГО Торговля'!$B$5:$B$300,$B253)+SUMIFS('ИТОГО Лэндинг'!$C$5:$C$300,'ИТОГО Лэндинг'!$B$5:$B$300,$B253)))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Лэндинг'!$B$5:$B$300,$B253)=0,"",SUMIFS('ИТОГО Торговля'!$F$5:$F$300,'ИТОГО Торговля'!$B$5:$B$300,$B253)+SUMIFS('ИТОГО Лэндинг'!$F$5:$F$300,'ИТОГО Лэндинг'!$B$5:$B$300,$B253)))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Лэндинг'!$B$5:$B$300,$B253),8))</f>
        <v/>
      </c>
      <c r="L253" s="177">
        <f>IF(K253="","",IF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253/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Лэндинг'!$B$5:$B$300,$B254)=0,"",SUMIFS('ИТОГО Торговля'!$C$5:$C$300,'ИТОГО Торговля'!$B$5:$B$300,$B254)+SUMIFS('ИТОГО Лэндинг'!$C$5:$C$300,'ИТОГО Лэндинг'!$B$5:$B$300,$B254)))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Лэндинг'!$B$5:$B$300,$B254)=0,"",SUMIFS('ИТОГО Торговля'!$F$5:$F$300,'ИТОГО Торговля'!$B$5:$B$300,$B254)+SUMIFS('ИТОГО Лэндинг'!$F$5:$F$300,'ИТОГО Лэндинг'!$B$5:$B$300,$B254)))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Лэндинг'!$B$5:$B$300,$B254),8))</f>
        <v/>
      </c>
      <c r="L254" s="183">
        <f>IF(K254="","",IF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254/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Лэндинг'!$B$5:$B$300,$B255)=0,"",SUMIFS('ИТОГО Торговля'!$C$5:$C$300,'ИТОГО Торговля'!$B$5:$B$300,$B255)+SUMIFS('ИТОГО Лэндинг'!$C$5:$C$300,'ИТОГО Лэндинг'!$B$5:$B$300,$B255)))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Лэндинг'!$B$5:$B$300,$B255)=0,"",SUMIFS('ИТОГО Торговля'!$F$5:$F$300,'ИТОГО Торговля'!$B$5:$B$300,$B255)+SUMIFS('ИТОГО Лэндинг'!$F$5:$F$300,'ИТОГО Лэндинг'!$B$5:$B$300,$B255)))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Лэндинг'!$B$5:$B$300,$B255),8))</f>
        <v/>
      </c>
      <c r="L255" s="177">
        <f>IF(K255="","",IF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255/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Лэндинг'!$B$5:$B$300,$B256)=0,"",SUMIFS('ИТОГО Торговля'!$C$5:$C$300,'ИТОГО Торговля'!$B$5:$B$300,$B256)+SUMIFS('ИТОГО Лэндинг'!$C$5:$C$300,'ИТОГО Лэндинг'!$B$5:$B$300,$B256)))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Лэндинг'!$B$5:$B$300,$B256)=0,"",SUMIFS('ИТОГО Торговля'!$F$5:$F$300,'ИТОГО Торговля'!$B$5:$B$300,$B256)+SUMIFS('ИТОГО Лэндинг'!$F$5:$F$300,'ИТОГО Лэндинг'!$B$5:$B$300,$B256)))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Лэндинг'!$B$5:$B$300,$B256),8))</f>
        <v/>
      </c>
      <c r="L256" s="183">
        <f>IF(K256="","",IF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256/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Лэндинг'!$B$5:$B$300,$B257)=0,"",SUMIFS('ИТОГО Торговля'!$C$5:$C$300,'ИТОГО Торговля'!$B$5:$B$300,$B257)+SUMIFS('ИТОГО Лэндинг'!$C$5:$C$300,'ИТОГО Лэндинг'!$B$5:$B$300,$B257)))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Лэндинг'!$B$5:$B$300,$B257)=0,"",SUMIFS('ИТОГО Торговля'!$F$5:$F$300,'ИТОГО Торговля'!$B$5:$B$300,$B257)+SUMIFS('ИТОГО Лэндинг'!$F$5:$F$300,'ИТОГО Лэндинг'!$B$5:$B$300,$B257)))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Лэндинг'!$B$5:$B$300,$B257),8))</f>
        <v/>
      </c>
      <c r="L257" s="177">
        <f>IF(K257="","",IF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257/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Лэндинг'!$B$5:$B$300,$B258)=0,"",SUMIFS('ИТОГО Торговля'!$C$5:$C$300,'ИТОГО Торговля'!$B$5:$B$300,$B258)+SUMIFS('ИТОГО Лэндинг'!$C$5:$C$300,'ИТОГО Лэндинг'!$B$5:$B$300,$B258)))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Лэндинг'!$B$5:$B$300,$B258)=0,"",SUMIFS('ИТОГО Торговля'!$F$5:$F$300,'ИТОГО Торговля'!$B$5:$B$300,$B258)+SUMIFS('ИТОГО Лэндинг'!$F$5:$F$300,'ИТОГО Лэндинг'!$B$5:$B$300,$B258)))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Лэндинг'!$B$5:$B$300,$B258),8))</f>
        <v/>
      </c>
      <c r="L258" s="183">
        <f>IF(K258="","",IF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258/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Лэндинг'!$B$5:$B$300,$B259)=0,"",SUMIFS('ИТОГО Торговля'!$C$5:$C$300,'ИТОГО Торговля'!$B$5:$B$300,$B259)+SUMIFS('ИТОГО Лэндинг'!$C$5:$C$300,'ИТОГО Лэндинг'!$B$5:$B$300,$B259)))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Лэндинг'!$B$5:$B$300,$B259)=0,"",SUMIFS('ИТОГО Торговля'!$F$5:$F$300,'ИТОГО Торговля'!$B$5:$B$300,$B259)+SUMIFS('ИТОГО Лэндинг'!$F$5:$F$300,'ИТОГО Лэндинг'!$B$5:$B$300,$B259)))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Лэндинг'!$B$5:$B$300,$B259),8))</f>
        <v/>
      </c>
      <c r="L259" s="177">
        <f>IF(K259="","",IF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259/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Лэндинг'!$B$5:$B$300,$B260)=0,"",SUMIFS('ИТОГО Торговля'!$C$5:$C$300,'ИТОГО Торговля'!$B$5:$B$300,$B260)+SUMIFS('ИТОГО Лэндинг'!$C$5:$C$300,'ИТОГО Лэндинг'!$B$5:$B$300,$B260)))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Лэндинг'!$B$5:$B$300,$B260)=0,"",SUMIFS('ИТОГО Торговля'!$F$5:$F$300,'ИТОГО Торговля'!$B$5:$B$300,$B260)+SUMIFS('ИТОГО Лэндинг'!$F$5:$F$300,'ИТОГО Лэндинг'!$B$5:$B$300,$B260)))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Лэндинг'!$B$5:$B$300,$B260),8))</f>
        <v/>
      </c>
      <c r="L260" s="183">
        <f>IF(K260="","",IF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260/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Лэндинг'!$B$5:$B$300,$B261)=0,"",SUMIFS('ИТОГО Торговля'!$C$5:$C$300,'ИТОГО Торговля'!$B$5:$B$300,$B261)+SUMIFS('ИТОГО Лэндинг'!$C$5:$C$300,'ИТОГО Лэндинг'!$B$5:$B$300,$B261)))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Лэндинг'!$B$5:$B$300,$B261)=0,"",SUMIFS('ИТОГО Торговля'!$F$5:$F$300,'ИТОГО Торговля'!$B$5:$B$300,$B261)+SUMIFS('ИТОГО Лэндинг'!$F$5:$F$300,'ИТОГО Лэндинг'!$B$5:$B$300,$B261)))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Лэндинг'!$B$5:$B$300,$B261),8))</f>
        <v/>
      </c>
      <c r="L261" s="177">
        <f>IF(K261="","",IF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261/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Лэндинг'!$B$5:$B$300,$B262)=0,"",SUMIFS('ИТОГО Торговля'!$C$5:$C$300,'ИТОГО Торговля'!$B$5:$B$300,$B262)+SUMIFS('ИТОГО Лэндинг'!$C$5:$C$300,'ИТОГО Лэндинг'!$B$5:$B$300,$B262)))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Лэндинг'!$B$5:$B$300,$B262)=0,"",SUMIFS('ИТОГО Торговля'!$F$5:$F$300,'ИТОГО Торговля'!$B$5:$B$300,$B262)+SUMIFS('ИТОГО Лэндинг'!$F$5:$F$300,'ИТОГО Лэндинг'!$B$5:$B$300,$B262)))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Лэндинг'!$B$5:$B$300,$B262),8))</f>
        <v/>
      </c>
      <c r="L262" s="183">
        <f>IF(K262="","",IF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262/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Лэндинг'!$B$5:$B$300,$B263)=0,"",SUMIFS('ИТОГО Торговля'!$C$5:$C$300,'ИТОГО Торговля'!$B$5:$B$300,$B263)+SUMIFS('ИТОГО Лэндинг'!$C$5:$C$300,'ИТОГО Лэндинг'!$B$5:$B$300,$B263)))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Лэндинг'!$B$5:$B$300,$B263)=0,"",SUMIFS('ИТОГО Торговля'!$F$5:$F$300,'ИТОГО Торговля'!$B$5:$B$300,$B263)+SUMIFS('ИТОГО Лэндинг'!$F$5:$F$300,'ИТОГО Лэндинг'!$B$5:$B$300,$B263)))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Лэндинг'!$B$5:$B$300,$B263),8))</f>
        <v/>
      </c>
      <c r="L263" s="177">
        <f>IF(K263="","",IF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263/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Лэндинг'!$B$5:$B$300,$B264)=0,"",SUMIFS('ИТОГО Торговля'!$C$5:$C$300,'ИТОГО Торговля'!$B$5:$B$300,$B264)+SUMIFS('ИТОГО Лэндинг'!$C$5:$C$300,'ИТОГО Лэндинг'!$B$5:$B$300,$B264)))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Лэндинг'!$B$5:$B$300,$B264)=0,"",SUMIFS('ИТОГО Торговля'!$F$5:$F$300,'ИТОГО Торговля'!$B$5:$B$300,$B264)+SUMIFS('ИТОГО Лэндинг'!$F$5:$F$300,'ИТОГО Лэндинг'!$B$5:$B$300,$B264)))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Лэндинг'!$B$5:$B$300,$B264),8))</f>
        <v/>
      </c>
      <c r="L264" s="183">
        <f>IF(K264="","",IF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264/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Лэндинг'!$B$5:$B$300,$B265)=0,"",SUMIFS('ИТОГО Торговля'!$C$5:$C$300,'ИТОГО Торговля'!$B$5:$B$300,$B265)+SUMIFS('ИТОГО Лэндинг'!$C$5:$C$300,'ИТОГО Лэндинг'!$B$5:$B$300,$B265)))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Лэндинг'!$B$5:$B$300,$B265)=0,"",SUMIFS('ИТОГО Торговля'!$F$5:$F$300,'ИТОГО Торговля'!$B$5:$B$300,$B265)+SUMIFS('ИТОГО Лэндинг'!$F$5:$F$300,'ИТОГО Лэндинг'!$B$5:$B$300,$B265)))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Лэндинг'!$B$5:$B$300,$B265),8))</f>
        <v/>
      </c>
      <c r="L265" s="177">
        <f>IF(K265="","",IF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265/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Лэндинг'!$B$5:$B$300,$B266)=0,"",SUMIFS('ИТОГО Торговля'!$C$5:$C$300,'ИТОГО Торговля'!$B$5:$B$300,$B266)+SUMIFS('ИТОГО Лэндинг'!$C$5:$C$300,'ИТОГО Лэндинг'!$B$5:$B$300,$B266)))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Лэндинг'!$B$5:$B$300,$B266)=0,"",SUMIFS('ИТОГО Торговля'!$F$5:$F$300,'ИТОГО Торговля'!$B$5:$B$300,$B266)+SUMIFS('ИТОГО Лэндинг'!$F$5:$F$300,'ИТОГО Лэндинг'!$B$5:$B$300,$B266)))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Лэндинг'!$B$5:$B$300,$B266),8))</f>
        <v/>
      </c>
      <c r="L266" s="183">
        <f>IF(K266="","",IF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266/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Лэндинг'!$B$5:$B$300,$B267)=0,"",SUMIFS('ИТОГО Торговля'!$C$5:$C$300,'ИТОГО Торговля'!$B$5:$B$300,$B267)+SUMIFS('ИТОГО Лэндинг'!$C$5:$C$300,'ИТОГО Лэндинг'!$B$5:$B$300,$B267)))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Лэндинг'!$B$5:$B$300,$B267)=0,"",SUMIFS('ИТОГО Торговля'!$F$5:$F$300,'ИТОГО Торговля'!$B$5:$B$300,$B267)+SUMIFS('ИТОГО Лэндинг'!$F$5:$F$300,'ИТОГО Лэндинг'!$B$5:$B$300,$B267)))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Лэндинг'!$B$5:$B$300,$B267),8))</f>
        <v/>
      </c>
      <c r="L267" s="177">
        <f>IF(K267="","",IF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267/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Лэндинг'!$B$5:$B$300,$B268)=0,"",SUMIFS('ИТОГО Торговля'!$C$5:$C$300,'ИТОГО Торговля'!$B$5:$B$300,$B268)+SUMIFS('ИТОГО Лэндинг'!$C$5:$C$300,'ИТОГО Лэндинг'!$B$5:$B$300,$B268)))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Лэндинг'!$B$5:$B$300,$B268)=0,"",SUMIFS('ИТОГО Торговля'!$F$5:$F$300,'ИТОГО Торговля'!$B$5:$B$300,$B268)+SUMIFS('ИТОГО Лэндинг'!$F$5:$F$300,'ИТОГО Лэндинг'!$B$5:$B$300,$B268)))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Лэндинг'!$B$5:$B$300,$B268),8))</f>
        <v/>
      </c>
      <c r="L268" s="183">
        <f>IF(K268="","",IF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268/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Лэндинг'!$B$5:$B$300,$B269)=0,"",SUMIFS('ИТОГО Торговля'!$C$5:$C$300,'ИТОГО Торговля'!$B$5:$B$300,$B269)+SUMIFS('ИТОГО Лэндинг'!$C$5:$C$300,'ИТОГО Лэндинг'!$B$5:$B$300,$B269)))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Лэндинг'!$B$5:$B$300,$B269)=0,"",SUMIFS('ИТОГО Торговля'!$F$5:$F$300,'ИТОГО Торговля'!$B$5:$B$300,$B269)+SUMIFS('ИТОГО Лэндинг'!$F$5:$F$300,'ИТОГО Лэндинг'!$B$5:$B$300,$B269)))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Лэндинг'!$B$5:$B$300,$B269),8))</f>
        <v/>
      </c>
      <c r="L269" s="177">
        <f>IF(K269="","",IF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269/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Лэндинг'!$B$5:$B$300,$B270)=0,"",SUMIFS('ИТОГО Торговля'!$C$5:$C$300,'ИТОГО Торговля'!$B$5:$B$300,$B270)+SUMIFS('ИТОГО Лэндинг'!$C$5:$C$300,'ИТОГО Лэндинг'!$B$5:$B$300,$B270)))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Лэндинг'!$B$5:$B$300,$B270)=0,"",SUMIFS('ИТОГО Торговля'!$F$5:$F$300,'ИТОГО Торговля'!$B$5:$B$300,$B270)+SUMIFS('ИТОГО Лэндинг'!$F$5:$F$300,'ИТОГО Лэндинг'!$B$5:$B$300,$B270)))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Лэндинг'!$B$5:$B$300,$B270),8))</f>
        <v/>
      </c>
      <c r="L270" s="183">
        <f>IF(K270="","",IF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270/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Лэндинг'!$B$5:$B$300,$B271)=0,"",SUMIFS('ИТОГО Торговля'!$C$5:$C$300,'ИТОГО Торговля'!$B$5:$B$300,$B271)+SUMIFS('ИТОГО Лэндинг'!$C$5:$C$300,'ИТОГО Лэндинг'!$B$5:$B$300,$B271)))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Лэндинг'!$B$5:$B$300,$B271)=0,"",SUMIFS('ИТОГО Торговля'!$F$5:$F$300,'ИТОГО Торговля'!$B$5:$B$300,$B271)+SUMIFS('ИТОГО Лэндинг'!$F$5:$F$300,'ИТОГО Лэндинг'!$B$5:$B$300,$B271)))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Лэндинг'!$B$5:$B$300,$B271),8))</f>
        <v/>
      </c>
      <c r="L271" s="177">
        <f>IF(K271="","",IF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271/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Лэндинг'!$B$5:$B$300,$B272)=0,"",SUMIFS('ИТОГО Торговля'!$C$5:$C$300,'ИТОГО Торговля'!$B$5:$B$300,$B272)+SUMIFS('ИТОГО Лэндинг'!$C$5:$C$300,'ИТОГО Лэндинг'!$B$5:$B$300,$B272)))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Лэндинг'!$B$5:$B$300,$B272)=0,"",SUMIFS('ИТОГО Торговля'!$F$5:$F$300,'ИТОГО Торговля'!$B$5:$B$300,$B272)+SUMIFS('ИТОГО Лэндинг'!$F$5:$F$300,'ИТОГО Лэндинг'!$B$5:$B$300,$B272)))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Лэндинг'!$B$5:$B$300,$B272),8))</f>
        <v/>
      </c>
      <c r="L272" s="183">
        <f>IF(K272="","",IF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272/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Лэндинг'!$B$5:$B$300,$B273)=0,"",SUMIFS('ИТОГО Торговля'!$C$5:$C$300,'ИТОГО Торговля'!$B$5:$B$300,$B273)+SUMIFS('ИТОГО Лэндинг'!$C$5:$C$300,'ИТОГО Лэндинг'!$B$5:$B$300,$B273)))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Лэндинг'!$B$5:$B$300,$B273)=0,"",SUMIFS('ИТОГО Торговля'!$F$5:$F$300,'ИТОГО Торговля'!$B$5:$B$300,$B273)+SUMIFS('ИТОГО Лэндинг'!$F$5:$F$300,'ИТОГО Лэндинг'!$B$5:$B$300,$B273)))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Лэндинг'!$B$5:$B$300,$B273),8))</f>
        <v/>
      </c>
      <c r="L273" s="177">
        <f>IF(K273="","",IF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273/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Лэндинг'!$B$5:$B$300,$B274)=0,"",SUMIFS('ИТОГО Торговля'!$C$5:$C$300,'ИТОГО Торговля'!$B$5:$B$300,$B274)+SUMIFS('ИТОГО Лэндинг'!$C$5:$C$300,'ИТОГО Лэндинг'!$B$5:$B$300,$B274)))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Лэндинг'!$B$5:$B$300,$B274)=0,"",SUMIFS('ИТОГО Торговля'!$F$5:$F$300,'ИТОГО Торговля'!$B$5:$B$300,$B274)+SUMIFS('ИТОГО Лэндинг'!$F$5:$F$300,'ИТОГО Лэндинг'!$B$5:$B$300,$B274)))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Лэндинг'!$B$5:$B$300,$B274),8))</f>
        <v/>
      </c>
      <c r="L274" s="183">
        <f>IF(K274="","",IF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274/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Лэндинг'!$B$5:$B$300,$B275)=0,"",SUMIFS('ИТОГО Торговля'!$C$5:$C$300,'ИТОГО Торговля'!$B$5:$B$300,$B275)+SUMIFS('ИТОГО Лэндинг'!$C$5:$C$300,'ИТОГО Лэндинг'!$B$5:$B$300,$B275)))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Лэндинг'!$B$5:$B$300,$B275)=0,"",SUMIFS('ИТОГО Торговля'!$F$5:$F$300,'ИТОГО Торговля'!$B$5:$B$300,$B275)+SUMIFS('ИТОГО Лэндинг'!$F$5:$F$300,'ИТОГО Лэндинг'!$B$5:$B$300,$B275)))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Лэндинг'!$B$5:$B$300,$B275),8))</f>
        <v/>
      </c>
      <c r="L275" s="177">
        <f>IF(K275="","",IF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275/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Лэндинг'!$B$5:$B$300,$B276)=0,"",SUMIFS('ИТОГО Торговля'!$C$5:$C$300,'ИТОГО Торговля'!$B$5:$B$300,$B276)+SUMIFS('ИТОГО Лэндинг'!$C$5:$C$300,'ИТОГО Лэндинг'!$B$5:$B$300,$B276)))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Лэндинг'!$B$5:$B$300,$B276)=0,"",SUMIFS('ИТОГО Торговля'!$F$5:$F$300,'ИТОГО Торговля'!$B$5:$B$300,$B276)+SUMIFS('ИТОГО Лэндинг'!$F$5:$F$300,'ИТОГО Лэндинг'!$B$5:$B$300,$B276)))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Лэндинг'!$B$5:$B$300,$B276),8))</f>
        <v/>
      </c>
      <c r="L276" s="183">
        <f>IF(K276="","",IF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276/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Лэндинг'!$B$5:$B$300,$B277)=0,"",SUMIFS('ИТОГО Торговля'!$C$5:$C$300,'ИТОГО Торговля'!$B$5:$B$300,$B277)+SUMIFS('ИТОГО Лэндинг'!$C$5:$C$300,'ИТОГО Лэндинг'!$B$5:$B$300,$B277)))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Лэндинг'!$B$5:$B$300,$B277)=0,"",SUMIFS('ИТОГО Торговля'!$F$5:$F$300,'ИТОГО Торговля'!$B$5:$B$300,$B277)+SUMIFS('ИТОГО Лэндинг'!$F$5:$F$300,'ИТОГО Лэндинг'!$B$5:$B$300,$B277)))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Лэндинг'!$B$5:$B$300,$B277),8))</f>
        <v/>
      </c>
      <c r="L277" s="177">
        <f>IF(K277="","",IF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277/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Лэндинг'!$B$5:$B$300,$B278)=0,"",SUMIFS('ИТОГО Торговля'!$C$5:$C$300,'ИТОГО Торговля'!$B$5:$B$300,$B278)+SUMIFS('ИТОГО Лэндинг'!$C$5:$C$300,'ИТОГО Лэндинг'!$B$5:$B$300,$B278)))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Лэндинг'!$B$5:$B$300,$B278)=0,"",SUMIFS('ИТОГО Торговля'!$F$5:$F$300,'ИТОГО Торговля'!$B$5:$B$300,$B278)+SUMIFS('ИТОГО Лэндинг'!$F$5:$F$300,'ИТОГО Лэндинг'!$B$5:$B$300,$B278)))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Лэндинг'!$B$5:$B$300,$B278),8))</f>
        <v/>
      </c>
      <c r="L278" s="183">
        <f>IF(K278="","",IF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278/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Лэндинг'!$B$5:$B$300,$B279)=0,"",SUMIFS('ИТОГО Торговля'!$C$5:$C$300,'ИТОГО Торговля'!$B$5:$B$300,$B279)+SUMIFS('ИТОГО Лэндинг'!$C$5:$C$300,'ИТОГО Лэндинг'!$B$5:$B$300,$B279)))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Лэндинг'!$B$5:$B$300,$B279)=0,"",SUMIFS('ИТОГО Торговля'!$F$5:$F$300,'ИТОГО Торговля'!$B$5:$B$300,$B279)+SUMIFS('ИТОГО Лэндинг'!$F$5:$F$300,'ИТОГО Лэндинг'!$B$5:$B$300,$B279)))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Лэндинг'!$B$5:$B$300,$B279),8))</f>
        <v/>
      </c>
      <c r="L279" s="177">
        <f>IF(K279="","",IF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279/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Лэндинг'!$B$5:$B$300,$B280)=0,"",SUMIFS('ИТОГО Торговля'!$C$5:$C$300,'ИТОГО Торговля'!$B$5:$B$300,$B280)+SUMIFS('ИТОГО Лэндинг'!$C$5:$C$300,'ИТОГО Лэндинг'!$B$5:$B$300,$B280)))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Лэндинг'!$B$5:$B$300,$B280)=0,"",SUMIFS('ИТОГО Торговля'!$F$5:$F$300,'ИТОГО Торговля'!$B$5:$B$300,$B280)+SUMIFS('ИТОГО Лэндинг'!$F$5:$F$300,'ИТОГО Лэндинг'!$B$5:$B$300,$B280)))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Лэндинг'!$B$5:$B$300,$B280),8))</f>
        <v/>
      </c>
      <c r="L280" s="183">
        <f>IF(K280="","",IF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280/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Лэндинг'!$B$5:$B$300,$B281)=0,"",SUMIFS('ИТОГО Торговля'!$C$5:$C$300,'ИТОГО Торговля'!$B$5:$B$300,$B281)+SUMIFS('ИТОГО Лэндинг'!$C$5:$C$300,'ИТОГО Лэндинг'!$B$5:$B$300,$B281)))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Лэндинг'!$B$5:$B$300,$B281)=0,"",SUMIFS('ИТОГО Торговля'!$F$5:$F$300,'ИТОГО Торговля'!$B$5:$B$300,$B281)+SUMIFS('ИТОГО Лэндинг'!$F$5:$F$300,'ИТОГО Лэндинг'!$B$5:$B$300,$B281)))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Лэндинг'!$B$5:$B$300,$B281),8))</f>
        <v/>
      </c>
      <c r="L281" s="177">
        <f>IF(K281="","",IF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281/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Лэндинг'!$B$5:$B$300,$B282)=0,"",SUMIFS('ИТОГО Торговля'!$C$5:$C$300,'ИТОГО Торговля'!$B$5:$B$300,$B282)+SUMIFS('ИТОГО Лэндинг'!$C$5:$C$300,'ИТОГО Лэндинг'!$B$5:$B$300,$B282)))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Лэндинг'!$B$5:$B$300,$B282)=0,"",SUMIFS('ИТОГО Торговля'!$F$5:$F$300,'ИТОГО Торговля'!$B$5:$B$300,$B282)+SUMIFS('ИТОГО Лэндинг'!$F$5:$F$300,'ИТОГО Лэндинг'!$B$5:$B$300,$B282)))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Лэндинг'!$B$5:$B$300,$B282),8))</f>
        <v/>
      </c>
      <c r="L282" s="183">
        <f>IF(K282="","",IF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282/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Лэндинг'!$B$5:$B$300,$B283)=0,"",SUMIFS('ИТОГО Торговля'!$C$5:$C$300,'ИТОГО Торговля'!$B$5:$B$300,$B283)+SUMIFS('ИТОГО Лэндинг'!$C$5:$C$300,'ИТОГО Лэндинг'!$B$5:$B$300,$B283)))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Лэндинг'!$B$5:$B$300,$B283)=0,"",SUMIFS('ИТОГО Торговля'!$F$5:$F$300,'ИТОГО Торговля'!$B$5:$B$300,$B283)+SUMIFS('ИТОГО Лэндинг'!$F$5:$F$300,'ИТОГО Лэндинг'!$B$5:$B$300,$B283)))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Лэндинг'!$B$5:$B$300,$B283),8))</f>
        <v/>
      </c>
      <c r="L283" s="177">
        <f>IF(K283="","",IF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283/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Лэндинг'!$B$5:$B$300,$B284)=0,"",SUMIFS('ИТОГО Торговля'!$C$5:$C$300,'ИТОГО Торговля'!$B$5:$B$300,$B284)+SUMIFS('ИТОГО Лэндинг'!$C$5:$C$300,'ИТОГО Лэндинг'!$B$5:$B$300,$B284)))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Лэндинг'!$B$5:$B$300,$B284)=0,"",SUMIFS('ИТОГО Торговля'!$F$5:$F$300,'ИТОГО Торговля'!$B$5:$B$300,$B284)+SUMIFS('ИТОГО Лэндинг'!$F$5:$F$300,'ИТОГО Лэндинг'!$B$5:$B$300,$B284)))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Лэндинг'!$B$5:$B$300,$B284),8))</f>
        <v/>
      </c>
      <c r="L284" s="183">
        <f>IF(K284="","",IF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284/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Лэндинг'!$B$5:$B$300,$B285)=0,"",SUMIFS('ИТОГО Торговля'!$C$5:$C$300,'ИТОГО Торговля'!$B$5:$B$300,$B285)+SUMIFS('ИТОГО Лэндинг'!$C$5:$C$300,'ИТОГО Лэндинг'!$B$5:$B$300,$B285)))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Лэндинг'!$B$5:$B$300,$B285)=0,"",SUMIFS('ИТОГО Торговля'!$F$5:$F$300,'ИТОГО Торговля'!$B$5:$B$300,$B285)+SUMIFS('ИТОГО Лэндинг'!$F$5:$F$300,'ИТОГО Лэндинг'!$B$5:$B$300,$B285)))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Лэндинг'!$B$5:$B$300,$B285),8))</f>
        <v/>
      </c>
      <c r="L285" s="177">
        <f>IF(K285="","",IF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285/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Лэндинг'!$B$5:$B$300,$B286)=0,"",SUMIFS('ИТОГО Торговля'!$C$5:$C$300,'ИТОГО Торговля'!$B$5:$B$300,$B286)+SUMIFS('ИТОГО Лэндинг'!$C$5:$C$300,'ИТОГО Лэндинг'!$B$5:$B$300,$B286)))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Лэндинг'!$B$5:$B$300,$B286)=0,"",SUMIFS('ИТОГО Торговля'!$F$5:$F$300,'ИТОГО Торговля'!$B$5:$B$300,$B286)+SUMIFS('ИТОГО Лэндинг'!$F$5:$F$300,'ИТОГО Лэндинг'!$B$5:$B$300,$B286)))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Лэндинг'!$B$5:$B$300,$B286),8))</f>
        <v/>
      </c>
      <c r="L286" s="183">
        <f>IF(K286="","",IF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286/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Лэндинг'!$B$5:$B$300,$B287)=0,"",SUMIFS('ИТОГО Торговля'!$C$5:$C$300,'ИТОГО Торговля'!$B$5:$B$300,$B287)+SUMIFS('ИТОГО Лэндинг'!$C$5:$C$300,'ИТОГО Лэндинг'!$B$5:$B$300,$B287)))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Лэндинг'!$B$5:$B$300,$B287)=0,"",SUMIFS('ИТОГО Торговля'!$F$5:$F$300,'ИТОГО Торговля'!$B$5:$B$300,$B287)+SUMIFS('ИТОГО Лэндинг'!$F$5:$F$300,'ИТОГО Лэндинг'!$B$5:$B$300,$B287)))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Лэндинг'!$B$5:$B$300,$B287),8))</f>
        <v/>
      </c>
      <c r="L287" s="177">
        <f>IF(K287="","",IF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287/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Лэндинг'!$B$5:$B$300,$B288)=0,"",SUMIFS('ИТОГО Торговля'!$C$5:$C$300,'ИТОГО Торговля'!$B$5:$B$300,$B288)+SUMIFS('ИТОГО Лэндинг'!$C$5:$C$300,'ИТОГО Лэндинг'!$B$5:$B$300,$B288)))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Лэндинг'!$B$5:$B$300,$B288)=0,"",SUMIFS('ИТОГО Торговля'!$F$5:$F$300,'ИТОГО Торговля'!$B$5:$B$300,$B288)+SUMIFS('ИТОГО Лэндинг'!$F$5:$F$300,'ИТОГО Лэндинг'!$B$5:$B$300,$B288)))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Лэндинг'!$B$5:$B$300,$B288),8))</f>
        <v/>
      </c>
      <c r="L288" s="183">
        <f>IF(K288="","",IF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288/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Лэндинг'!$B$5:$B$300,$B289)=0,"",SUMIFS('ИТОГО Торговля'!$C$5:$C$300,'ИТОГО Торговля'!$B$5:$B$300,$B289)+SUMIFS('ИТОГО Лэндинг'!$C$5:$C$300,'ИТОГО Лэндинг'!$B$5:$B$300,$B289)))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Лэндинг'!$B$5:$B$300,$B289)=0,"",SUMIFS('ИТОГО Торговля'!$F$5:$F$300,'ИТОГО Торговля'!$B$5:$B$300,$B289)+SUMIFS('ИТОГО Лэндинг'!$F$5:$F$300,'ИТОГО Лэндинг'!$B$5:$B$300,$B289)))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Лэндинг'!$B$5:$B$300,$B289),8))</f>
        <v/>
      </c>
      <c r="L289" s="177">
        <f>IF(K289="","",IF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289/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Лэндинг'!$B$5:$B$300,$B290)=0,"",SUMIFS('ИТОГО Торговля'!$C$5:$C$300,'ИТОГО Торговля'!$B$5:$B$300,$B290)+SUMIFS('ИТОГО Лэндинг'!$C$5:$C$300,'ИТОГО Лэндинг'!$B$5:$B$300,$B290)))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Лэндинг'!$B$5:$B$300,$B290)=0,"",SUMIFS('ИТОГО Торговля'!$F$5:$F$300,'ИТОГО Торговля'!$B$5:$B$300,$B290)+SUMIFS('ИТОГО Лэндинг'!$F$5:$F$300,'ИТОГО Лэндинг'!$B$5:$B$300,$B290)))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Лэндинг'!$B$5:$B$300,$B290),8))</f>
        <v/>
      </c>
      <c r="L290" s="183">
        <f>IF(K290="","",IF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290/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Лэндинг'!$B$5:$B$300,$B291)=0,"",SUMIFS('ИТОГО Торговля'!$C$5:$C$300,'ИТОГО Торговля'!$B$5:$B$300,$B291)+SUMIFS('ИТОГО Лэндинг'!$C$5:$C$300,'ИТОГО Лэндинг'!$B$5:$B$300,$B291)))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Лэндинг'!$B$5:$B$300,$B291)=0,"",SUMIFS('ИТОГО Торговля'!$F$5:$F$300,'ИТОГО Торговля'!$B$5:$B$300,$B291)+SUMIFS('ИТОГО Лэндинг'!$F$5:$F$300,'ИТОГО Лэндинг'!$B$5:$B$300,$B291)))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Лэндинг'!$B$5:$B$300,$B291),8))</f>
        <v/>
      </c>
      <c r="L291" s="177">
        <f>IF(K291="","",IF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291/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Лэндинг'!$B$5:$B$300,$B292)=0,"",SUMIFS('ИТОГО Торговля'!$C$5:$C$300,'ИТОГО Торговля'!$B$5:$B$300,$B292)+SUMIFS('ИТОГО Лэндинг'!$C$5:$C$300,'ИТОГО Лэндинг'!$B$5:$B$300,$B292)))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Лэндинг'!$B$5:$B$300,$B292)=0,"",SUMIFS('ИТОГО Торговля'!$F$5:$F$300,'ИТОГО Торговля'!$B$5:$B$300,$B292)+SUMIFS('ИТОГО Лэндинг'!$F$5:$F$300,'ИТОГО Лэндинг'!$B$5:$B$300,$B292)))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Лэндинг'!$B$5:$B$300,$B292),8))</f>
        <v/>
      </c>
      <c r="L292" s="183">
        <f>IF(K292="","",IF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292/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Лэндинг'!$B$5:$B$300,$B293)=0,"",SUMIFS('ИТОГО Торговля'!$C$5:$C$300,'ИТОГО Торговля'!$B$5:$B$300,$B293)+SUMIFS('ИТОГО Лэндинг'!$C$5:$C$300,'ИТОГО Лэндинг'!$B$5:$B$300,$B293)))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Лэндинг'!$B$5:$B$300,$B293)=0,"",SUMIFS('ИТОГО Торговля'!$F$5:$F$300,'ИТОГО Торговля'!$B$5:$B$300,$B293)+SUMIFS('ИТОГО Лэндинг'!$F$5:$F$300,'ИТОГО Лэндинг'!$B$5:$B$300,$B293)))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Лэндинг'!$B$5:$B$300,$B293),8))</f>
        <v/>
      </c>
      <c r="L293" s="177">
        <f>IF(K293="","",IF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293/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Лэндинг'!$B$5:$B$300,$B294)=0,"",SUMIFS('ИТОГО Торговля'!$C$5:$C$300,'ИТОГО Торговля'!$B$5:$B$300,$B294)+SUMIFS('ИТОГО Лэндинг'!$C$5:$C$300,'ИТОГО Лэндинг'!$B$5:$B$300,$B294)))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Лэндинг'!$B$5:$B$300,$B294)=0,"",SUMIFS('ИТОГО Торговля'!$F$5:$F$300,'ИТОГО Торговля'!$B$5:$B$300,$B294)+SUMIFS('ИТОГО Лэндинг'!$F$5:$F$300,'ИТОГО Лэндинг'!$B$5:$B$300,$B294)))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Лэндинг'!$B$5:$B$300,$B294),8))</f>
        <v/>
      </c>
      <c r="L294" s="183">
        <f>IF(K294="","",IF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294/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Лэндинг'!$B$5:$B$300,$B295)=0,"",SUMIFS('ИТОГО Торговля'!$C$5:$C$300,'ИТОГО Торговля'!$B$5:$B$300,$B295)+SUMIFS('ИТОГО Лэндинг'!$C$5:$C$300,'ИТОГО Лэндинг'!$B$5:$B$300,$B295)))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Лэндинг'!$B$5:$B$300,$B295)=0,"",SUMIFS('ИТОГО Торговля'!$F$5:$F$300,'ИТОГО Торговля'!$B$5:$B$300,$B295)+SUMIFS('ИТОГО Лэндинг'!$F$5:$F$300,'ИТОГО Лэндинг'!$B$5:$B$300,$B295)))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Лэндинг'!$B$5:$B$300,$B295),8))</f>
        <v/>
      </c>
      <c r="L295" s="177">
        <f>IF(K295="","",IF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295/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Лэндинг'!$B$5:$B$300,$B296)=0,"",SUMIFS('ИТОГО Торговля'!$C$5:$C$300,'ИТОГО Торговля'!$B$5:$B$300,$B296)+SUMIFS('ИТОГО Лэндинг'!$C$5:$C$300,'ИТОГО Лэндинг'!$B$5:$B$300,$B296)))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Лэндинг'!$B$5:$B$300,$B296)=0,"",SUMIFS('ИТОГО Торговля'!$F$5:$F$300,'ИТОГО Торговля'!$B$5:$B$300,$B296)+SUMIFS('ИТОГО Лэндинг'!$F$5:$F$300,'ИТОГО Лэндинг'!$B$5:$B$300,$B296)))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Лэндинг'!$B$5:$B$300,$B296),8))</f>
        <v/>
      </c>
      <c r="L296" s="183">
        <f>IF(K296="","",IF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296/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Лэндинг'!$B$5:$B$300,$B297)=0,"",SUMIFS('ИТОГО Торговля'!$C$5:$C$300,'ИТОГО Торговля'!$B$5:$B$300,$B297)+SUMIFS('ИТОГО Лэндинг'!$C$5:$C$300,'ИТОГО Лэндинг'!$B$5:$B$300,$B297)))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Лэндинг'!$B$5:$B$300,$B297)=0,"",SUMIFS('ИТОГО Торговля'!$F$5:$F$300,'ИТОГО Торговля'!$B$5:$B$300,$B297)+SUMIFS('ИТОГО Лэндинг'!$F$5:$F$300,'ИТОГО Лэндинг'!$B$5:$B$300,$B297)))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Лэндинг'!$B$5:$B$300,$B297),8))</f>
        <v/>
      </c>
      <c r="L297" s="177">
        <f>IF(K297="","",IF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297/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Лэндинг'!$B$5:$B$300,$B298)=0,"",SUMIFS('ИТОГО Торговля'!$C$5:$C$300,'ИТОГО Торговля'!$B$5:$B$300,$B298)+SUMIFS('ИТОГО Лэндинг'!$C$5:$C$300,'ИТОГО Лэндинг'!$B$5:$B$300,$B298)))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Лэндинг'!$B$5:$B$300,$B298)=0,"",SUMIFS('ИТОГО Торговля'!$F$5:$F$300,'ИТОГО Торговля'!$B$5:$B$300,$B298)+SUMIFS('ИТОГО Лэндинг'!$F$5:$F$300,'ИТОГО Лэндинг'!$B$5:$B$300,$B298)))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Лэндинг'!$B$5:$B$300,$B298),8))</f>
        <v/>
      </c>
      <c r="L298" s="183">
        <f>IF(K298="","",IF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298/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Лэндинг'!$B$5:$B$300,$B299)=0,"",SUMIFS('ИТОГО Торговля'!$C$5:$C$300,'ИТОГО Торговля'!$B$5:$B$300,$B299)+SUMIFS('ИТОГО Лэндинг'!$C$5:$C$300,'ИТОГО Лэндинг'!$B$5:$B$300,$B299)))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Лэндинг'!$B$5:$B$300,$B299)=0,"",SUMIFS('ИТОГО Торговля'!$F$5:$F$300,'ИТОГО Торговля'!$B$5:$B$300,$B299)+SUMIFS('ИТОГО Лэндинг'!$F$5:$F$300,'ИТОГО Лэндинг'!$B$5:$B$300,$B299)))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Лэндинг'!$B$5:$B$300,$B299),8))</f>
        <v/>
      </c>
      <c r="L299" s="177">
        <f>IF(K299="","",IF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299/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Лэндинг'!$B$5:$B$300,$B300)=0,"",SUMIFS('ИТОГО Торговля'!$C$5:$C$300,'ИТОГО Торговля'!$B$5:$B$300,$B300)+SUMIFS('ИТОГО Лэндинг'!$C$5:$C$300,'ИТОГО Лэндинг'!$B$5:$B$300,$B300)))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Лэндинг'!$B$5:$B$300,$B300)=0,"",SUMIFS('ИТОГО Торговля'!$F$5:$F$300,'ИТОГО Торговля'!$B$5:$B$300,$B300)+SUMIFS('ИТОГО Лэндинг'!$F$5:$F$300,'ИТОГО Лэндинг'!$B$5:$B$300,$B300)))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Лэндинг'!$B$5:$B$300,$B300),8))</f>
        <v/>
      </c>
      <c r="L300" s="183">
        <f>IF(K300="","",IF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300/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H12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29</v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30</v>
      </c>
    </row>
    <row r="7" ht="22" customHeight="1">
      <c r="B7" s="206" t="inlineStr">
        <is>
          <t>OKX</t>
        </is>
      </c>
      <c r="C7" s="207" t="n"/>
      <c r="E7" s="206" t="inlineStr">
        <is>
          <t>Пулы</t>
        </is>
      </c>
      <c r="F7" s="206" t="inlineStr">
        <is>
          <t>P</t>
        </is>
      </c>
      <c r="G7" s="206" t="n">
        <v>23</v>
      </c>
    </row>
    <row r="8" ht="22" customHeight="1">
      <c r="B8" s="206" t="inlineStr">
        <is>
          <t>Uniswap</t>
        </is>
      </c>
      <c r="C8" s="207" t="n"/>
    </row>
    <row r="9" ht="22" customHeight="1">
      <c r="B9" s="206" t="inlineStr">
        <is>
          <t>AAVE</t>
        </is>
      </c>
      <c r="C9" s="207" t="n"/>
    </row>
    <row r="10" ht="22" customHeight="1">
      <c r="B10" s="206" t="inlineStr">
        <is>
          <t>Raydium</t>
        </is>
      </c>
      <c r="C10" s="207" t="n"/>
    </row>
    <row r="11" ht="22" customHeight="1">
      <c r="B11" s="206" t="inlineStr">
        <is>
          <t>PancakeSwap</t>
        </is>
      </c>
      <c r="C11" s="207" t="n"/>
    </row>
    <row r="12" ht="22" customHeight="1">
      <c r="B12" s="206" t="inlineStr">
        <is>
          <t>Orca</t>
        </is>
      </c>
      <c r="C12" s="207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2026-10-10T21:29:10Z</dcterms:modified>
</cp:coreProperties>
</file>